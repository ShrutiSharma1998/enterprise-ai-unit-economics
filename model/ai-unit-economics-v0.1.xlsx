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FE6591AC-F166-40E2-BEAD-FF790A00DB38}" xr6:coauthVersionLast="47" xr6:coauthVersionMax="47" xr10:uidLastSave="{00000000-0000-0000-0000-000000000000}"/>
  <bookViews>
    <workbookView xWindow="5832" yWindow="4308" windowWidth="11388" windowHeight="7932" activeTab="1" xr2:uid="{00000000-000D-0000-FFFF-FFFF00000000}"/>
  </bookViews>
  <sheets>
    <sheet name="README" sheetId="1" r:id="rId1"/>
    <sheet name="Summary" sheetId="2" r:id="rId2"/>
    <sheet name="Org" sheetId="3" r:id="rId3"/>
    <sheet name="Teams" sheetId="4" r:id="rId4"/>
    <sheet name="Params" sheetId="5" r:id="rId5"/>
    <sheet name="PriceBook" sheetId="6" r:id="rId6"/>
    <sheet name="Lines" sheetId="7" r:id="rId7"/>
    <sheet name="Levers" sheetId="8" r:id="rId8"/>
    <sheet name="Results" sheetId="9" r:id="rId9"/>
    <sheet name="Scenarios" sheetId="10" r:id="rId10"/>
    <sheet name="Sensitivity" sheetId="11" r:id="rId11"/>
    <sheet name="Allocation" sheetId="12" r:id="rId12"/>
    <sheet name="Evidence" sheetId="13" r:id="rId13"/>
    <sheet name="Tests" sheetId="14" r:id="rId14"/>
    <sheet name="Calc_Low" sheetId="15" r:id="rId15"/>
    <sheet name="Calc_Base" sheetId="16" r:id="rId16"/>
    <sheet name="Calc_High" sheetId="17" r:id="rId17"/>
  </sheets>
  <calcPr calcId="191029"/>
</workbook>
</file>

<file path=xl/calcChain.xml><?xml version="1.0" encoding="utf-8"?>
<calcChain xmlns="http://schemas.openxmlformats.org/spreadsheetml/2006/main">
  <c r="D174" i="17" l="1"/>
  <c r="B170" i="17"/>
  <c r="G167" i="17"/>
  <c r="B166" i="17"/>
  <c r="D146" i="17"/>
  <c r="C146" i="17" s="1"/>
  <c r="D145" i="17"/>
  <c r="D135" i="17"/>
  <c r="C135" i="17" s="1"/>
  <c r="D134" i="17"/>
  <c r="C134" i="17" s="1"/>
  <c r="D132" i="17"/>
  <c r="C132" i="17" s="1"/>
  <c r="A116" i="17"/>
  <c r="D108" i="17"/>
  <c r="C108" i="17" s="1"/>
  <c r="D107" i="17"/>
  <c r="C107" i="17" s="1"/>
  <c r="D105" i="17"/>
  <c r="C105" i="17" s="1"/>
  <c r="A89" i="17"/>
  <c r="D81" i="17"/>
  <c r="C81" i="17" s="1"/>
  <c r="D80" i="17"/>
  <c r="C80" i="17"/>
  <c r="D78" i="17"/>
  <c r="C78" i="17" s="1"/>
  <c r="A62" i="17"/>
  <c r="D54" i="17"/>
  <c r="C54" i="17" s="1"/>
  <c r="D53" i="17"/>
  <c r="C53" i="17"/>
  <c r="D51" i="17"/>
  <c r="C51" i="17" s="1"/>
  <c r="A35" i="17"/>
  <c r="D27" i="17"/>
  <c r="C27" i="17" s="1"/>
  <c r="D26" i="17"/>
  <c r="C26" i="17"/>
  <c r="D24" i="17"/>
  <c r="C24" i="17" s="1"/>
  <c r="A8" i="17"/>
  <c r="E4" i="17"/>
  <c r="D174" i="16"/>
  <c r="B170" i="16"/>
  <c r="G167" i="16"/>
  <c r="B166" i="16"/>
  <c r="D146" i="16"/>
  <c r="C146" i="16" s="1"/>
  <c r="D145" i="16"/>
  <c r="C145" i="16"/>
  <c r="D135" i="16"/>
  <c r="C135" i="16" s="1"/>
  <c r="D134" i="16"/>
  <c r="C134" i="16" s="1"/>
  <c r="D132" i="16"/>
  <c r="C132" i="16" s="1"/>
  <c r="A116" i="16"/>
  <c r="D108" i="16"/>
  <c r="C108" i="16" s="1"/>
  <c r="D107" i="16"/>
  <c r="C107" i="16" s="1"/>
  <c r="D105" i="16"/>
  <c r="C105" i="16"/>
  <c r="A89" i="16"/>
  <c r="D81" i="16"/>
  <c r="C81" i="16" s="1"/>
  <c r="D80" i="16"/>
  <c r="C80" i="16"/>
  <c r="D78" i="16"/>
  <c r="A62" i="16"/>
  <c r="D54" i="16"/>
  <c r="C54" i="16" s="1"/>
  <c r="D53" i="16"/>
  <c r="C53" i="16"/>
  <c r="D51" i="16"/>
  <c r="C51" i="16" s="1"/>
  <c r="A35" i="16"/>
  <c r="D27" i="16"/>
  <c r="C27" i="16" s="1"/>
  <c r="D26" i="16"/>
  <c r="C26" i="16" s="1"/>
  <c r="D24" i="16"/>
  <c r="C24" i="16" s="1"/>
  <c r="A8" i="16"/>
  <c r="E4" i="16"/>
  <c r="D174" i="15"/>
  <c r="B170" i="15"/>
  <c r="G167" i="15"/>
  <c r="B166" i="15"/>
  <c r="D146" i="15"/>
  <c r="C146" i="15" s="1"/>
  <c r="D145" i="15"/>
  <c r="C145" i="15" s="1"/>
  <c r="D135" i="15"/>
  <c r="C135" i="15" s="1"/>
  <c r="D134" i="15"/>
  <c r="C134" i="15" s="1"/>
  <c r="D132" i="15"/>
  <c r="C132" i="15" s="1"/>
  <c r="A116" i="15"/>
  <c r="D108" i="15"/>
  <c r="C108" i="15" s="1"/>
  <c r="D107" i="15"/>
  <c r="C107" i="15" s="1"/>
  <c r="D105" i="15"/>
  <c r="C105" i="15" s="1"/>
  <c r="A89" i="15"/>
  <c r="D81" i="15"/>
  <c r="C81" i="15" s="1"/>
  <c r="D80" i="15"/>
  <c r="C80" i="15" s="1"/>
  <c r="D78" i="15"/>
  <c r="C78" i="15" s="1"/>
  <c r="A62" i="15"/>
  <c r="D54" i="15"/>
  <c r="C54" i="15" s="1"/>
  <c r="D53" i="15"/>
  <c r="C53" i="15" s="1"/>
  <c r="D51" i="15"/>
  <c r="C51" i="15" s="1"/>
  <c r="A35" i="15"/>
  <c r="D27" i="15"/>
  <c r="C27" i="15" s="1"/>
  <c r="D26" i="15"/>
  <c r="C26" i="15"/>
  <c r="D24" i="15"/>
  <c r="C24" i="15" s="1"/>
  <c r="A8" i="15"/>
  <c r="E4" i="15"/>
  <c r="E5" i="15" s="1"/>
  <c r="C72" i="14"/>
  <c r="D71" i="14"/>
  <c r="C71" i="14"/>
  <c r="G70" i="14"/>
  <c r="F70" i="14"/>
  <c r="E70" i="14"/>
  <c r="D70" i="14"/>
  <c r="C70" i="14"/>
  <c r="G69" i="14"/>
  <c r="F69" i="14"/>
  <c r="E69" i="14"/>
  <c r="D69" i="14"/>
  <c r="C69" i="14"/>
  <c r="G68" i="14"/>
  <c r="F68" i="14"/>
  <c r="E68" i="14"/>
  <c r="D68" i="14"/>
  <c r="C68" i="14"/>
  <c r="G67" i="14"/>
  <c r="F67" i="14"/>
  <c r="E67" i="14"/>
  <c r="D67" i="14"/>
  <c r="C67" i="14"/>
  <c r="G66" i="14"/>
  <c r="F66" i="14"/>
  <c r="E66" i="14"/>
  <c r="D66" i="14"/>
  <c r="C66" i="14"/>
  <c r="G65" i="14"/>
  <c r="F65" i="14"/>
  <c r="E65" i="14"/>
  <c r="D65" i="14"/>
  <c r="C65" i="14"/>
  <c r="G64" i="14"/>
  <c r="F64" i="14"/>
  <c r="E64" i="14"/>
  <c r="D64" i="14"/>
  <c r="C64" i="14"/>
  <c r="G63" i="14"/>
  <c r="F63" i="14"/>
  <c r="E63" i="14"/>
  <c r="D63" i="14"/>
  <c r="C63" i="14"/>
  <c r="G62" i="14"/>
  <c r="F62" i="14"/>
  <c r="E62" i="14"/>
  <c r="D62" i="14"/>
  <c r="C62" i="14"/>
  <c r="G61" i="14"/>
  <c r="F61" i="14"/>
  <c r="E61" i="14"/>
  <c r="D61" i="14"/>
  <c r="C61" i="14"/>
  <c r="G60" i="14"/>
  <c r="F60" i="14"/>
  <c r="E60" i="14"/>
  <c r="D60" i="14"/>
  <c r="C60" i="14"/>
  <c r="G59" i="14"/>
  <c r="F59" i="14"/>
  <c r="E59" i="14"/>
  <c r="D59" i="14"/>
  <c r="C59" i="14"/>
  <c r="E55" i="14"/>
  <c r="A46" i="14"/>
  <c r="A45" i="14"/>
  <c r="A44" i="14"/>
  <c r="A43" i="14"/>
  <c r="A42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G33" i="14"/>
  <c r="F33" i="14"/>
  <c r="E33" i="14"/>
  <c r="D33" i="14"/>
  <c r="C33" i="14"/>
  <c r="H32" i="14"/>
  <c r="H31" i="14"/>
  <c r="H30" i="14"/>
  <c r="H29" i="14"/>
  <c r="H28" i="14"/>
  <c r="H27" i="14"/>
  <c r="H26" i="14"/>
  <c r="G25" i="14"/>
  <c r="F25" i="14"/>
  <c r="E25" i="14"/>
  <c r="D25" i="14"/>
  <c r="C25" i="14"/>
  <c r="H24" i="14"/>
  <c r="H23" i="14"/>
  <c r="H22" i="14"/>
  <c r="C11" i="14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8" i="12"/>
  <c r="B8" i="12"/>
  <c r="C7" i="12"/>
  <c r="B7" i="12"/>
  <c r="C6" i="12"/>
  <c r="B6" i="12"/>
  <c r="C5" i="12"/>
  <c r="B5" i="12"/>
  <c r="C4" i="12"/>
  <c r="B4" i="12"/>
  <c r="F61" i="9"/>
  <c r="H50" i="9"/>
  <c r="G50" i="9"/>
  <c r="F50" i="9"/>
  <c r="B33" i="2" s="1"/>
  <c r="E50" i="9"/>
  <c r="D50" i="9"/>
  <c r="I40" i="9"/>
  <c r="I38" i="9"/>
  <c r="H4" i="9"/>
  <c r="G4" i="9"/>
  <c r="F4" i="9"/>
  <c r="E4" i="9"/>
  <c r="D4" i="9"/>
  <c r="E38" i="8"/>
  <c r="E40" i="8" s="1"/>
  <c r="D38" i="8"/>
  <c r="D40" i="8" s="1"/>
  <c r="C38" i="8"/>
  <c r="C40" i="8" s="1"/>
  <c r="B38" i="8"/>
  <c r="B40" i="8" s="1"/>
  <c r="F13" i="8"/>
  <c r="E13" i="8"/>
  <c r="D13" i="8"/>
  <c r="C13" i="8"/>
  <c r="B13" i="8"/>
  <c r="F8" i="8"/>
  <c r="F6" i="8"/>
  <c r="E6" i="8"/>
  <c r="D6" i="8"/>
  <c r="D7" i="8" s="1"/>
  <c r="C6" i="8"/>
  <c r="B6" i="8"/>
  <c r="F5" i="8"/>
  <c r="E5" i="8"/>
  <c r="D5" i="8"/>
  <c r="C5" i="8"/>
  <c r="C8" i="8" s="1"/>
  <c r="B5" i="8"/>
  <c r="B8" i="8" s="1"/>
  <c r="F4" i="8"/>
  <c r="F7" i="8" s="1"/>
  <c r="E4" i="8"/>
  <c r="E7" i="8" s="1"/>
  <c r="D4" i="8"/>
  <c r="C4" i="8"/>
  <c r="C7" i="8" s="1"/>
  <c r="B4" i="8"/>
  <c r="F3" i="8"/>
  <c r="E3" i="8"/>
  <c r="D3" i="8"/>
  <c r="C3" i="8"/>
  <c r="B3" i="8"/>
  <c r="B43" i="7"/>
  <c r="B42" i="7"/>
  <c r="B41" i="7"/>
  <c r="H35" i="7"/>
  <c r="H34" i="7"/>
  <c r="H18" i="7"/>
  <c r="H17" i="7"/>
  <c r="G81" i="4"/>
  <c r="H51" i="9" s="1"/>
  <c r="F81" i="4"/>
  <c r="G51" i="9" s="1"/>
  <c r="E81" i="4"/>
  <c r="F51" i="9" s="1"/>
  <c r="D81" i="4"/>
  <c r="E51" i="9" s="1"/>
  <c r="C81" i="4"/>
  <c r="G80" i="4"/>
  <c r="F80" i="4"/>
  <c r="E80" i="4"/>
  <c r="D80" i="4"/>
  <c r="C80" i="4"/>
  <c r="G79" i="4"/>
  <c r="F79" i="4"/>
  <c r="E79" i="4"/>
  <c r="D79" i="4"/>
  <c r="C79" i="4"/>
  <c r="G78" i="4"/>
  <c r="F78" i="4"/>
  <c r="E78" i="4"/>
  <c r="D78" i="4"/>
  <c r="C78" i="4"/>
  <c r="G77" i="4"/>
  <c r="F77" i="4"/>
  <c r="E77" i="4"/>
  <c r="D77" i="4"/>
  <c r="C77" i="4"/>
  <c r="G76" i="4"/>
  <c r="F76" i="4"/>
  <c r="E76" i="4"/>
  <c r="D76" i="4"/>
  <c r="C76" i="4"/>
  <c r="G75" i="4"/>
  <c r="F75" i="4"/>
  <c r="E75" i="4"/>
  <c r="D75" i="4"/>
  <c r="C75" i="4"/>
  <c r="G74" i="4"/>
  <c r="F74" i="4"/>
  <c r="E74" i="4"/>
  <c r="D74" i="4"/>
  <c r="C74" i="4"/>
  <c r="G73" i="4"/>
  <c r="F73" i="4"/>
  <c r="G72" i="4"/>
  <c r="F72" i="4"/>
  <c r="E72" i="4"/>
  <c r="E73" i="4" s="1"/>
  <c r="D72" i="4"/>
  <c r="D73" i="4" s="1"/>
  <c r="C72" i="4"/>
  <c r="C73" i="4" s="1"/>
  <c r="G71" i="4"/>
  <c r="F12" i="8" s="1"/>
  <c r="F71" i="4"/>
  <c r="E12" i="8" s="1"/>
  <c r="E71" i="4"/>
  <c r="D12" i="8" s="1"/>
  <c r="D71" i="4"/>
  <c r="C12" i="8" s="1"/>
  <c r="C71" i="4"/>
  <c r="B12" i="8" s="1"/>
  <c r="G70" i="4"/>
  <c r="F11" i="8" s="1"/>
  <c r="F70" i="4"/>
  <c r="E11" i="8" s="1"/>
  <c r="E70" i="4"/>
  <c r="D11" i="8" s="1"/>
  <c r="D70" i="4"/>
  <c r="C11" i="8" s="1"/>
  <c r="C70" i="4"/>
  <c r="B11" i="8" s="1"/>
  <c r="G69" i="4"/>
  <c r="F10" i="8" s="1"/>
  <c r="F69" i="4"/>
  <c r="E10" i="8" s="1"/>
  <c r="E69" i="4"/>
  <c r="D10" i="8" s="1"/>
  <c r="D69" i="4"/>
  <c r="C10" i="8" s="1"/>
  <c r="C69" i="4"/>
  <c r="B10" i="8" s="1"/>
  <c r="G68" i="4"/>
  <c r="F68" i="4"/>
  <c r="E9" i="8" s="1"/>
  <c r="E68" i="4"/>
  <c r="D9" i="8" s="1"/>
  <c r="D68" i="4"/>
  <c r="C9" i="8" s="1"/>
  <c r="C68" i="4"/>
  <c r="B9" i="8" s="1"/>
  <c r="G67" i="4"/>
  <c r="F67" i="4"/>
  <c r="E67" i="4"/>
  <c r="D67" i="4"/>
  <c r="C67" i="4"/>
  <c r="G66" i="4"/>
  <c r="F66" i="4"/>
  <c r="E66" i="4"/>
  <c r="D66" i="4"/>
  <c r="C66" i="4"/>
  <c r="C56" i="14" s="1"/>
  <c r="G64" i="4"/>
  <c r="F64" i="4"/>
  <c r="E64" i="4"/>
  <c r="D64" i="4"/>
  <c r="C64" i="4"/>
  <c r="G63" i="4"/>
  <c r="F63" i="4"/>
  <c r="E63" i="4"/>
  <c r="D63" i="4"/>
  <c r="C63" i="4"/>
  <c r="G62" i="4"/>
  <c r="F62" i="4"/>
  <c r="E62" i="4"/>
  <c r="D62" i="4"/>
  <c r="C62" i="4"/>
  <c r="G61" i="4"/>
  <c r="F61" i="4"/>
  <c r="E61" i="4"/>
  <c r="D61" i="4"/>
  <c r="D65" i="4" s="1"/>
  <c r="C61" i="4"/>
  <c r="G60" i="4"/>
  <c r="F60" i="4"/>
  <c r="E60" i="4"/>
  <c r="D60" i="4"/>
  <c r="C60" i="4"/>
  <c r="B18" i="3"/>
  <c r="B17" i="3"/>
  <c r="B16" i="3"/>
  <c r="J64" i="9" s="1"/>
  <c r="E9" i="12" s="1"/>
  <c r="F9" i="12" s="1"/>
  <c r="A47" i="2"/>
  <c r="A46" i="2"/>
  <c r="A45" i="2"/>
  <c r="A44" i="2"/>
  <c r="B35" i="2"/>
  <c r="A35" i="2"/>
  <c r="B34" i="2"/>
  <c r="A34" i="2"/>
  <c r="F33" i="2"/>
  <c r="A33" i="2"/>
  <c r="B32" i="2"/>
  <c r="A32" i="2"/>
  <c r="B31" i="2"/>
  <c r="A31" i="2"/>
  <c r="F23" i="2"/>
  <c r="E23" i="2"/>
  <c r="D23" i="2"/>
  <c r="C23" i="2"/>
  <c r="B23" i="2"/>
  <c r="A11" i="2"/>
  <c r="B10" i="2"/>
  <c r="B9" i="2"/>
  <c r="B8" i="2"/>
  <c r="B7" i="2"/>
  <c r="B6" i="2"/>
  <c r="B5" i="2"/>
  <c r="D8" i="8" l="1"/>
  <c r="E8" i="8"/>
  <c r="B7" i="8"/>
  <c r="E65" i="4"/>
  <c r="F65" i="4"/>
  <c r="C15" i="14"/>
  <c r="G65" i="4"/>
  <c r="C65" i="4"/>
  <c r="E150" i="15"/>
  <c r="E149" i="15"/>
  <c r="E157" i="15"/>
  <c r="E156" i="15"/>
  <c r="E155" i="15"/>
  <c r="E154" i="15"/>
  <c r="E127" i="15"/>
  <c r="E125" i="15"/>
  <c r="E152" i="15"/>
  <c r="E122" i="15"/>
  <c r="E101" i="15"/>
  <c r="E100" i="15"/>
  <c r="E129" i="15"/>
  <c r="E99" i="15"/>
  <c r="E98" i="15"/>
  <c r="E77" i="15"/>
  <c r="E74" i="15"/>
  <c r="E104" i="15"/>
  <c r="E71" i="15"/>
  <c r="E75" i="15"/>
  <c r="E72" i="15"/>
  <c r="E102" i="15"/>
  <c r="E68" i="15"/>
  <c r="E73" i="15"/>
  <c r="E48" i="15"/>
  <c r="E46" i="15"/>
  <c r="E19" i="15"/>
  <c r="E44" i="15"/>
  <c r="E17" i="15"/>
  <c r="E14" i="15"/>
  <c r="E21" i="15"/>
  <c r="D14" i="8"/>
  <c r="C14" i="8"/>
  <c r="E14" i="8"/>
  <c r="B14" i="8"/>
  <c r="C116" i="17"/>
  <c r="C116" i="16"/>
  <c r="F15" i="8" s="1"/>
  <c r="C116" i="15"/>
  <c r="D25" i="17"/>
  <c r="C25" i="17" s="1"/>
  <c r="D25" i="16"/>
  <c r="D25" i="15"/>
  <c r="D3" i="9"/>
  <c r="D16" i="9"/>
  <c r="D18" i="9"/>
  <c r="I20" i="9"/>
  <c r="C8" i="17"/>
  <c r="C8" i="16"/>
  <c r="B15" i="8" s="1"/>
  <c r="D52" i="17"/>
  <c r="C52" i="17" s="1"/>
  <c r="D52" i="16"/>
  <c r="C52" i="16" s="1"/>
  <c r="E17" i="9" s="1"/>
  <c r="D52" i="15"/>
  <c r="C52" i="15" s="1"/>
  <c r="E16" i="9"/>
  <c r="E18" i="9"/>
  <c r="C8" i="15"/>
  <c r="C35" i="17"/>
  <c r="C35" i="16"/>
  <c r="C15" i="8" s="1"/>
  <c r="C35" i="15"/>
  <c r="D79" i="17"/>
  <c r="C79" i="17" s="1"/>
  <c r="D79" i="16"/>
  <c r="C79" i="16" s="1"/>
  <c r="D79" i="15"/>
  <c r="F18" i="9"/>
  <c r="I21" i="9"/>
  <c r="G16" i="9"/>
  <c r="G18" i="9"/>
  <c r="C62" i="17"/>
  <c r="C62" i="16"/>
  <c r="D15" i="8" s="1"/>
  <c r="C62" i="15"/>
  <c r="D106" i="17"/>
  <c r="C106" i="17" s="1"/>
  <c r="D106" i="16"/>
  <c r="D106" i="15"/>
  <c r="C106" i="15" s="1"/>
  <c r="C89" i="17"/>
  <c r="C89" i="16"/>
  <c r="E15" i="8" s="1"/>
  <c r="C89" i="15"/>
  <c r="D133" i="17"/>
  <c r="D133" i="16"/>
  <c r="C133" i="16" s="1"/>
  <c r="D133" i="15"/>
  <c r="F9" i="8"/>
  <c r="F14" i="8" s="1"/>
  <c r="F16" i="8" s="1"/>
  <c r="H16" i="9"/>
  <c r="H18" i="9"/>
  <c r="E117" i="15"/>
  <c r="E118" i="15"/>
  <c r="E90" i="15"/>
  <c r="E37" i="15"/>
  <c r="E50" i="15" s="1"/>
  <c r="E36" i="15"/>
  <c r="E91" i="15"/>
  <c r="E94" i="15" s="1"/>
  <c r="E64" i="15"/>
  <c r="E65" i="15" s="1"/>
  <c r="E63" i="15"/>
  <c r="E66" i="15" s="1"/>
  <c r="E10" i="15"/>
  <c r="E11" i="15" s="1"/>
  <c r="E9" i="15"/>
  <c r="F4" i="15"/>
  <c r="B163" i="17"/>
  <c r="B163" i="16"/>
  <c r="B163" i="15"/>
  <c r="D19" i="9"/>
  <c r="D148" i="17"/>
  <c r="C148" i="17" s="1"/>
  <c r="D147" i="17"/>
  <c r="C147" i="17" s="1"/>
  <c r="D148" i="16"/>
  <c r="C148" i="16" s="1"/>
  <c r="I23" i="9" s="1"/>
  <c r="J23" i="9" s="1"/>
  <c r="D147" i="16"/>
  <c r="C147" i="16" s="1"/>
  <c r="I22" i="9" s="1"/>
  <c r="J22" i="9" s="1"/>
  <c r="D148" i="15"/>
  <c r="C148" i="15" s="1"/>
  <c r="D147" i="15"/>
  <c r="C147" i="15" s="1"/>
  <c r="C163" i="17"/>
  <c r="C163" i="16"/>
  <c r="C163" i="15"/>
  <c r="E19" i="9"/>
  <c r="B19" i="3"/>
  <c r="D163" i="17"/>
  <c r="D163" i="16"/>
  <c r="D163" i="15"/>
  <c r="F17" i="9"/>
  <c r="F19" i="9"/>
  <c r="E163" i="17"/>
  <c r="E163" i="16"/>
  <c r="E163" i="15"/>
  <c r="G19" i="9"/>
  <c r="F163" i="17"/>
  <c r="F163" i="16"/>
  <c r="F163" i="15"/>
  <c r="H17" i="9"/>
  <c r="H19" i="9"/>
  <c r="D51" i="9"/>
  <c r="J51" i="9" s="1"/>
  <c r="D110" i="15"/>
  <c r="E118" i="16"/>
  <c r="E117" i="16"/>
  <c r="E91" i="16"/>
  <c r="E90" i="16"/>
  <c r="E64" i="16"/>
  <c r="E63" i="16"/>
  <c r="E66" i="16" s="1"/>
  <c r="E37" i="16"/>
  <c r="E36" i="16"/>
  <c r="E5" i="16"/>
  <c r="F4" i="16"/>
  <c r="E9" i="16"/>
  <c r="E10" i="16"/>
  <c r="C78" i="16"/>
  <c r="F16" i="9" s="1"/>
  <c r="D83" i="16"/>
  <c r="E118" i="17"/>
  <c r="E117" i="17"/>
  <c r="E91" i="17"/>
  <c r="E90" i="17"/>
  <c r="E64" i="17"/>
  <c r="E63" i="17"/>
  <c r="E66" i="17" s="1"/>
  <c r="E37" i="17"/>
  <c r="E36" i="17"/>
  <c r="E5" i="17"/>
  <c r="F4" i="17"/>
  <c r="E9" i="17"/>
  <c r="E10" i="17"/>
  <c r="D56" i="17"/>
  <c r="D83" i="17"/>
  <c r="C145" i="17"/>
  <c r="E11" i="16" l="1"/>
  <c r="E119" i="15"/>
  <c r="E128" i="15" s="1"/>
  <c r="E92" i="17"/>
  <c r="E65" i="17"/>
  <c r="D158" i="16"/>
  <c r="D137" i="16"/>
  <c r="D56" i="16"/>
  <c r="E12" i="15"/>
  <c r="C106" i="16"/>
  <c r="G17" i="9" s="1"/>
  <c r="D110" i="16"/>
  <c r="C25" i="16"/>
  <c r="D17" i="9" s="1"/>
  <c r="D29" i="16"/>
  <c r="C16" i="8"/>
  <c r="E151" i="15"/>
  <c r="C79" i="15"/>
  <c r="D83" i="15"/>
  <c r="D29" i="17"/>
  <c r="E65" i="16"/>
  <c r="D56" i="15"/>
  <c r="J20" i="9"/>
  <c r="D16" i="8"/>
  <c r="E11" i="17"/>
  <c r="J18" i="9"/>
  <c r="E20" i="15"/>
  <c r="E69" i="15"/>
  <c r="E82" i="15"/>
  <c r="E70" i="15"/>
  <c r="E131" i="15"/>
  <c r="E76" i="15"/>
  <c r="J16" i="9"/>
  <c r="F118" i="17"/>
  <c r="F117" i="17"/>
  <c r="F91" i="17"/>
  <c r="F90" i="17"/>
  <c r="F64" i="17"/>
  <c r="F63" i="17"/>
  <c r="F66" i="17" s="1"/>
  <c r="F37" i="17"/>
  <c r="F36" i="17"/>
  <c r="F10" i="17"/>
  <c r="F9" i="17"/>
  <c r="G4" i="17"/>
  <c r="F5" i="17"/>
  <c r="E92" i="15"/>
  <c r="C133" i="15"/>
  <c r="D137" i="15"/>
  <c r="J21" i="9"/>
  <c r="F91" i="16"/>
  <c r="F90" i="16"/>
  <c r="F117" i="16"/>
  <c r="F64" i="16"/>
  <c r="F63" i="16"/>
  <c r="F66" i="16" s="1"/>
  <c r="F37" i="16"/>
  <c r="F36" i="16"/>
  <c r="F118" i="16"/>
  <c r="F10" i="16"/>
  <c r="F9" i="16"/>
  <c r="G4" i="16"/>
  <c r="F5" i="16"/>
  <c r="F118" i="15"/>
  <c r="F117" i="15"/>
  <c r="F91" i="15"/>
  <c r="F92" i="15" s="1"/>
  <c r="F93" i="15" s="1"/>
  <c r="F90" i="15"/>
  <c r="F37" i="15"/>
  <c r="F36" i="15"/>
  <c r="F64" i="15"/>
  <c r="F63" i="15"/>
  <c r="F66" i="15" s="1"/>
  <c r="F10" i="15"/>
  <c r="F9" i="15"/>
  <c r="G4" i="15"/>
  <c r="F5" i="15"/>
  <c r="E13" i="15"/>
  <c r="E121" i="15"/>
  <c r="E92" i="16"/>
  <c r="E151" i="17"/>
  <c r="E155" i="17"/>
  <c r="E149" i="17"/>
  <c r="E154" i="17"/>
  <c r="E157" i="17"/>
  <c r="E150" i="17"/>
  <c r="E131" i="17"/>
  <c r="E129" i="17"/>
  <c r="E128" i="17"/>
  <c r="E156" i="17"/>
  <c r="E152" i="17"/>
  <c r="E121" i="17"/>
  <c r="E125" i="17"/>
  <c r="E102" i="17"/>
  <c r="E127" i="17"/>
  <c r="E101" i="17"/>
  <c r="E122" i="17"/>
  <c r="E94" i="17"/>
  <c r="E99" i="17"/>
  <c r="E98" i="17"/>
  <c r="E104" i="17"/>
  <c r="E100" i="17"/>
  <c r="E68" i="17"/>
  <c r="E77" i="17"/>
  <c r="E76" i="17"/>
  <c r="E75" i="17"/>
  <c r="E73" i="17"/>
  <c r="E48" i="17"/>
  <c r="E70" i="17"/>
  <c r="E67" i="17"/>
  <c r="E71" i="17"/>
  <c r="E69" i="17"/>
  <c r="E74" i="17"/>
  <c r="E72" i="17"/>
  <c r="E40" i="17"/>
  <c r="E50" i="17"/>
  <c r="E46" i="17"/>
  <c r="E82" i="17"/>
  <c r="E23" i="17"/>
  <c r="E44" i="17"/>
  <c r="E21" i="17"/>
  <c r="E20" i="17"/>
  <c r="E19" i="17"/>
  <c r="E14" i="17"/>
  <c r="E17" i="17"/>
  <c r="E13" i="17"/>
  <c r="E119" i="17"/>
  <c r="J19" i="9"/>
  <c r="E38" i="15"/>
  <c r="C133" i="17"/>
  <c r="D137" i="17"/>
  <c r="E40" i="15"/>
  <c r="E12" i="16"/>
  <c r="E15" i="16" s="1"/>
  <c r="E151" i="16"/>
  <c r="E150" i="16"/>
  <c r="E149" i="16"/>
  <c r="E157" i="16"/>
  <c r="E156" i="16"/>
  <c r="E155" i="16"/>
  <c r="E129" i="16"/>
  <c r="E127" i="16"/>
  <c r="E152" i="16"/>
  <c r="E125" i="16"/>
  <c r="E122" i="16"/>
  <c r="E154" i="16"/>
  <c r="E121" i="16"/>
  <c r="E77" i="16"/>
  <c r="E76" i="16"/>
  <c r="E94" i="16"/>
  <c r="E75" i="16"/>
  <c r="E104" i="16"/>
  <c r="E82" i="16"/>
  <c r="E74" i="16"/>
  <c r="E73" i="16"/>
  <c r="E102" i="16"/>
  <c r="E71" i="16"/>
  <c r="E101" i="16"/>
  <c r="E99" i="16"/>
  <c r="E131" i="16"/>
  <c r="E98" i="16"/>
  <c r="E69" i="16"/>
  <c r="E50" i="16"/>
  <c r="E68" i="16"/>
  <c r="E70" i="16"/>
  <c r="E67" i="16"/>
  <c r="E48" i="16"/>
  <c r="E100" i="16"/>
  <c r="E19" i="16"/>
  <c r="E46" i="16"/>
  <c r="E18" i="16"/>
  <c r="E72" i="16"/>
  <c r="E44" i="16"/>
  <c r="E17" i="16"/>
  <c r="E22" i="16"/>
  <c r="E28" i="16"/>
  <c r="E40" i="16"/>
  <c r="E21" i="16"/>
  <c r="E20" i="16"/>
  <c r="E13" i="16"/>
  <c r="E23" i="16"/>
  <c r="E14" i="16"/>
  <c r="E119" i="16"/>
  <c r="E128" i="16" s="1"/>
  <c r="E120" i="15"/>
  <c r="B16" i="8"/>
  <c r="C8" i="14" s="1"/>
  <c r="E38" i="17"/>
  <c r="D176" i="16"/>
  <c r="G26" i="2"/>
  <c r="G28" i="2"/>
  <c r="E23" i="15"/>
  <c r="E93" i="17"/>
  <c r="E95" i="17" s="1"/>
  <c r="D158" i="17"/>
  <c r="E67" i="15"/>
  <c r="D110" i="17"/>
  <c r="E38" i="16"/>
  <c r="E41" i="16" s="1"/>
  <c r="D158" i="15"/>
  <c r="C25" i="15"/>
  <c r="D29" i="15"/>
  <c r="E16" i="8"/>
  <c r="E97" i="17" l="1"/>
  <c r="F92" i="17"/>
  <c r="F93" i="17" s="1"/>
  <c r="F38" i="17"/>
  <c r="F39" i="17" s="1"/>
  <c r="F45" i="17" s="1"/>
  <c r="F65" i="17"/>
  <c r="F11" i="15"/>
  <c r="F119" i="15"/>
  <c r="F128" i="15" s="1"/>
  <c r="E16" i="15"/>
  <c r="E15" i="15"/>
  <c r="E28" i="15"/>
  <c r="E22" i="15"/>
  <c r="E18" i="15"/>
  <c r="E39" i="17"/>
  <c r="F65" i="16"/>
  <c r="E93" i="15"/>
  <c r="E83" i="15"/>
  <c r="F150" i="17"/>
  <c r="F155" i="17"/>
  <c r="F151" i="17"/>
  <c r="F149" i="17"/>
  <c r="F154" i="17"/>
  <c r="F157" i="17"/>
  <c r="F156" i="17"/>
  <c r="F152" i="17"/>
  <c r="F129" i="17"/>
  <c r="F127" i="17"/>
  <c r="F131" i="17"/>
  <c r="F122" i="17"/>
  <c r="F121" i="17"/>
  <c r="F109" i="17"/>
  <c r="F101" i="17"/>
  <c r="F100" i="17"/>
  <c r="F82" i="17"/>
  <c r="F99" i="17"/>
  <c r="F98" i="17"/>
  <c r="F102" i="17"/>
  <c r="F104" i="17"/>
  <c r="F97" i="17"/>
  <c r="F103" i="17"/>
  <c r="F125" i="17"/>
  <c r="F96" i="17"/>
  <c r="F67" i="17"/>
  <c r="F77" i="17"/>
  <c r="F76" i="17"/>
  <c r="F75" i="17"/>
  <c r="F74" i="17"/>
  <c r="F94" i="17"/>
  <c r="F72" i="17"/>
  <c r="F95" i="17"/>
  <c r="F70" i="17"/>
  <c r="F55" i="17"/>
  <c r="F47" i="17"/>
  <c r="F68" i="17"/>
  <c r="F71" i="17"/>
  <c r="F69" i="17"/>
  <c r="F40" i="17"/>
  <c r="F49" i="17"/>
  <c r="F48" i="17"/>
  <c r="F73" i="17"/>
  <c r="F50" i="17"/>
  <c r="F46" i="17"/>
  <c r="F44" i="17"/>
  <c r="F14" i="17"/>
  <c r="F42" i="17"/>
  <c r="F23" i="17"/>
  <c r="F41" i="17"/>
  <c r="F21" i="17"/>
  <c r="F19" i="17"/>
  <c r="F17" i="17"/>
  <c r="F13" i="17"/>
  <c r="F43" i="17"/>
  <c r="E93" i="16"/>
  <c r="F65" i="15"/>
  <c r="F150" i="16"/>
  <c r="F149" i="16"/>
  <c r="F157" i="16"/>
  <c r="F156" i="16"/>
  <c r="F155" i="16"/>
  <c r="F154" i="16"/>
  <c r="F129" i="16"/>
  <c r="F127" i="16"/>
  <c r="F152" i="16"/>
  <c r="F125" i="16"/>
  <c r="F104" i="16"/>
  <c r="F122" i="16"/>
  <c r="F151" i="16"/>
  <c r="F121" i="16"/>
  <c r="F76" i="16"/>
  <c r="F94" i="16"/>
  <c r="F75" i="16"/>
  <c r="F82" i="16"/>
  <c r="F74" i="16"/>
  <c r="F72" i="16"/>
  <c r="F102" i="16"/>
  <c r="F101" i="16"/>
  <c r="F70" i="16"/>
  <c r="F100" i="16"/>
  <c r="F98" i="16"/>
  <c r="F131" i="16"/>
  <c r="F69" i="16"/>
  <c r="F50" i="16"/>
  <c r="F68" i="16"/>
  <c r="F67" i="16"/>
  <c r="F48" i="16"/>
  <c r="F77" i="16"/>
  <c r="F46" i="16"/>
  <c r="F99" i="16"/>
  <c r="F71" i="16"/>
  <c r="F44" i="16"/>
  <c r="F17" i="16"/>
  <c r="F23" i="16"/>
  <c r="F40" i="16"/>
  <c r="F21" i="16"/>
  <c r="F73" i="16"/>
  <c r="F13" i="16"/>
  <c r="F14" i="16"/>
  <c r="F19" i="16"/>
  <c r="G117" i="17"/>
  <c r="G91" i="17"/>
  <c r="G90" i="17"/>
  <c r="G118" i="17"/>
  <c r="G64" i="17"/>
  <c r="G63" i="17"/>
  <c r="G66" i="17" s="1"/>
  <c r="G37" i="17"/>
  <c r="G36" i="17"/>
  <c r="G10" i="17"/>
  <c r="G9" i="17"/>
  <c r="H4" i="17"/>
  <c r="G5" i="17"/>
  <c r="D175" i="17"/>
  <c r="E83" i="17"/>
  <c r="E130" i="15"/>
  <c r="E124" i="15"/>
  <c r="E123" i="15"/>
  <c r="E136" i="15"/>
  <c r="E126" i="15"/>
  <c r="E41" i="17"/>
  <c r="G91" i="16"/>
  <c r="G90" i="16"/>
  <c r="G117" i="16"/>
  <c r="G64" i="16"/>
  <c r="G65" i="16" s="1"/>
  <c r="G63" i="16"/>
  <c r="G66" i="16" s="1"/>
  <c r="G118" i="16"/>
  <c r="G37" i="16"/>
  <c r="G38" i="16" s="1"/>
  <c r="G39" i="16" s="1"/>
  <c r="G36" i="16"/>
  <c r="G10" i="16"/>
  <c r="G9" i="16"/>
  <c r="H4" i="16"/>
  <c r="G5" i="16"/>
  <c r="D176" i="17"/>
  <c r="E120" i="16"/>
  <c r="E120" i="17"/>
  <c r="E109" i="17"/>
  <c r="F92" i="16"/>
  <c r="F93" i="16" s="1"/>
  <c r="F97" i="16" s="1"/>
  <c r="F11" i="17"/>
  <c r="F12" i="17" s="1"/>
  <c r="F119" i="17"/>
  <c r="F120" i="17" s="1"/>
  <c r="F126" i="17" s="1"/>
  <c r="G118" i="15"/>
  <c r="G117" i="15"/>
  <c r="G91" i="15"/>
  <c r="G90" i="15"/>
  <c r="G37" i="15"/>
  <c r="G36" i="15"/>
  <c r="G64" i="15"/>
  <c r="G63" i="15"/>
  <c r="G66" i="15" s="1"/>
  <c r="G10" i="15"/>
  <c r="G9" i="15"/>
  <c r="H4" i="15"/>
  <c r="G5" i="15"/>
  <c r="F38" i="16"/>
  <c r="F39" i="16" s="1"/>
  <c r="F55" i="16" s="1"/>
  <c r="D175" i="15"/>
  <c r="E96" i="17"/>
  <c r="E137" i="15"/>
  <c r="F11" i="16"/>
  <c r="F20" i="16" s="1"/>
  <c r="E39" i="15"/>
  <c r="E144" i="15" s="1"/>
  <c r="E41" i="15"/>
  <c r="E47" i="15"/>
  <c r="E47" i="16"/>
  <c r="D176" i="15"/>
  <c r="E16" i="16"/>
  <c r="F38" i="15"/>
  <c r="F39" i="15" s="1"/>
  <c r="F45" i="15" s="1"/>
  <c r="F119" i="16"/>
  <c r="F120" i="16" s="1"/>
  <c r="F126" i="16" s="1"/>
  <c r="D175" i="16"/>
  <c r="E39" i="16"/>
  <c r="E83" i="16"/>
  <c r="E29" i="15"/>
  <c r="J17" i="9"/>
  <c r="E47" i="17"/>
  <c r="E103" i="17"/>
  <c r="F149" i="15"/>
  <c r="F157" i="15"/>
  <c r="F156" i="15"/>
  <c r="F155" i="15"/>
  <c r="F154" i="15"/>
  <c r="F152" i="15"/>
  <c r="F127" i="15"/>
  <c r="F150" i="15"/>
  <c r="F151" i="15"/>
  <c r="F125" i="15"/>
  <c r="F122" i="15"/>
  <c r="F121" i="15"/>
  <c r="F109" i="15"/>
  <c r="F131" i="15"/>
  <c r="F100" i="15"/>
  <c r="F129" i="15"/>
  <c r="F99" i="15"/>
  <c r="F98" i="15"/>
  <c r="F97" i="15"/>
  <c r="F96" i="15"/>
  <c r="F77" i="15"/>
  <c r="F95" i="15"/>
  <c r="F76" i="15"/>
  <c r="F94" i="15"/>
  <c r="F75" i="15"/>
  <c r="F82" i="15"/>
  <c r="F104" i="15"/>
  <c r="F73" i="15"/>
  <c r="F103" i="15"/>
  <c r="F41" i="15"/>
  <c r="F40" i="15"/>
  <c r="F101" i="15"/>
  <c r="F72" i="15"/>
  <c r="F102" i="15"/>
  <c r="F70" i="15"/>
  <c r="F69" i="15"/>
  <c r="F50" i="15"/>
  <c r="F68" i="15"/>
  <c r="F67" i="15"/>
  <c r="F48" i="15"/>
  <c r="F55" i="15"/>
  <c r="F46" i="15"/>
  <c r="F74" i="15"/>
  <c r="F44" i="15"/>
  <c r="F17" i="15"/>
  <c r="F71" i="15"/>
  <c r="F14" i="15"/>
  <c r="F13" i="15"/>
  <c r="F23" i="15"/>
  <c r="F21" i="15"/>
  <c r="F20" i="15"/>
  <c r="F19" i="15"/>
  <c r="E12" i="17"/>
  <c r="F128" i="16" l="1"/>
  <c r="G92" i="15"/>
  <c r="G93" i="15" s="1"/>
  <c r="F43" i="16"/>
  <c r="F136" i="16"/>
  <c r="F95" i="16"/>
  <c r="F130" i="16"/>
  <c r="F109" i="16"/>
  <c r="F144" i="17"/>
  <c r="F153" i="17" s="1"/>
  <c r="F158" i="17" s="1"/>
  <c r="F176" i="17" s="1"/>
  <c r="G92" i="17"/>
  <c r="G101" i="17" s="1"/>
  <c r="F123" i="17"/>
  <c r="G92" i="16"/>
  <c r="G93" i="16" s="1"/>
  <c r="E153" i="15"/>
  <c r="F18" i="17"/>
  <c r="G119" i="16"/>
  <c r="G120" i="16" s="1"/>
  <c r="G65" i="17"/>
  <c r="G74" i="17" s="1"/>
  <c r="F83" i="16"/>
  <c r="F136" i="17"/>
  <c r="F83" i="17"/>
  <c r="E144" i="17"/>
  <c r="E15" i="17"/>
  <c r="E18" i="17"/>
  <c r="E16" i="17"/>
  <c r="E22" i="17"/>
  <c r="E28" i="17"/>
  <c r="F83" i="15"/>
  <c r="G38" i="15"/>
  <c r="G39" i="15" s="1"/>
  <c r="D177" i="17"/>
  <c r="G119" i="17"/>
  <c r="G128" i="17" s="1"/>
  <c r="F47" i="16"/>
  <c r="F49" i="16"/>
  <c r="F123" i="16"/>
  <c r="F20" i="17"/>
  <c r="F124" i="17"/>
  <c r="F49" i="15"/>
  <c r="G149" i="17"/>
  <c r="G154" i="17"/>
  <c r="G157" i="17"/>
  <c r="G150" i="17"/>
  <c r="G151" i="17"/>
  <c r="G129" i="17"/>
  <c r="G127" i="17"/>
  <c r="G156" i="17"/>
  <c r="G155" i="17"/>
  <c r="G131" i="17"/>
  <c r="G122" i="17"/>
  <c r="G152" i="17"/>
  <c r="G121" i="17"/>
  <c r="G125" i="17"/>
  <c r="G100" i="17"/>
  <c r="G98" i="17"/>
  <c r="G102" i="17"/>
  <c r="G104" i="17"/>
  <c r="G77" i="17"/>
  <c r="G76" i="17"/>
  <c r="G75" i="17"/>
  <c r="G73" i="17"/>
  <c r="G94" i="17"/>
  <c r="G82" i="17"/>
  <c r="G67" i="17"/>
  <c r="G68" i="17"/>
  <c r="G71" i="17"/>
  <c r="G69" i="17"/>
  <c r="G72" i="17"/>
  <c r="G48" i="17"/>
  <c r="G70" i="17"/>
  <c r="G50" i="17"/>
  <c r="G46" i="17"/>
  <c r="G44" i="17"/>
  <c r="G14" i="17"/>
  <c r="G13" i="17"/>
  <c r="G23" i="17"/>
  <c r="G21" i="17"/>
  <c r="G19" i="17"/>
  <c r="G40" i="17"/>
  <c r="G17" i="17"/>
  <c r="F124" i="16"/>
  <c r="F28" i="17"/>
  <c r="F110" i="17"/>
  <c r="E29" i="16"/>
  <c r="G157" i="15"/>
  <c r="G156" i="15"/>
  <c r="G155" i="15"/>
  <c r="G154" i="15"/>
  <c r="G152" i="15"/>
  <c r="G151" i="15"/>
  <c r="G150" i="15"/>
  <c r="G125" i="15"/>
  <c r="G104" i="15"/>
  <c r="G122" i="15"/>
  <c r="G121" i="15"/>
  <c r="G109" i="15"/>
  <c r="G131" i="15"/>
  <c r="G129" i="15"/>
  <c r="G99" i="15"/>
  <c r="G149" i="15"/>
  <c r="G98" i="15"/>
  <c r="G97" i="15"/>
  <c r="G96" i="15"/>
  <c r="G77" i="15"/>
  <c r="G95" i="15"/>
  <c r="G76" i="15"/>
  <c r="G94" i="15"/>
  <c r="G75" i="15"/>
  <c r="G82" i="15"/>
  <c r="G103" i="15"/>
  <c r="G72" i="15"/>
  <c r="G102" i="15"/>
  <c r="G100" i="15"/>
  <c r="G40" i="15"/>
  <c r="G101" i="15"/>
  <c r="G70" i="15"/>
  <c r="G69" i="15"/>
  <c r="G50" i="15"/>
  <c r="G68" i="15"/>
  <c r="G49" i="15"/>
  <c r="G67" i="15"/>
  <c r="G48" i="15"/>
  <c r="G73" i="15"/>
  <c r="G55" i="15"/>
  <c r="G47" i="15"/>
  <c r="G127" i="15"/>
  <c r="G46" i="15"/>
  <c r="G45" i="15"/>
  <c r="G44" i="15"/>
  <c r="G43" i="15"/>
  <c r="G17" i="15"/>
  <c r="G71" i="15"/>
  <c r="G14" i="15"/>
  <c r="G13" i="15"/>
  <c r="G41" i="15"/>
  <c r="G23" i="15"/>
  <c r="G21" i="15"/>
  <c r="G42" i="15"/>
  <c r="G19" i="15"/>
  <c r="H117" i="17"/>
  <c r="H91" i="17"/>
  <c r="H90" i="17"/>
  <c r="H118" i="17"/>
  <c r="H64" i="17"/>
  <c r="H63" i="17"/>
  <c r="H66" i="17" s="1"/>
  <c r="H37" i="17"/>
  <c r="H36" i="17"/>
  <c r="H10" i="17"/>
  <c r="H9" i="17"/>
  <c r="I4" i="17"/>
  <c r="H5" i="17"/>
  <c r="G93" i="17"/>
  <c r="G109" i="17" s="1"/>
  <c r="H118" i="15"/>
  <c r="H117" i="15"/>
  <c r="H91" i="15"/>
  <c r="H90" i="15"/>
  <c r="H37" i="15"/>
  <c r="H36" i="15"/>
  <c r="H64" i="15"/>
  <c r="H63" i="15"/>
  <c r="H66" i="15" s="1"/>
  <c r="H10" i="15"/>
  <c r="H9" i="15"/>
  <c r="I4" i="15"/>
  <c r="H5" i="15"/>
  <c r="F128" i="17"/>
  <c r="E96" i="16"/>
  <c r="E109" i="16"/>
  <c r="E97" i="16"/>
  <c r="E95" i="16"/>
  <c r="E103" i="16"/>
  <c r="F43" i="15"/>
  <c r="E45" i="16"/>
  <c r="E49" i="16"/>
  <c r="E55" i="16"/>
  <c r="E42" i="16"/>
  <c r="E43" i="16"/>
  <c r="F110" i="15"/>
  <c r="G149" i="16"/>
  <c r="G157" i="16"/>
  <c r="G156" i="16"/>
  <c r="G155" i="16"/>
  <c r="G154" i="16"/>
  <c r="G136" i="16"/>
  <c r="G128" i="16"/>
  <c r="G127" i="16"/>
  <c r="G126" i="16"/>
  <c r="G152" i="16"/>
  <c r="G125" i="16"/>
  <c r="G124" i="16"/>
  <c r="G123" i="16"/>
  <c r="G104" i="16"/>
  <c r="G122" i="16"/>
  <c r="G103" i="16"/>
  <c r="G151" i="16"/>
  <c r="G121" i="16"/>
  <c r="G109" i="16"/>
  <c r="G131" i="16"/>
  <c r="G94" i="16"/>
  <c r="G75" i="16"/>
  <c r="G82" i="16"/>
  <c r="G74" i="16"/>
  <c r="G73" i="16"/>
  <c r="G102" i="16"/>
  <c r="G71" i="16"/>
  <c r="G101" i="16"/>
  <c r="G100" i="16"/>
  <c r="G129" i="16"/>
  <c r="G99" i="16"/>
  <c r="G97" i="16"/>
  <c r="G95" i="16"/>
  <c r="G69" i="16"/>
  <c r="G50" i="16"/>
  <c r="G98" i="16"/>
  <c r="G76" i="16"/>
  <c r="G68" i="16"/>
  <c r="G49" i="16"/>
  <c r="G67" i="16"/>
  <c r="G48" i="16"/>
  <c r="G130" i="16"/>
  <c r="G70" i="16"/>
  <c r="G55" i="16"/>
  <c r="G47" i="16"/>
  <c r="G150" i="16"/>
  <c r="G77" i="16"/>
  <c r="G72" i="16"/>
  <c r="G96" i="16"/>
  <c r="G46" i="16"/>
  <c r="G44" i="16"/>
  <c r="G17" i="16"/>
  <c r="G14" i="16"/>
  <c r="G45" i="16"/>
  <c r="G42" i="16"/>
  <c r="G23" i="16"/>
  <c r="G41" i="16"/>
  <c r="G22" i="16"/>
  <c r="G20" i="16"/>
  <c r="G40" i="16"/>
  <c r="G21" i="16"/>
  <c r="G43" i="16"/>
  <c r="G13" i="16"/>
  <c r="G19" i="16"/>
  <c r="G11" i="17"/>
  <c r="G12" i="17" s="1"/>
  <c r="G16" i="17" s="1"/>
  <c r="F103" i="16"/>
  <c r="F22" i="17"/>
  <c r="F56" i="17"/>
  <c r="E97" i="15"/>
  <c r="E96" i="15"/>
  <c r="E95" i="15"/>
  <c r="E109" i="15"/>
  <c r="E174" i="15" s="1"/>
  <c r="E103" i="15"/>
  <c r="E42" i="15"/>
  <c r="E49" i="15"/>
  <c r="E55" i="15"/>
  <c r="E45" i="15"/>
  <c r="E43" i="15"/>
  <c r="F42" i="15"/>
  <c r="F12" i="16"/>
  <c r="G11" i="15"/>
  <c r="G12" i="15" s="1"/>
  <c r="G15" i="15" s="1"/>
  <c r="G119" i="15"/>
  <c r="G120" i="15" s="1"/>
  <c r="G136" i="15" s="1"/>
  <c r="E123" i="17"/>
  <c r="E136" i="17"/>
  <c r="E130" i="17"/>
  <c r="E124" i="17"/>
  <c r="E126" i="17"/>
  <c r="H118" i="16"/>
  <c r="H117" i="16"/>
  <c r="H91" i="16"/>
  <c r="H90" i="16"/>
  <c r="H64" i="16"/>
  <c r="H63" i="16"/>
  <c r="H66" i="16" s="1"/>
  <c r="H36" i="16"/>
  <c r="H10" i="16"/>
  <c r="H9" i="16"/>
  <c r="I4" i="16"/>
  <c r="H5" i="16"/>
  <c r="H37" i="16"/>
  <c r="E144" i="16"/>
  <c r="F96" i="16"/>
  <c r="F110" i="16" s="1"/>
  <c r="F130" i="17"/>
  <c r="E110" i="17"/>
  <c r="E42" i="17"/>
  <c r="E45" i="17"/>
  <c r="E49" i="17"/>
  <c r="E55" i="17"/>
  <c r="E43" i="17"/>
  <c r="AK37" i="14"/>
  <c r="Y37" i="14"/>
  <c r="M37" i="14"/>
  <c r="AJ37" i="14"/>
  <c r="X37" i="14"/>
  <c r="L37" i="14"/>
  <c r="AI37" i="14"/>
  <c r="W37" i="14"/>
  <c r="K37" i="14"/>
  <c r="AH37" i="14"/>
  <c r="V37" i="14"/>
  <c r="J37" i="14"/>
  <c r="AG37" i="14"/>
  <c r="U37" i="14"/>
  <c r="I37" i="14"/>
  <c r="AF37" i="14"/>
  <c r="T37" i="14"/>
  <c r="H37" i="14"/>
  <c r="AE37" i="14"/>
  <c r="S37" i="14"/>
  <c r="G37" i="14"/>
  <c r="AD37" i="14"/>
  <c r="R37" i="14"/>
  <c r="F37" i="14"/>
  <c r="AC37" i="14"/>
  <c r="Q37" i="14"/>
  <c r="E37" i="14"/>
  <c r="AB37" i="14"/>
  <c r="P37" i="14"/>
  <c r="D37" i="14"/>
  <c r="AA37" i="14"/>
  <c r="O37" i="14"/>
  <c r="C37" i="14"/>
  <c r="B38" i="14"/>
  <c r="Z37" i="14"/>
  <c r="N37" i="14"/>
  <c r="B37" i="14"/>
  <c r="D177" i="16"/>
  <c r="G65" i="15"/>
  <c r="G74" i="15" s="1"/>
  <c r="G38" i="17"/>
  <c r="G47" i="17" s="1"/>
  <c r="F41" i="16"/>
  <c r="F42" i="16"/>
  <c r="F137" i="16"/>
  <c r="F15" i="17"/>
  <c r="F120" i="15"/>
  <c r="E130" i="16"/>
  <c r="E136" i="16"/>
  <c r="E126" i="16"/>
  <c r="E124" i="16"/>
  <c r="E123" i="16"/>
  <c r="G11" i="16"/>
  <c r="G12" i="16" s="1"/>
  <c r="G144" i="16" s="1"/>
  <c r="G153" i="16" s="1"/>
  <c r="F12" i="15"/>
  <c r="F47" i="15"/>
  <c r="D177" i="15"/>
  <c r="F45" i="16"/>
  <c r="F16" i="17"/>
  <c r="G16" i="15" l="1"/>
  <c r="G18" i="15"/>
  <c r="F56" i="16"/>
  <c r="G126" i="15"/>
  <c r="G15" i="17"/>
  <c r="H65" i="16"/>
  <c r="H38" i="16"/>
  <c r="H39" i="16" s="1"/>
  <c r="F29" i="17"/>
  <c r="E56" i="15"/>
  <c r="H119" i="17"/>
  <c r="H120" i="17" s="1"/>
  <c r="G83" i="15"/>
  <c r="E158" i="15"/>
  <c r="C38" i="14"/>
  <c r="C5" i="14" s="1"/>
  <c r="D178" i="17"/>
  <c r="F137" i="17"/>
  <c r="H157" i="16"/>
  <c r="H156" i="16"/>
  <c r="H155" i="16"/>
  <c r="H154" i="16"/>
  <c r="H152" i="16"/>
  <c r="H127" i="16"/>
  <c r="H149" i="16"/>
  <c r="H125" i="16"/>
  <c r="H104" i="16"/>
  <c r="H122" i="16"/>
  <c r="H151" i="16"/>
  <c r="H121" i="16"/>
  <c r="H131" i="16"/>
  <c r="H82" i="16"/>
  <c r="H74" i="16"/>
  <c r="H73" i="16"/>
  <c r="H72" i="16"/>
  <c r="H102" i="16"/>
  <c r="H101" i="16"/>
  <c r="H100" i="16"/>
  <c r="H129" i="16"/>
  <c r="H98" i="16"/>
  <c r="H150" i="16"/>
  <c r="H77" i="16"/>
  <c r="H76" i="16"/>
  <c r="H68" i="16"/>
  <c r="H67" i="16"/>
  <c r="H48" i="16"/>
  <c r="H70" i="16"/>
  <c r="H47" i="16"/>
  <c r="H94" i="16"/>
  <c r="H46" i="16"/>
  <c r="H75" i="16"/>
  <c r="H71" i="16"/>
  <c r="H69" i="16"/>
  <c r="H14" i="16"/>
  <c r="H13" i="16"/>
  <c r="H23" i="16"/>
  <c r="H50" i="16"/>
  <c r="H41" i="16"/>
  <c r="H40" i="16"/>
  <c r="H21" i="16"/>
  <c r="H19" i="16"/>
  <c r="H44" i="16"/>
  <c r="H17" i="16"/>
  <c r="H92" i="16"/>
  <c r="G144" i="15"/>
  <c r="G153" i="15" s="1"/>
  <c r="G158" i="15" s="1"/>
  <c r="G176" i="15" s="1"/>
  <c r="H38" i="15"/>
  <c r="H47" i="15" s="1"/>
  <c r="H65" i="17"/>
  <c r="H74" i="17" s="1"/>
  <c r="G20" i="15"/>
  <c r="G95" i="17"/>
  <c r="E174" i="17"/>
  <c r="D178" i="16"/>
  <c r="E153" i="16"/>
  <c r="F56" i="15"/>
  <c r="I118" i="16"/>
  <c r="I117" i="16"/>
  <c r="I91" i="16"/>
  <c r="I90" i="16"/>
  <c r="I64" i="16"/>
  <c r="I63" i="16"/>
  <c r="I66" i="16" s="1"/>
  <c r="I37" i="16"/>
  <c r="I36" i="16"/>
  <c r="I10" i="16"/>
  <c r="I9" i="16"/>
  <c r="J4" i="16"/>
  <c r="I5" i="16"/>
  <c r="G110" i="16"/>
  <c r="G130" i="15"/>
  <c r="G96" i="17"/>
  <c r="D178" i="15"/>
  <c r="H157" i="15"/>
  <c r="H156" i="15"/>
  <c r="H155" i="15"/>
  <c r="H154" i="15"/>
  <c r="H152" i="15"/>
  <c r="H151" i="15"/>
  <c r="H150" i="15"/>
  <c r="H125" i="15"/>
  <c r="H122" i="15"/>
  <c r="H121" i="15"/>
  <c r="H131" i="15"/>
  <c r="H129" i="15"/>
  <c r="H149" i="15"/>
  <c r="H98" i="15"/>
  <c r="H77" i="15"/>
  <c r="H76" i="15"/>
  <c r="H94" i="15"/>
  <c r="H75" i="15"/>
  <c r="H82" i="15"/>
  <c r="H73" i="15"/>
  <c r="H104" i="15"/>
  <c r="H102" i="15"/>
  <c r="H71" i="15"/>
  <c r="H127" i="15"/>
  <c r="H72" i="15"/>
  <c r="H70" i="15"/>
  <c r="H69" i="15"/>
  <c r="H50" i="15"/>
  <c r="H68" i="15"/>
  <c r="H67" i="15"/>
  <c r="H48" i="15"/>
  <c r="H46" i="15"/>
  <c r="H44" i="15"/>
  <c r="H100" i="15"/>
  <c r="H14" i="15"/>
  <c r="H13" i="15"/>
  <c r="H40" i="15"/>
  <c r="H23" i="15"/>
  <c r="H21" i="15"/>
  <c r="H19" i="15"/>
  <c r="H17" i="15"/>
  <c r="H154" i="17"/>
  <c r="H149" i="17"/>
  <c r="H157" i="17"/>
  <c r="H150" i="17"/>
  <c r="H156" i="17"/>
  <c r="H152" i="17"/>
  <c r="H128" i="17"/>
  <c r="H127" i="17"/>
  <c r="H126" i="17"/>
  <c r="H125" i="17"/>
  <c r="H136" i="17"/>
  <c r="H122" i="17"/>
  <c r="H129" i="17"/>
  <c r="H155" i="17"/>
  <c r="H123" i="17"/>
  <c r="H151" i="17"/>
  <c r="H98" i="17"/>
  <c r="H130" i="17"/>
  <c r="H124" i="17"/>
  <c r="H102" i="17"/>
  <c r="H104" i="17"/>
  <c r="H131" i="17"/>
  <c r="H100" i="17"/>
  <c r="H94" i="17"/>
  <c r="H77" i="17"/>
  <c r="H76" i="17"/>
  <c r="H75" i="17"/>
  <c r="H73" i="17"/>
  <c r="H121" i="17"/>
  <c r="H72" i="17"/>
  <c r="H82" i="17"/>
  <c r="H68" i="17"/>
  <c r="H71" i="17"/>
  <c r="H69" i="17"/>
  <c r="H67" i="17"/>
  <c r="H48" i="17"/>
  <c r="H70" i="17"/>
  <c r="H50" i="17"/>
  <c r="H46" i="17"/>
  <c r="H44" i="17"/>
  <c r="H13" i="17"/>
  <c r="H23" i="17"/>
  <c r="H22" i="17"/>
  <c r="H21" i="17"/>
  <c r="H19" i="17"/>
  <c r="H40" i="17"/>
  <c r="H14" i="17"/>
  <c r="H17" i="17"/>
  <c r="H15" i="17"/>
  <c r="H16" i="17"/>
  <c r="G97" i="17"/>
  <c r="G110" i="17" s="1"/>
  <c r="E110" i="15"/>
  <c r="G18" i="16"/>
  <c r="G15" i="16"/>
  <c r="G137" i="16"/>
  <c r="E174" i="16"/>
  <c r="I118" i="15"/>
  <c r="I117" i="15"/>
  <c r="I91" i="15"/>
  <c r="I90" i="15"/>
  <c r="I37" i="15"/>
  <c r="I36" i="15"/>
  <c r="I64" i="15"/>
  <c r="I63" i="15"/>
  <c r="I66" i="15" s="1"/>
  <c r="I10" i="15"/>
  <c r="I9" i="15"/>
  <c r="J4" i="15"/>
  <c r="I5" i="15"/>
  <c r="I117" i="17"/>
  <c r="I118" i="17"/>
  <c r="I91" i="17"/>
  <c r="I92" i="17" s="1"/>
  <c r="I93" i="17" s="1"/>
  <c r="I90" i="17"/>
  <c r="I37" i="17"/>
  <c r="I36" i="17"/>
  <c r="I63" i="17"/>
  <c r="I66" i="17" s="1"/>
  <c r="I64" i="17"/>
  <c r="I10" i="17"/>
  <c r="I11" i="17" s="1"/>
  <c r="I12" i="17" s="1"/>
  <c r="I9" i="17"/>
  <c r="J4" i="17"/>
  <c r="I5" i="17"/>
  <c r="H92" i="17"/>
  <c r="G20" i="17"/>
  <c r="E29" i="17"/>
  <c r="G158" i="16"/>
  <c r="G176" i="16" s="1"/>
  <c r="E110" i="16"/>
  <c r="G110" i="15"/>
  <c r="H11" i="16"/>
  <c r="H20" i="16" s="1"/>
  <c r="E56" i="16"/>
  <c r="F144" i="15"/>
  <c r="F22" i="15"/>
  <c r="F18" i="15"/>
  <c r="F16" i="15"/>
  <c r="F15" i="15"/>
  <c r="F28" i="15"/>
  <c r="G39" i="17"/>
  <c r="G16" i="16"/>
  <c r="G22" i="15"/>
  <c r="G28" i="17"/>
  <c r="G83" i="17"/>
  <c r="G83" i="16"/>
  <c r="H11" i="15"/>
  <c r="H20" i="15" s="1"/>
  <c r="H119" i="15"/>
  <c r="H128" i="15" s="1"/>
  <c r="H11" i="17"/>
  <c r="H12" i="17" s="1"/>
  <c r="G56" i="15"/>
  <c r="E153" i="17"/>
  <c r="E137" i="16"/>
  <c r="G120" i="17"/>
  <c r="F144" i="16"/>
  <c r="F153" i="16" s="1"/>
  <c r="F158" i="16" s="1"/>
  <c r="F176" i="16" s="1"/>
  <c r="F28" i="16"/>
  <c r="F18" i="16"/>
  <c r="F22" i="16"/>
  <c r="F16" i="16"/>
  <c r="F15" i="16"/>
  <c r="G18" i="17"/>
  <c r="G103" i="17"/>
  <c r="H119" i="16"/>
  <c r="H92" i="15"/>
  <c r="H101" i="15" s="1"/>
  <c r="G56" i="16"/>
  <c r="G28" i="15"/>
  <c r="G123" i="15"/>
  <c r="F174" i="17"/>
  <c r="G41" i="17"/>
  <c r="G124" i="15"/>
  <c r="G22" i="17"/>
  <c r="G99" i="17"/>
  <c r="F123" i="15"/>
  <c r="F130" i="15"/>
  <c r="F126" i="15"/>
  <c r="F124" i="15"/>
  <c r="F136" i="15"/>
  <c r="E56" i="17"/>
  <c r="E137" i="17"/>
  <c r="G28" i="16"/>
  <c r="H65" i="15"/>
  <c r="H74" i="15" s="1"/>
  <c r="H38" i="17"/>
  <c r="H39" i="17" s="1"/>
  <c r="H45" i="17" s="1"/>
  <c r="G128" i="15"/>
  <c r="H49" i="16" l="1"/>
  <c r="H43" i="16"/>
  <c r="I65" i="15"/>
  <c r="H42" i="17"/>
  <c r="E175" i="16"/>
  <c r="I38" i="15"/>
  <c r="I39" i="15" s="1"/>
  <c r="I43" i="15" s="1"/>
  <c r="H43" i="17"/>
  <c r="H83" i="16"/>
  <c r="I65" i="16"/>
  <c r="I119" i="17"/>
  <c r="I120" i="17" s="1"/>
  <c r="I124" i="17" s="1"/>
  <c r="H49" i="17"/>
  <c r="F175" i="17"/>
  <c r="G137" i="15"/>
  <c r="H20" i="17"/>
  <c r="H55" i="17"/>
  <c r="G29" i="16"/>
  <c r="G175" i="16" s="1"/>
  <c r="I92" i="15"/>
  <c r="I93" i="15" s="1"/>
  <c r="I109" i="15" s="1"/>
  <c r="I92" i="16"/>
  <c r="I93" i="16" s="1"/>
  <c r="I38" i="17"/>
  <c r="F153" i="15"/>
  <c r="G174" i="15"/>
  <c r="H120" i="16"/>
  <c r="E158" i="17"/>
  <c r="G29" i="15"/>
  <c r="G175" i="15" s="1"/>
  <c r="I38" i="16"/>
  <c r="I157" i="15"/>
  <c r="I156" i="15"/>
  <c r="I155" i="15"/>
  <c r="I154" i="15"/>
  <c r="I152" i="15"/>
  <c r="I151" i="15"/>
  <c r="I150" i="15"/>
  <c r="I149" i="15"/>
  <c r="I104" i="15"/>
  <c r="I122" i="15"/>
  <c r="I121" i="15"/>
  <c r="I131" i="15"/>
  <c r="I129" i="15"/>
  <c r="I127" i="15"/>
  <c r="I97" i="15"/>
  <c r="I96" i="15"/>
  <c r="I77" i="15"/>
  <c r="I95" i="15"/>
  <c r="I76" i="15"/>
  <c r="I94" i="15"/>
  <c r="I75" i="15"/>
  <c r="I82" i="15"/>
  <c r="I74" i="15"/>
  <c r="I73" i="15"/>
  <c r="I125" i="15"/>
  <c r="I103" i="15"/>
  <c r="I72" i="15"/>
  <c r="I102" i="15"/>
  <c r="I101" i="15"/>
  <c r="I100" i="15"/>
  <c r="I70" i="15"/>
  <c r="I69" i="15"/>
  <c r="I50" i="15"/>
  <c r="I68" i="15"/>
  <c r="I49" i="15"/>
  <c r="I67" i="15"/>
  <c r="I48" i="15"/>
  <c r="I55" i="15"/>
  <c r="I47" i="15"/>
  <c r="I46" i="15"/>
  <c r="I45" i="15"/>
  <c r="I44" i="15"/>
  <c r="I98" i="15"/>
  <c r="I42" i="15"/>
  <c r="I99" i="15"/>
  <c r="I71" i="15"/>
  <c r="I41" i="15"/>
  <c r="I14" i="15"/>
  <c r="I13" i="15"/>
  <c r="I28" i="15"/>
  <c r="I40" i="15"/>
  <c r="I23" i="15"/>
  <c r="I21" i="15"/>
  <c r="I19" i="15"/>
  <c r="I17" i="15"/>
  <c r="H83" i="17"/>
  <c r="J118" i="16"/>
  <c r="J117" i="16"/>
  <c r="J91" i="16"/>
  <c r="J90" i="16"/>
  <c r="J64" i="16"/>
  <c r="J63" i="16"/>
  <c r="J66" i="16" s="1"/>
  <c r="J36" i="16"/>
  <c r="J10" i="16"/>
  <c r="J9" i="16"/>
  <c r="K4" i="16"/>
  <c r="J5" i="16"/>
  <c r="J37" i="16"/>
  <c r="H39" i="15"/>
  <c r="I11" i="16"/>
  <c r="I12" i="16" s="1"/>
  <c r="I16" i="16" s="1"/>
  <c r="H93" i="17"/>
  <c r="H18" i="17"/>
  <c r="H29" i="17" s="1"/>
  <c r="E176" i="15"/>
  <c r="I119" i="16"/>
  <c r="I120" i="16" s="1"/>
  <c r="I124" i="16" s="1"/>
  <c r="F174" i="16"/>
  <c r="H120" i="15"/>
  <c r="I154" i="17"/>
  <c r="I149" i="17"/>
  <c r="I157" i="17"/>
  <c r="I150" i="17"/>
  <c r="I136" i="17"/>
  <c r="I156" i="17"/>
  <c r="I152" i="17"/>
  <c r="I155" i="17"/>
  <c r="I151" i="17"/>
  <c r="I127" i="17"/>
  <c r="I126" i="17"/>
  <c r="I125" i="17"/>
  <c r="I129" i="17"/>
  <c r="I121" i="17"/>
  <c r="I123" i="17"/>
  <c r="I128" i="17"/>
  <c r="I98" i="17"/>
  <c r="I97" i="17"/>
  <c r="I122" i="17"/>
  <c r="I130" i="17"/>
  <c r="I104" i="17"/>
  <c r="I131" i="17"/>
  <c r="I102" i="17"/>
  <c r="I101" i="17"/>
  <c r="I99" i="17"/>
  <c r="I103" i="17"/>
  <c r="I100" i="17"/>
  <c r="I96" i="17"/>
  <c r="I95" i="17"/>
  <c r="I94" i="17"/>
  <c r="I109" i="17"/>
  <c r="I76" i="17"/>
  <c r="I75" i="17"/>
  <c r="I73" i="17"/>
  <c r="I72" i="17"/>
  <c r="I71" i="17"/>
  <c r="I69" i="17"/>
  <c r="I82" i="17"/>
  <c r="I77" i="17"/>
  <c r="I70" i="17"/>
  <c r="I67" i="17"/>
  <c r="I68" i="17"/>
  <c r="I48" i="17"/>
  <c r="I50" i="17"/>
  <c r="I46" i="17"/>
  <c r="I44" i="17"/>
  <c r="I41" i="17"/>
  <c r="I23" i="17"/>
  <c r="I22" i="17"/>
  <c r="I21" i="17"/>
  <c r="I28" i="17"/>
  <c r="I20" i="17"/>
  <c r="I19" i="17"/>
  <c r="I18" i="17"/>
  <c r="I40" i="17"/>
  <c r="I14" i="17"/>
  <c r="I17" i="17"/>
  <c r="I15" i="17"/>
  <c r="I13" i="17"/>
  <c r="I16" i="17"/>
  <c r="H47" i="17"/>
  <c r="H42" i="16"/>
  <c r="I11" i="15"/>
  <c r="I12" i="15" s="1"/>
  <c r="I15" i="15" s="1"/>
  <c r="E175" i="17"/>
  <c r="H137" i="17"/>
  <c r="H83" i="15"/>
  <c r="E175" i="15"/>
  <c r="F137" i="15"/>
  <c r="G55" i="17"/>
  <c r="G49" i="17"/>
  <c r="G45" i="17"/>
  <c r="G43" i="17"/>
  <c r="G42" i="17"/>
  <c r="G56" i="17" s="1"/>
  <c r="H12" i="16"/>
  <c r="H28" i="17"/>
  <c r="G29" i="17"/>
  <c r="H45" i="16"/>
  <c r="H55" i="16"/>
  <c r="F29" i="16"/>
  <c r="J118" i="15"/>
  <c r="J119" i="15" s="1"/>
  <c r="J120" i="15" s="1"/>
  <c r="J117" i="15"/>
  <c r="J91" i="15"/>
  <c r="J90" i="15"/>
  <c r="J37" i="15"/>
  <c r="J36" i="15"/>
  <c r="J64" i="15"/>
  <c r="J63" i="15"/>
  <c r="J66" i="15" s="1"/>
  <c r="J10" i="15"/>
  <c r="J9" i="15"/>
  <c r="K4" i="15"/>
  <c r="J5" i="15"/>
  <c r="H93" i="15"/>
  <c r="H41" i="15"/>
  <c r="I119" i="15"/>
  <c r="I120" i="15" s="1"/>
  <c r="I130" i="15" s="1"/>
  <c r="J118" i="17"/>
  <c r="J119" i="17" s="1"/>
  <c r="J120" i="17" s="1"/>
  <c r="J117" i="17"/>
  <c r="J91" i="17"/>
  <c r="J90" i="17"/>
  <c r="J63" i="17"/>
  <c r="J66" i="17" s="1"/>
  <c r="J64" i="17"/>
  <c r="J37" i="17"/>
  <c r="J10" i="17"/>
  <c r="J9" i="17"/>
  <c r="K4" i="17"/>
  <c r="J5" i="17"/>
  <c r="J36" i="17"/>
  <c r="G174" i="16"/>
  <c r="G177" i="16" s="1"/>
  <c r="F174" i="15"/>
  <c r="H101" i="17"/>
  <c r="G144" i="17"/>
  <c r="E158" i="16"/>
  <c r="I157" i="16"/>
  <c r="I156" i="16"/>
  <c r="I155" i="16"/>
  <c r="I154" i="16"/>
  <c r="I152" i="16"/>
  <c r="I151" i="16"/>
  <c r="I126" i="16"/>
  <c r="I149" i="16"/>
  <c r="I125" i="16"/>
  <c r="I123" i="16"/>
  <c r="I104" i="16"/>
  <c r="I122" i="16"/>
  <c r="I103" i="16"/>
  <c r="I121" i="16"/>
  <c r="I109" i="16"/>
  <c r="I131" i="16"/>
  <c r="I130" i="16"/>
  <c r="I150" i="16"/>
  <c r="I129" i="16"/>
  <c r="I73" i="16"/>
  <c r="I72" i="16"/>
  <c r="I102" i="16"/>
  <c r="I71" i="16"/>
  <c r="I127" i="16"/>
  <c r="I101" i="16"/>
  <c r="I128" i="16"/>
  <c r="I100" i="16"/>
  <c r="I99" i="16"/>
  <c r="I98" i="16"/>
  <c r="I136" i="16"/>
  <c r="I97" i="16"/>
  <c r="I95" i="16"/>
  <c r="I76" i="16"/>
  <c r="I67" i="16"/>
  <c r="I48" i="16"/>
  <c r="I70" i="16"/>
  <c r="I47" i="16"/>
  <c r="I94" i="16"/>
  <c r="I46" i="16"/>
  <c r="I77" i="16"/>
  <c r="I82" i="16"/>
  <c r="I96" i="16"/>
  <c r="I69" i="16"/>
  <c r="I14" i="16"/>
  <c r="I13" i="16"/>
  <c r="I74" i="16"/>
  <c r="I23" i="16"/>
  <c r="I50" i="16"/>
  <c r="I41" i="16"/>
  <c r="I40" i="16"/>
  <c r="I21" i="16"/>
  <c r="I68" i="16"/>
  <c r="I75" i="16"/>
  <c r="I44" i="16"/>
  <c r="I17" i="16"/>
  <c r="I19" i="16"/>
  <c r="F177" i="17"/>
  <c r="H93" i="16"/>
  <c r="H12" i="15"/>
  <c r="G126" i="17"/>
  <c r="G130" i="17"/>
  <c r="G124" i="17"/>
  <c r="G136" i="17"/>
  <c r="G123" i="17"/>
  <c r="F29" i="15"/>
  <c r="I65" i="17"/>
  <c r="I74" i="17" s="1"/>
  <c r="H41" i="17"/>
  <c r="H56" i="17" s="1"/>
  <c r="H128" i="16"/>
  <c r="I123" i="15" l="1"/>
  <c r="I124" i="15"/>
  <c r="I126" i="15"/>
  <c r="J92" i="16"/>
  <c r="J93" i="16" s="1"/>
  <c r="J119" i="16"/>
  <c r="J120" i="16" s="1"/>
  <c r="I128" i="15"/>
  <c r="I144" i="15"/>
  <c r="I153" i="15" s="1"/>
  <c r="I16" i="15"/>
  <c r="J11" i="16"/>
  <c r="J12" i="16" s="1"/>
  <c r="G137" i="17"/>
  <c r="G175" i="17" s="1"/>
  <c r="I15" i="16"/>
  <c r="I137" i="16"/>
  <c r="K117" i="17"/>
  <c r="K118" i="17"/>
  <c r="K91" i="17"/>
  <c r="K90" i="17"/>
  <c r="K64" i="17"/>
  <c r="K63" i="17"/>
  <c r="K66" i="17" s="1"/>
  <c r="K37" i="17"/>
  <c r="K36" i="17"/>
  <c r="K10" i="17"/>
  <c r="K9" i="17"/>
  <c r="L4" i="17"/>
  <c r="K5" i="17"/>
  <c r="K118" i="15"/>
  <c r="K117" i="15"/>
  <c r="K91" i="15"/>
  <c r="K90" i="15"/>
  <c r="K64" i="15"/>
  <c r="K63" i="15"/>
  <c r="K66" i="15" s="1"/>
  <c r="K37" i="15"/>
  <c r="K38" i="15" s="1"/>
  <c r="K39" i="15" s="1"/>
  <c r="K10" i="15"/>
  <c r="K9" i="15"/>
  <c r="K36" i="15"/>
  <c r="L4" i="15"/>
  <c r="K5" i="15"/>
  <c r="E177" i="15"/>
  <c r="I18" i="15"/>
  <c r="I136" i="15"/>
  <c r="I39" i="16"/>
  <c r="F158" i="15"/>
  <c r="H144" i="15"/>
  <c r="H22" i="15"/>
  <c r="H16" i="15"/>
  <c r="H18" i="15"/>
  <c r="H15" i="15"/>
  <c r="H28" i="15"/>
  <c r="I22" i="16"/>
  <c r="I18" i="16"/>
  <c r="J92" i="15"/>
  <c r="E176" i="17"/>
  <c r="J11" i="17"/>
  <c r="J11" i="15"/>
  <c r="I137" i="17"/>
  <c r="J38" i="16"/>
  <c r="J39" i="16" s="1"/>
  <c r="J42" i="16" s="1"/>
  <c r="I20" i="15"/>
  <c r="I110" i="17"/>
  <c r="I158" i="15"/>
  <c r="I176" i="15" s="1"/>
  <c r="J65" i="16"/>
  <c r="J74" i="16" s="1"/>
  <c r="H96" i="17"/>
  <c r="H97" i="17"/>
  <c r="H103" i="17"/>
  <c r="H109" i="17"/>
  <c r="H174" i="17" s="1"/>
  <c r="H99" i="17"/>
  <c r="H95" i="17"/>
  <c r="H123" i="16"/>
  <c r="H136" i="16"/>
  <c r="H126" i="16"/>
  <c r="H130" i="16"/>
  <c r="H124" i="16"/>
  <c r="H136" i="15"/>
  <c r="H130" i="15"/>
  <c r="H124" i="15"/>
  <c r="H126" i="15"/>
  <c r="H123" i="15"/>
  <c r="I144" i="16"/>
  <c r="I153" i="16" s="1"/>
  <c r="I158" i="16" s="1"/>
  <c r="I176" i="16" s="1"/>
  <c r="H144" i="16"/>
  <c r="H18" i="16"/>
  <c r="H16" i="16"/>
  <c r="H22" i="16"/>
  <c r="H15" i="16"/>
  <c r="H28" i="16"/>
  <c r="I29" i="17"/>
  <c r="J157" i="17"/>
  <c r="J150" i="17"/>
  <c r="J136" i="17"/>
  <c r="J156" i="17"/>
  <c r="J152" i="17"/>
  <c r="J126" i="17"/>
  <c r="J125" i="17"/>
  <c r="J124" i="17"/>
  <c r="J149" i="17"/>
  <c r="J123" i="17"/>
  <c r="J155" i="17"/>
  <c r="J154" i="17"/>
  <c r="J129" i="17"/>
  <c r="J121" i="17"/>
  <c r="J151" i="17"/>
  <c r="J128" i="17"/>
  <c r="J131" i="17"/>
  <c r="J130" i="17"/>
  <c r="J127" i="17"/>
  <c r="J122" i="17"/>
  <c r="J104" i="17"/>
  <c r="J102" i="17"/>
  <c r="J98" i="17"/>
  <c r="J100" i="17"/>
  <c r="J94" i="17"/>
  <c r="J75" i="17"/>
  <c r="J73" i="17"/>
  <c r="J72" i="17"/>
  <c r="J71" i="17"/>
  <c r="J82" i="17"/>
  <c r="J70" i="17"/>
  <c r="J69" i="17"/>
  <c r="J76" i="17"/>
  <c r="J67" i="17"/>
  <c r="J68" i="17"/>
  <c r="J48" i="17"/>
  <c r="J50" i="17"/>
  <c r="J46" i="17"/>
  <c r="J44" i="17"/>
  <c r="J77" i="17"/>
  <c r="J40" i="17"/>
  <c r="J23" i="17"/>
  <c r="J21" i="17"/>
  <c r="J20" i="17"/>
  <c r="J19" i="17"/>
  <c r="J17" i="17"/>
  <c r="J13" i="17"/>
  <c r="J14" i="17"/>
  <c r="I39" i="17"/>
  <c r="I20" i="16"/>
  <c r="I29" i="16" s="1"/>
  <c r="J38" i="17"/>
  <c r="J39" i="17" s="1"/>
  <c r="J42" i="17" s="1"/>
  <c r="J65" i="17"/>
  <c r="J74" i="17" s="1"/>
  <c r="G174" i="17"/>
  <c r="I47" i="17"/>
  <c r="H56" i="16"/>
  <c r="J157" i="16"/>
  <c r="J156" i="16"/>
  <c r="J155" i="16"/>
  <c r="J154" i="16"/>
  <c r="J152" i="16"/>
  <c r="J151" i="16"/>
  <c r="J150" i="16"/>
  <c r="J149" i="16"/>
  <c r="J125" i="16"/>
  <c r="J124" i="16"/>
  <c r="J123" i="16"/>
  <c r="J104" i="16"/>
  <c r="J122" i="16"/>
  <c r="J103" i="16"/>
  <c r="J121" i="16"/>
  <c r="J109" i="16"/>
  <c r="J131" i="16"/>
  <c r="J130" i="16"/>
  <c r="J129" i="16"/>
  <c r="J136" i="16"/>
  <c r="J128" i="16"/>
  <c r="J72" i="16"/>
  <c r="J126" i="16"/>
  <c r="J102" i="16"/>
  <c r="J71" i="16"/>
  <c r="J127" i="16"/>
  <c r="J101" i="16"/>
  <c r="J100" i="16"/>
  <c r="J99" i="16"/>
  <c r="J98" i="16"/>
  <c r="J97" i="16"/>
  <c r="J96" i="16"/>
  <c r="J77" i="16"/>
  <c r="J94" i="16"/>
  <c r="J75" i="16"/>
  <c r="J70" i="16"/>
  <c r="J82" i="16"/>
  <c r="J69" i="16"/>
  <c r="J95" i="16"/>
  <c r="J73" i="16"/>
  <c r="J68" i="16"/>
  <c r="J45" i="16"/>
  <c r="J13" i="16"/>
  <c r="J23" i="16"/>
  <c r="J50" i="16"/>
  <c r="J22" i="16"/>
  <c r="J40" i="16"/>
  <c r="J21" i="16"/>
  <c r="J28" i="16"/>
  <c r="J20" i="16"/>
  <c r="J19" i="16"/>
  <c r="J44" i="16"/>
  <c r="J76" i="16"/>
  <c r="J46" i="16"/>
  <c r="J15" i="16"/>
  <c r="J18" i="16"/>
  <c r="J17" i="16"/>
  <c r="J48" i="16"/>
  <c r="J16" i="16"/>
  <c r="J14" i="16"/>
  <c r="J67" i="16"/>
  <c r="I110" i="15"/>
  <c r="H97" i="15"/>
  <c r="H103" i="15"/>
  <c r="H99" i="15"/>
  <c r="H96" i="15"/>
  <c r="H95" i="15"/>
  <c r="H109" i="15"/>
  <c r="H103" i="16"/>
  <c r="H95" i="16"/>
  <c r="H109" i="16"/>
  <c r="H99" i="16"/>
  <c r="H96" i="16"/>
  <c r="H97" i="16"/>
  <c r="I110" i="16"/>
  <c r="I83" i="15"/>
  <c r="I28" i="16"/>
  <c r="I83" i="16"/>
  <c r="J65" i="15"/>
  <c r="J74" i="15" s="1"/>
  <c r="F175" i="16"/>
  <c r="F177" i="16" s="1"/>
  <c r="H144" i="17"/>
  <c r="H153" i="17" s="1"/>
  <c r="H158" i="17" s="1"/>
  <c r="H176" i="17" s="1"/>
  <c r="K118" i="16"/>
  <c r="K117" i="16"/>
  <c r="K91" i="16"/>
  <c r="K64" i="16"/>
  <c r="K63" i="16"/>
  <c r="K66" i="16" s="1"/>
  <c r="K90" i="16"/>
  <c r="K37" i="16"/>
  <c r="K36" i="16"/>
  <c r="K10" i="16"/>
  <c r="K9" i="16"/>
  <c r="L4" i="16"/>
  <c r="K5" i="16"/>
  <c r="I22" i="15"/>
  <c r="I137" i="15"/>
  <c r="G177" i="15"/>
  <c r="G153" i="17"/>
  <c r="J38" i="15"/>
  <c r="J92" i="17"/>
  <c r="I83" i="17"/>
  <c r="H43" i="15"/>
  <c r="H49" i="15"/>
  <c r="H45" i="15"/>
  <c r="H42" i="15"/>
  <c r="H55" i="15"/>
  <c r="F175" i="15"/>
  <c r="J157" i="15"/>
  <c r="J156" i="15"/>
  <c r="J155" i="15"/>
  <c r="J154" i="15"/>
  <c r="J152" i="15"/>
  <c r="J151" i="15"/>
  <c r="J150" i="15"/>
  <c r="J149" i="15"/>
  <c r="J123" i="15"/>
  <c r="J104" i="15"/>
  <c r="J122" i="15"/>
  <c r="J121" i="15"/>
  <c r="J131" i="15"/>
  <c r="J130" i="15"/>
  <c r="J129" i="15"/>
  <c r="J136" i="15"/>
  <c r="J128" i="15"/>
  <c r="J127" i="15"/>
  <c r="J126" i="15"/>
  <c r="J77" i="15"/>
  <c r="J76" i="15"/>
  <c r="J94" i="15"/>
  <c r="J75" i="15"/>
  <c r="J82" i="15"/>
  <c r="J124" i="15"/>
  <c r="J73" i="15"/>
  <c r="J125" i="15"/>
  <c r="J72" i="15"/>
  <c r="J102" i="15"/>
  <c r="J71" i="15"/>
  <c r="J101" i="15"/>
  <c r="J100" i="15"/>
  <c r="J68" i="15"/>
  <c r="J67" i="15"/>
  <c r="J48" i="15"/>
  <c r="J46" i="15"/>
  <c r="J44" i="15"/>
  <c r="J98" i="15"/>
  <c r="J40" i="15"/>
  <c r="J50" i="15"/>
  <c r="J14" i="15"/>
  <c r="J13" i="15"/>
  <c r="J23" i="15"/>
  <c r="J21" i="15"/>
  <c r="J20" i="15"/>
  <c r="J19" i="15"/>
  <c r="J69" i="15"/>
  <c r="J17" i="15"/>
  <c r="J70" i="15"/>
  <c r="E176" i="16"/>
  <c r="B47" i="14"/>
  <c r="I56" i="15"/>
  <c r="H56" i="15" l="1"/>
  <c r="K11" i="15"/>
  <c r="K12" i="15" s="1"/>
  <c r="J41" i="17"/>
  <c r="K38" i="16"/>
  <c r="K39" i="16" s="1"/>
  <c r="J43" i="17"/>
  <c r="K65" i="17"/>
  <c r="J45" i="17"/>
  <c r="K65" i="16"/>
  <c r="J47" i="17"/>
  <c r="K92" i="16"/>
  <c r="J49" i="16"/>
  <c r="J49" i="17"/>
  <c r="I29" i="15"/>
  <c r="K119" i="17"/>
  <c r="K119" i="15"/>
  <c r="K120" i="15" s="1"/>
  <c r="I175" i="15"/>
  <c r="H29" i="15"/>
  <c r="K157" i="16"/>
  <c r="K156" i="16"/>
  <c r="K155" i="16"/>
  <c r="K154" i="16"/>
  <c r="K152" i="16"/>
  <c r="K151" i="16"/>
  <c r="K150" i="16"/>
  <c r="K149" i="16"/>
  <c r="K104" i="16"/>
  <c r="K122" i="16"/>
  <c r="K121" i="16"/>
  <c r="K131" i="16"/>
  <c r="K129" i="16"/>
  <c r="K127" i="16"/>
  <c r="K102" i="16"/>
  <c r="K71" i="16"/>
  <c r="K101" i="16"/>
  <c r="K70" i="16"/>
  <c r="K100" i="16"/>
  <c r="K98" i="16"/>
  <c r="K77" i="16"/>
  <c r="K76" i="16"/>
  <c r="K82" i="16"/>
  <c r="K74" i="16"/>
  <c r="K46" i="16"/>
  <c r="K94" i="16"/>
  <c r="K125" i="16"/>
  <c r="K75" i="16"/>
  <c r="K73" i="16"/>
  <c r="K72" i="16"/>
  <c r="K68" i="16"/>
  <c r="K67" i="16"/>
  <c r="K45" i="16"/>
  <c r="K55" i="16"/>
  <c r="K42" i="16"/>
  <c r="K23" i="16"/>
  <c r="K50" i="16"/>
  <c r="K41" i="16"/>
  <c r="K43" i="16"/>
  <c r="K40" i="16"/>
  <c r="K21" i="16"/>
  <c r="K49" i="16"/>
  <c r="K19" i="16"/>
  <c r="K48" i="16"/>
  <c r="K44" i="16"/>
  <c r="K47" i="16"/>
  <c r="K17" i="16"/>
  <c r="K13" i="16"/>
  <c r="K69" i="16"/>
  <c r="K14" i="16"/>
  <c r="J93" i="17"/>
  <c r="E177" i="17"/>
  <c r="K120" i="17"/>
  <c r="K136" i="17" s="1"/>
  <c r="H110" i="15"/>
  <c r="H153" i="15"/>
  <c r="K65" i="15"/>
  <c r="K11" i="16"/>
  <c r="J93" i="15"/>
  <c r="E178" i="15"/>
  <c r="K11" i="17"/>
  <c r="K12" i="17" s="1"/>
  <c r="K92" i="17"/>
  <c r="K93" i="17" s="1"/>
  <c r="J39" i="15"/>
  <c r="E177" i="16"/>
  <c r="J137" i="16"/>
  <c r="J56" i="17"/>
  <c r="J83" i="17"/>
  <c r="H137" i="15"/>
  <c r="F176" i="15"/>
  <c r="J83" i="16"/>
  <c r="K119" i="16"/>
  <c r="K128" i="16" s="1"/>
  <c r="J43" i="16"/>
  <c r="J47" i="15"/>
  <c r="G158" i="17"/>
  <c r="J41" i="16"/>
  <c r="J47" i="16"/>
  <c r="H174" i="16"/>
  <c r="H137" i="16"/>
  <c r="K38" i="17"/>
  <c r="J144" i="16"/>
  <c r="J153" i="16" s="1"/>
  <c r="J158" i="16" s="1"/>
  <c r="J176" i="16" s="1"/>
  <c r="L118" i="17"/>
  <c r="L117" i="17"/>
  <c r="L91" i="17"/>
  <c r="L90" i="17"/>
  <c r="L64" i="17"/>
  <c r="L63" i="17"/>
  <c r="L66" i="17" s="1"/>
  <c r="L37" i="17"/>
  <c r="L36" i="17"/>
  <c r="L10" i="17"/>
  <c r="L9" i="17"/>
  <c r="M4" i="17"/>
  <c r="L5" i="17"/>
  <c r="J55" i="16"/>
  <c r="J174" i="16" s="1"/>
  <c r="H29" i="16"/>
  <c r="K156" i="15"/>
  <c r="K155" i="15"/>
  <c r="K154" i="15"/>
  <c r="K152" i="15"/>
  <c r="K151" i="15"/>
  <c r="K150" i="15"/>
  <c r="K149" i="15"/>
  <c r="K122" i="15"/>
  <c r="K157" i="15"/>
  <c r="K121" i="15"/>
  <c r="K131" i="15"/>
  <c r="K130" i="15"/>
  <c r="K129" i="15"/>
  <c r="K136" i="15"/>
  <c r="K128" i="15"/>
  <c r="K127" i="15"/>
  <c r="K126" i="15"/>
  <c r="K125" i="15"/>
  <c r="K76" i="15"/>
  <c r="K94" i="15"/>
  <c r="K75" i="15"/>
  <c r="K123" i="15"/>
  <c r="K82" i="15"/>
  <c r="K74" i="15"/>
  <c r="K124" i="15"/>
  <c r="K73" i="15"/>
  <c r="K72" i="15"/>
  <c r="K102" i="15"/>
  <c r="K71" i="15"/>
  <c r="K104" i="15"/>
  <c r="K100" i="15"/>
  <c r="K98" i="15"/>
  <c r="K67" i="15"/>
  <c r="K48" i="15"/>
  <c r="K55" i="15"/>
  <c r="K47" i="15"/>
  <c r="K46" i="15"/>
  <c r="K45" i="15"/>
  <c r="K44" i="15"/>
  <c r="K43" i="15"/>
  <c r="K42" i="15"/>
  <c r="K41" i="15"/>
  <c r="K40" i="15"/>
  <c r="K13" i="15"/>
  <c r="K28" i="15"/>
  <c r="K22" i="15"/>
  <c r="K23" i="15"/>
  <c r="K21" i="15"/>
  <c r="K20" i="15"/>
  <c r="K68" i="15"/>
  <c r="K19" i="15"/>
  <c r="K69" i="15"/>
  <c r="K18" i="15"/>
  <c r="K17" i="15"/>
  <c r="K77" i="15"/>
  <c r="K70" i="15"/>
  <c r="K16" i="15"/>
  <c r="K49" i="15"/>
  <c r="K15" i="15"/>
  <c r="K50" i="15"/>
  <c r="K14" i="15"/>
  <c r="K92" i="15"/>
  <c r="K93" i="15" s="1"/>
  <c r="K97" i="15" s="1"/>
  <c r="K93" i="16"/>
  <c r="K97" i="16" s="1"/>
  <c r="L118" i="16"/>
  <c r="L117" i="16"/>
  <c r="L64" i="16"/>
  <c r="L63" i="16"/>
  <c r="L66" i="16" s="1"/>
  <c r="L90" i="16"/>
  <c r="L91" i="16"/>
  <c r="L37" i="16"/>
  <c r="L36" i="16"/>
  <c r="M4" i="16"/>
  <c r="L5" i="16"/>
  <c r="L9" i="16"/>
  <c r="L10" i="16"/>
  <c r="J55" i="17"/>
  <c r="I174" i="15"/>
  <c r="I177" i="15" s="1"/>
  <c r="J12" i="15"/>
  <c r="I49" i="16"/>
  <c r="I43" i="16"/>
  <c r="I45" i="16"/>
  <c r="I42" i="16"/>
  <c r="I55" i="16"/>
  <c r="L118" i="15"/>
  <c r="L117" i="15"/>
  <c r="L91" i="15"/>
  <c r="L90" i="15"/>
  <c r="L64" i="15"/>
  <c r="L63" i="15"/>
  <c r="L66" i="15" s="1"/>
  <c r="L37" i="15"/>
  <c r="L10" i="15"/>
  <c r="L9" i="15"/>
  <c r="L36" i="15"/>
  <c r="M4" i="15"/>
  <c r="L5" i="15"/>
  <c r="I45" i="17"/>
  <c r="I144" i="17"/>
  <c r="I153" i="17" s="1"/>
  <c r="I158" i="17" s="1"/>
  <c r="I176" i="17" s="1"/>
  <c r="I49" i="17"/>
  <c r="I43" i="17"/>
  <c r="I42" i="17"/>
  <c r="I55" i="17"/>
  <c r="H153" i="16"/>
  <c r="J83" i="15"/>
  <c r="I174" i="16"/>
  <c r="H110" i="16"/>
  <c r="J101" i="17"/>
  <c r="J137" i="17"/>
  <c r="H110" i="17"/>
  <c r="H175" i="17" s="1"/>
  <c r="H177" i="17" s="1"/>
  <c r="J12" i="17"/>
  <c r="H174" i="15"/>
  <c r="J137" i="15"/>
  <c r="K157" i="17"/>
  <c r="K156" i="17"/>
  <c r="K150" i="17"/>
  <c r="K152" i="17"/>
  <c r="K155" i="17"/>
  <c r="K151" i="17"/>
  <c r="K125" i="17"/>
  <c r="K149" i="17"/>
  <c r="K122" i="17"/>
  <c r="K121" i="17"/>
  <c r="K126" i="17"/>
  <c r="K128" i="17"/>
  <c r="K154" i="17"/>
  <c r="K127" i="17"/>
  <c r="K96" i="17"/>
  <c r="K129" i="17"/>
  <c r="K104" i="17"/>
  <c r="K103" i="17"/>
  <c r="K102" i="17"/>
  <c r="K109" i="17"/>
  <c r="K98" i="17"/>
  <c r="K97" i="17"/>
  <c r="K100" i="17"/>
  <c r="K95" i="17"/>
  <c r="K131" i="17"/>
  <c r="K94" i="17"/>
  <c r="K74" i="17"/>
  <c r="K73" i="17"/>
  <c r="K72" i="17"/>
  <c r="K71" i="17"/>
  <c r="K82" i="17"/>
  <c r="K70" i="17"/>
  <c r="K101" i="17"/>
  <c r="K69" i="17"/>
  <c r="K75" i="17"/>
  <c r="K99" i="17"/>
  <c r="K76" i="17"/>
  <c r="K50" i="17"/>
  <c r="K77" i="17"/>
  <c r="K68" i="17"/>
  <c r="K46" i="17"/>
  <c r="K47" i="17"/>
  <c r="K44" i="17"/>
  <c r="K40" i="17"/>
  <c r="K22" i="17"/>
  <c r="K21" i="17"/>
  <c r="K28" i="17"/>
  <c r="K20" i="17"/>
  <c r="K19" i="17"/>
  <c r="K67" i="17"/>
  <c r="K18" i="17"/>
  <c r="K17" i="17"/>
  <c r="K48" i="17"/>
  <c r="K15" i="17"/>
  <c r="K13" i="17"/>
  <c r="K16" i="17"/>
  <c r="K23" i="17"/>
  <c r="K14" i="17"/>
  <c r="J41" i="15"/>
  <c r="J29" i="16"/>
  <c r="J110" i="16"/>
  <c r="L38" i="17" l="1"/>
  <c r="L39" i="17" s="1"/>
  <c r="J56" i="16"/>
  <c r="L65" i="15"/>
  <c r="L119" i="16"/>
  <c r="L120" i="16" s="1"/>
  <c r="K109" i="16"/>
  <c r="L92" i="17"/>
  <c r="L93" i="17" s="1"/>
  <c r="L38" i="15"/>
  <c r="H175" i="15"/>
  <c r="I56" i="17"/>
  <c r="I175" i="17" s="1"/>
  <c r="L92" i="16"/>
  <c r="J49" i="15"/>
  <c r="J43" i="15"/>
  <c r="J55" i="15"/>
  <c r="J45" i="15"/>
  <c r="J42" i="15"/>
  <c r="K12" i="16"/>
  <c r="J99" i="17"/>
  <c r="J97" i="17"/>
  <c r="J103" i="17"/>
  <c r="J95" i="17"/>
  <c r="J109" i="17"/>
  <c r="J96" i="17"/>
  <c r="K103" i="16"/>
  <c r="J97" i="15"/>
  <c r="J103" i="15"/>
  <c r="J109" i="15"/>
  <c r="J99" i="15"/>
  <c r="J95" i="15"/>
  <c r="J96" i="15"/>
  <c r="M118" i="16"/>
  <c r="M117" i="16"/>
  <c r="M91" i="16"/>
  <c r="M90" i="16"/>
  <c r="M63" i="16"/>
  <c r="M66" i="16" s="1"/>
  <c r="M64" i="16"/>
  <c r="M37" i="16"/>
  <c r="M36" i="16"/>
  <c r="M5" i="16"/>
  <c r="N4" i="16"/>
  <c r="M9" i="16"/>
  <c r="M10" i="16"/>
  <c r="M11" i="16" s="1"/>
  <c r="M12" i="16" s="1"/>
  <c r="K95" i="15"/>
  <c r="E178" i="17"/>
  <c r="K123" i="17"/>
  <c r="K130" i="17"/>
  <c r="K124" i="17"/>
  <c r="K137" i="17" s="1"/>
  <c r="K20" i="16"/>
  <c r="K95" i="16"/>
  <c r="K144" i="15"/>
  <c r="K153" i="15" s="1"/>
  <c r="K158" i="15" s="1"/>
  <c r="K176" i="15" s="1"/>
  <c r="H175" i="16"/>
  <c r="K96" i="15"/>
  <c r="I56" i="16"/>
  <c r="I175" i="16" s="1"/>
  <c r="I177" i="16" s="1"/>
  <c r="K29" i="15"/>
  <c r="K83" i="16"/>
  <c r="L38" i="16"/>
  <c r="K103" i="15"/>
  <c r="H158" i="15"/>
  <c r="K96" i="16"/>
  <c r="J144" i="15"/>
  <c r="J18" i="15"/>
  <c r="J16" i="15"/>
  <c r="J15" i="15"/>
  <c r="J28" i="15"/>
  <c r="J22" i="15"/>
  <c r="F177" i="15"/>
  <c r="F178" i="15" s="1"/>
  <c r="K83" i="17"/>
  <c r="L11" i="15"/>
  <c r="I174" i="17"/>
  <c r="K56" i="15"/>
  <c r="K39" i="17"/>
  <c r="K144" i="17" s="1"/>
  <c r="K153" i="17" s="1"/>
  <c r="K158" i="17" s="1"/>
  <c r="K176" i="17" s="1"/>
  <c r="G176" i="17"/>
  <c r="J175" i="16"/>
  <c r="J177" i="16" s="1"/>
  <c r="K29" i="17"/>
  <c r="J144" i="17"/>
  <c r="J153" i="17" s="1"/>
  <c r="J158" i="17" s="1"/>
  <c r="J176" i="17" s="1"/>
  <c r="J18" i="17"/>
  <c r="J15" i="17"/>
  <c r="J22" i="17"/>
  <c r="J28" i="17"/>
  <c r="J16" i="17"/>
  <c r="L65" i="16"/>
  <c r="L74" i="16" s="1"/>
  <c r="M118" i="17"/>
  <c r="M117" i="17"/>
  <c r="M91" i="17"/>
  <c r="M92" i="17" s="1"/>
  <c r="M90" i="17"/>
  <c r="M64" i="17"/>
  <c r="M63" i="17"/>
  <c r="M66" i="17" s="1"/>
  <c r="M37" i="17"/>
  <c r="M36" i="17"/>
  <c r="N4" i="17"/>
  <c r="M5" i="17"/>
  <c r="M9" i="17"/>
  <c r="M10" i="17"/>
  <c r="H158" i="16"/>
  <c r="K83" i="15"/>
  <c r="L11" i="16"/>
  <c r="L12" i="16" s="1"/>
  <c r="K99" i="15"/>
  <c r="E179" i="15"/>
  <c r="K56" i="16"/>
  <c r="L119" i="15"/>
  <c r="K120" i="16"/>
  <c r="L65" i="17"/>
  <c r="K110" i="17"/>
  <c r="L156" i="17"/>
  <c r="L155" i="17"/>
  <c r="L150" i="17"/>
  <c r="L157" i="17"/>
  <c r="L152" i="17"/>
  <c r="L151" i="17"/>
  <c r="L154" i="17"/>
  <c r="L149" i="17"/>
  <c r="L121" i="17"/>
  <c r="L125" i="17"/>
  <c r="L131" i="17"/>
  <c r="L122" i="17"/>
  <c r="L129" i="17"/>
  <c r="L104" i="17"/>
  <c r="L103" i="17"/>
  <c r="L109" i="17"/>
  <c r="L101" i="17"/>
  <c r="L97" i="17"/>
  <c r="L100" i="17"/>
  <c r="L95" i="17"/>
  <c r="L127" i="17"/>
  <c r="L96" i="17"/>
  <c r="L94" i="17"/>
  <c r="L73" i="17"/>
  <c r="L102" i="17"/>
  <c r="L72" i="17"/>
  <c r="L71" i="17"/>
  <c r="L82" i="17"/>
  <c r="L70" i="17"/>
  <c r="L69" i="17"/>
  <c r="L98" i="17"/>
  <c r="L99" i="17"/>
  <c r="L77" i="17"/>
  <c r="L75" i="17"/>
  <c r="L76" i="17"/>
  <c r="L50" i="17"/>
  <c r="L67" i="17"/>
  <c r="L74" i="17"/>
  <c r="L46" i="17"/>
  <c r="L47" i="17"/>
  <c r="L45" i="17"/>
  <c r="L44" i="17"/>
  <c r="L43" i="17"/>
  <c r="L42" i="17"/>
  <c r="L41" i="17"/>
  <c r="L40" i="17"/>
  <c r="L49" i="17"/>
  <c r="L21" i="17"/>
  <c r="L68" i="17"/>
  <c r="L19" i="17"/>
  <c r="L17" i="17"/>
  <c r="L55" i="17"/>
  <c r="L48" i="17"/>
  <c r="L13" i="17"/>
  <c r="L23" i="17"/>
  <c r="L14" i="17"/>
  <c r="K41" i="17"/>
  <c r="L155" i="15"/>
  <c r="L154" i="15"/>
  <c r="L152" i="15"/>
  <c r="L151" i="15"/>
  <c r="L150" i="15"/>
  <c r="L149" i="15"/>
  <c r="L157" i="15"/>
  <c r="L121" i="15"/>
  <c r="L131" i="15"/>
  <c r="L129" i="15"/>
  <c r="L127" i="15"/>
  <c r="L125" i="15"/>
  <c r="L122" i="15"/>
  <c r="L94" i="15"/>
  <c r="L75" i="15"/>
  <c r="L156" i="15"/>
  <c r="L82" i="15"/>
  <c r="L74" i="15"/>
  <c r="L73" i="15"/>
  <c r="L72" i="15"/>
  <c r="L102" i="15"/>
  <c r="L71" i="15"/>
  <c r="L104" i="15"/>
  <c r="L100" i="15"/>
  <c r="L98" i="15"/>
  <c r="L97" i="15"/>
  <c r="L46" i="15"/>
  <c r="L95" i="15"/>
  <c r="L44" i="15"/>
  <c r="L40" i="15"/>
  <c r="L76" i="15"/>
  <c r="L77" i="15"/>
  <c r="L70" i="15"/>
  <c r="L69" i="15"/>
  <c r="L50" i="15"/>
  <c r="L23" i="15"/>
  <c r="L21" i="15"/>
  <c r="L67" i="15"/>
  <c r="L68" i="15"/>
  <c r="L19" i="15"/>
  <c r="L17" i="15"/>
  <c r="L48" i="15"/>
  <c r="L14" i="15"/>
  <c r="L13" i="15"/>
  <c r="L92" i="15"/>
  <c r="L93" i="15" s="1"/>
  <c r="L96" i="15" s="1"/>
  <c r="K109" i="15"/>
  <c r="L11" i="17"/>
  <c r="L119" i="17"/>
  <c r="L128" i="17" s="1"/>
  <c r="K99" i="16"/>
  <c r="L156" i="16"/>
  <c r="L155" i="16"/>
  <c r="L154" i="16"/>
  <c r="L152" i="16"/>
  <c r="L151" i="16"/>
  <c r="L150" i="16"/>
  <c r="L149" i="16"/>
  <c r="L123" i="16"/>
  <c r="L104" i="16"/>
  <c r="L122" i="16"/>
  <c r="L121" i="16"/>
  <c r="L131" i="16"/>
  <c r="L130" i="16"/>
  <c r="L129" i="16"/>
  <c r="L136" i="16"/>
  <c r="L128" i="16"/>
  <c r="L127" i="16"/>
  <c r="L126" i="16"/>
  <c r="L101" i="16"/>
  <c r="L70" i="16"/>
  <c r="L100" i="16"/>
  <c r="L98" i="16"/>
  <c r="L157" i="16"/>
  <c r="L76" i="16"/>
  <c r="L94" i="16"/>
  <c r="L75" i="16"/>
  <c r="L124" i="16"/>
  <c r="L102" i="16"/>
  <c r="L82" i="16"/>
  <c r="L77" i="16"/>
  <c r="L125" i="16"/>
  <c r="L69" i="16"/>
  <c r="L67" i="16"/>
  <c r="L72" i="16"/>
  <c r="L23" i="16"/>
  <c r="L50" i="16"/>
  <c r="L41" i="16"/>
  <c r="L22" i="16"/>
  <c r="L40" i="16"/>
  <c r="L21" i="16"/>
  <c r="L28" i="16"/>
  <c r="L20" i="16"/>
  <c r="L19" i="16"/>
  <c r="L48" i="16"/>
  <c r="L18" i="16"/>
  <c r="L73" i="16"/>
  <c r="L71" i="16"/>
  <c r="L44" i="16"/>
  <c r="L68" i="16"/>
  <c r="L47" i="16"/>
  <c r="L17" i="16"/>
  <c r="L13" i="16"/>
  <c r="L16" i="16"/>
  <c r="L14" i="16"/>
  <c r="L15" i="16"/>
  <c r="L46" i="16"/>
  <c r="E178" i="16"/>
  <c r="M118" i="15"/>
  <c r="M117" i="15"/>
  <c r="M91" i="15"/>
  <c r="M90" i="15"/>
  <c r="M64" i="15"/>
  <c r="M63" i="15"/>
  <c r="M66" i="15" s="1"/>
  <c r="M10" i="15"/>
  <c r="M9" i="15"/>
  <c r="M36" i="15"/>
  <c r="N4" i="15"/>
  <c r="M5" i="15"/>
  <c r="M37" i="15"/>
  <c r="K101" i="15"/>
  <c r="K110" i="15" s="1"/>
  <c r="K137" i="15"/>
  <c r="M119" i="17" l="1"/>
  <c r="M120" i="17" s="1"/>
  <c r="L110" i="17"/>
  <c r="M92" i="16"/>
  <c r="M93" i="16" s="1"/>
  <c r="M119" i="15"/>
  <c r="M120" i="15" s="1"/>
  <c r="L103" i="15"/>
  <c r="J56" i="15"/>
  <c r="G178" i="15"/>
  <c r="F179" i="15"/>
  <c r="L120" i="17"/>
  <c r="M65" i="17"/>
  <c r="M74" i="17" s="1"/>
  <c r="G177" i="17"/>
  <c r="J110" i="17"/>
  <c r="L93" i="16"/>
  <c r="N118" i="16"/>
  <c r="N117" i="16"/>
  <c r="N90" i="16"/>
  <c r="N91" i="16"/>
  <c r="N64" i="16"/>
  <c r="N63" i="16"/>
  <c r="N66" i="16" s="1"/>
  <c r="N37" i="16"/>
  <c r="N36" i="16"/>
  <c r="N10" i="16"/>
  <c r="N9" i="16"/>
  <c r="O4" i="16"/>
  <c r="N5" i="16"/>
  <c r="F178" i="16"/>
  <c r="E179" i="16"/>
  <c r="J174" i="15"/>
  <c r="L39" i="16"/>
  <c r="M38" i="16"/>
  <c r="M39" i="16" s="1"/>
  <c r="M43" i="16" s="1"/>
  <c r="L120" i="15"/>
  <c r="L12" i="15"/>
  <c r="M119" i="16"/>
  <c r="M120" i="16" s="1"/>
  <c r="M130" i="16" s="1"/>
  <c r="L12" i="17"/>
  <c r="J174" i="17"/>
  <c r="K42" i="17"/>
  <c r="K55" i="17"/>
  <c r="K45" i="17"/>
  <c r="K49" i="17"/>
  <c r="K43" i="17"/>
  <c r="K56" i="17" s="1"/>
  <c r="K175" i="17" s="1"/>
  <c r="J29" i="15"/>
  <c r="M65" i="16"/>
  <c r="M74" i="16" s="1"/>
  <c r="J110" i="15"/>
  <c r="L39" i="15"/>
  <c r="M38" i="17"/>
  <c r="H176" i="15"/>
  <c r="H177" i="15" s="1"/>
  <c r="L47" i="15"/>
  <c r="H176" i="16"/>
  <c r="L20" i="15"/>
  <c r="L41" i="15"/>
  <c r="L99" i="15"/>
  <c r="M11" i="17"/>
  <c r="M12" i="17" s="1"/>
  <c r="M93" i="17"/>
  <c r="M103" i="17" s="1"/>
  <c r="K130" i="16"/>
  <c r="K136" i="16"/>
  <c r="K124" i="16"/>
  <c r="K126" i="16"/>
  <c r="K123" i="16"/>
  <c r="M11" i="15"/>
  <c r="M12" i="15" s="1"/>
  <c r="M144" i="15" s="1"/>
  <c r="M153" i="15" s="1"/>
  <c r="L137" i="16"/>
  <c r="L56" i="17"/>
  <c r="K110" i="16"/>
  <c r="L128" i="15"/>
  <c r="M38" i="15"/>
  <c r="M39" i="15" s="1"/>
  <c r="L83" i="16"/>
  <c r="L83" i="15"/>
  <c r="L109" i="15"/>
  <c r="L20" i="17"/>
  <c r="J29" i="17"/>
  <c r="J175" i="17" s="1"/>
  <c r="K174" i="15"/>
  <c r="F178" i="17"/>
  <c r="E179" i="17"/>
  <c r="M155" i="16"/>
  <c r="M154" i="16"/>
  <c r="M152" i="16"/>
  <c r="M151" i="16"/>
  <c r="M150" i="16"/>
  <c r="M149" i="16"/>
  <c r="M122" i="16"/>
  <c r="M121" i="16"/>
  <c r="M156" i="16"/>
  <c r="M109" i="16"/>
  <c r="M131" i="16"/>
  <c r="M129" i="16"/>
  <c r="M127" i="16"/>
  <c r="M125" i="16"/>
  <c r="M100" i="16"/>
  <c r="M99" i="16"/>
  <c r="M104" i="16"/>
  <c r="M98" i="16"/>
  <c r="M157" i="16"/>
  <c r="M97" i="16"/>
  <c r="M96" i="16"/>
  <c r="M77" i="16"/>
  <c r="M95" i="16"/>
  <c r="M94" i="16"/>
  <c r="M75" i="16"/>
  <c r="M123" i="16"/>
  <c r="M82" i="16"/>
  <c r="M103" i="16"/>
  <c r="M44" i="16"/>
  <c r="M101" i="16"/>
  <c r="M124" i="16"/>
  <c r="M69" i="16"/>
  <c r="M50" i="16"/>
  <c r="M73" i="16"/>
  <c r="M72" i="16"/>
  <c r="M71" i="16"/>
  <c r="M68" i="16"/>
  <c r="M55" i="16"/>
  <c r="M76" i="16"/>
  <c r="M42" i="16"/>
  <c r="M23" i="16"/>
  <c r="M22" i="16"/>
  <c r="M70" i="16"/>
  <c r="M40" i="16"/>
  <c r="M21" i="16"/>
  <c r="M49" i="16"/>
  <c r="M28" i="16"/>
  <c r="M20" i="16"/>
  <c r="M19" i="16"/>
  <c r="M48" i="16"/>
  <c r="M18" i="16"/>
  <c r="M17" i="16"/>
  <c r="M67" i="16"/>
  <c r="M102" i="16"/>
  <c r="M46" i="16"/>
  <c r="M13" i="16"/>
  <c r="M16" i="16"/>
  <c r="M14" i="16"/>
  <c r="M15" i="16"/>
  <c r="M65" i="15"/>
  <c r="M92" i="15"/>
  <c r="M93" i="15" s="1"/>
  <c r="M96" i="15" s="1"/>
  <c r="M154" i="15"/>
  <c r="M152" i="15"/>
  <c r="M151" i="15"/>
  <c r="M150" i="15"/>
  <c r="M149" i="15"/>
  <c r="M157" i="15"/>
  <c r="M131" i="15"/>
  <c r="M130" i="15"/>
  <c r="M129" i="15"/>
  <c r="M136" i="15"/>
  <c r="M128" i="15"/>
  <c r="M127" i="15"/>
  <c r="M126" i="15"/>
  <c r="M125" i="15"/>
  <c r="M124" i="15"/>
  <c r="M155" i="15"/>
  <c r="M123" i="15"/>
  <c r="M156" i="15"/>
  <c r="M82" i="15"/>
  <c r="M74" i="15"/>
  <c r="M73" i="15"/>
  <c r="M72" i="15"/>
  <c r="M102" i="15"/>
  <c r="M71" i="15"/>
  <c r="M104" i="15"/>
  <c r="M101" i="15"/>
  <c r="M70" i="15"/>
  <c r="M100" i="15"/>
  <c r="M99" i="15"/>
  <c r="M98" i="15"/>
  <c r="M77" i="15"/>
  <c r="M94" i="15"/>
  <c r="M75" i="15"/>
  <c r="M46" i="15"/>
  <c r="M95" i="15"/>
  <c r="M45" i="15"/>
  <c r="M44" i="15"/>
  <c r="M122" i="15"/>
  <c r="M43" i="15"/>
  <c r="M121" i="15"/>
  <c r="M137" i="15" s="1"/>
  <c r="M42" i="15"/>
  <c r="M41" i="15"/>
  <c r="M40" i="15"/>
  <c r="M76" i="15"/>
  <c r="M69" i="15"/>
  <c r="M50" i="15"/>
  <c r="M68" i="15"/>
  <c r="M49" i="15"/>
  <c r="M22" i="15"/>
  <c r="M23" i="15"/>
  <c r="M21" i="15"/>
  <c r="M67" i="15"/>
  <c r="M83" i="15" s="1"/>
  <c r="M19" i="15"/>
  <c r="M47" i="15"/>
  <c r="M17" i="15"/>
  <c r="M48" i="15"/>
  <c r="M16" i="15"/>
  <c r="M15" i="15"/>
  <c r="M14" i="15"/>
  <c r="M55" i="15"/>
  <c r="M13" i="15"/>
  <c r="M28" i="15"/>
  <c r="L29" i="16"/>
  <c r="L101" i="15"/>
  <c r="L110" i="15" s="1"/>
  <c r="M155" i="17"/>
  <c r="M154" i="17"/>
  <c r="M150" i="17"/>
  <c r="M157" i="17"/>
  <c r="M152" i="17"/>
  <c r="M156" i="17"/>
  <c r="M151" i="17"/>
  <c r="M123" i="17"/>
  <c r="M149" i="17"/>
  <c r="M122" i="17"/>
  <c r="M131" i="17"/>
  <c r="M126" i="17"/>
  <c r="M128" i="17"/>
  <c r="M125" i="17"/>
  <c r="M130" i="17"/>
  <c r="M127" i="17"/>
  <c r="M129" i="17"/>
  <c r="M104" i="17"/>
  <c r="M124" i="17"/>
  <c r="M100" i="17"/>
  <c r="M121" i="17"/>
  <c r="M136" i="17"/>
  <c r="M97" i="17"/>
  <c r="M95" i="17"/>
  <c r="M94" i="17"/>
  <c r="M99" i="17"/>
  <c r="M102" i="17"/>
  <c r="M72" i="17"/>
  <c r="M71" i="17"/>
  <c r="M82" i="17"/>
  <c r="M69" i="17"/>
  <c r="M98" i="17"/>
  <c r="M68" i="17"/>
  <c r="M101" i="17"/>
  <c r="M77" i="17"/>
  <c r="M76" i="17"/>
  <c r="M50" i="17"/>
  <c r="M67" i="17"/>
  <c r="M73" i="17"/>
  <c r="M47" i="17"/>
  <c r="M44" i="17"/>
  <c r="M70" i="17"/>
  <c r="M41" i="17"/>
  <c r="M40" i="17"/>
  <c r="M75" i="17"/>
  <c r="M46" i="17"/>
  <c r="M28" i="17"/>
  <c r="M20" i="17"/>
  <c r="M19" i="17"/>
  <c r="M18" i="17"/>
  <c r="M17" i="17"/>
  <c r="M16" i="17"/>
  <c r="M15" i="17"/>
  <c r="M48" i="17"/>
  <c r="M23" i="17"/>
  <c r="M13" i="17"/>
  <c r="M21" i="17"/>
  <c r="M22" i="17"/>
  <c r="M14" i="17"/>
  <c r="K144" i="16"/>
  <c r="K22" i="16"/>
  <c r="K18" i="16"/>
  <c r="K16" i="16"/>
  <c r="K28" i="16"/>
  <c r="K15" i="16"/>
  <c r="N118" i="15"/>
  <c r="N117" i="15"/>
  <c r="N91" i="15"/>
  <c r="N90" i="15"/>
  <c r="N64" i="15"/>
  <c r="N65" i="15" s="1"/>
  <c r="N63" i="15"/>
  <c r="N66" i="15" s="1"/>
  <c r="N37" i="15"/>
  <c r="N36" i="15"/>
  <c r="N10" i="15"/>
  <c r="N9" i="15"/>
  <c r="O4" i="15"/>
  <c r="N5" i="15"/>
  <c r="L83" i="17"/>
  <c r="N118" i="17"/>
  <c r="N117" i="17"/>
  <c r="N91" i="17"/>
  <c r="N90" i="17"/>
  <c r="N64" i="17"/>
  <c r="N63" i="17"/>
  <c r="N66" i="17" s="1"/>
  <c r="N37" i="17"/>
  <c r="N36" i="17"/>
  <c r="N5" i="17"/>
  <c r="N9" i="17"/>
  <c r="N10" i="17"/>
  <c r="O4" i="17"/>
  <c r="I177" i="17"/>
  <c r="J153" i="15"/>
  <c r="K175" i="15"/>
  <c r="J177" i="17" l="1"/>
  <c r="M144" i="16"/>
  <c r="M153" i="16" s="1"/>
  <c r="M158" i="16" s="1"/>
  <c r="M176" i="16" s="1"/>
  <c r="M126" i="16"/>
  <c r="N65" i="16"/>
  <c r="M29" i="17"/>
  <c r="M128" i="16"/>
  <c r="M136" i="16"/>
  <c r="N38" i="17"/>
  <c r="N39" i="17" s="1"/>
  <c r="M97" i="15"/>
  <c r="M109" i="15"/>
  <c r="M174" i="15" s="1"/>
  <c r="N92" i="16"/>
  <c r="N93" i="16" s="1"/>
  <c r="L97" i="16"/>
  <c r="L96" i="16"/>
  <c r="L95" i="16"/>
  <c r="L103" i="16"/>
  <c r="L109" i="16"/>
  <c r="L99" i="16"/>
  <c r="N92" i="15"/>
  <c r="N93" i="15" s="1"/>
  <c r="M96" i="17"/>
  <c r="M110" i="17" s="1"/>
  <c r="M137" i="16"/>
  <c r="J175" i="15"/>
  <c r="L124" i="15"/>
  <c r="L126" i="15"/>
  <c r="L130" i="15"/>
  <c r="L123" i="15"/>
  <c r="L136" i="15"/>
  <c r="M158" i="15"/>
  <c r="M176" i="15" s="1"/>
  <c r="M29" i="16"/>
  <c r="O118" i="16"/>
  <c r="O117" i="16"/>
  <c r="O91" i="16"/>
  <c r="O90" i="16"/>
  <c r="O64" i="16"/>
  <c r="O63" i="16"/>
  <c r="O66" i="16" s="1"/>
  <c r="O37" i="16"/>
  <c r="O38" i="16" s="1"/>
  <c r="O39" i="16" s="1"/>
  <c r="O36" i="16"/>
  <c r="O10" i="16"/>
  <c r="O9" i="16"/>
  <c r="P4" i="16"/>
  <c r="O5" i="16"/>
  <c r="M137" i="17"/>
  <c r="M47" i="16"/>
  <c r="M110" i="16"/>
  <c r="G178" i="17"/>
  <c r="F179" i="17"/>
  <c r="K137" i="16"/>
  <c r="M144" i="17"/>
  <c r="M153" i="17" s="1"/>
  <c r="L144" i="15"/>
  <c r="L16" i="15"/>
  <c r="L28" i="15"/>
  <c r="L22" i="15"/>
  <c r="L18" i="15"/>
  <c r="L15" i="15"/>
  <c r="G178" i="16"/>
  <c r="F179" i="16"/>
  <c r="N11" i="15"/>
  <c r="N12" i="15" s="1"/>
  <c r="N15" i="15" s="1"/>
  <c r="K153" i="16"/>
  <c r="N92" i="17"/>
  <c r="N93" i="17" s="1"/>
  <c r="M45" i="16"/>
  <c r="K177" i="15"/>
  <c r="M39" i="17"/>
  <c r="L45" i="16"/>
  <c r="L43" i="16"/>
  <c r="L49" i="16"/>
  <c r="L42" i="16"/>
  <c r="L55" i="16"/>
  <c r="N11" i="16"/>
  <c r="N12" i="16" s="1"/>
  <c r="N119" i="16"/>
  <c r="N120" i="16" s="1"/>
  <c r="L130" i="17"/>
  <c r="L124" i="17"/>
  <c r="L123" i="17"/>
  <c r="L126" i="17"/>
  <c r="L136" i="17"/>
  <c r="N152" i="15"/>
  <c r="N151" i="15"/>
  <c r="N150" i="15"/>
  <c r="N149" i="15"/>
  <c r="N157" i="15"/>
  <c r="N156" i="15"/>
  <c r="N131" i="15"/>
  <c r="N129" i="15"/>
  <c r="N127" i="15"/>
  <c r="N125" i="15"/>
  <c r="N154" i="15"/>
  <c r="N155" i="15"/>
  <c r="N122" i="15"/>
  <c r="N73" i="15"/>
  <c r="N72" i="15"/>
  <c r="N103" i="15"/>
  <c r="N102" i="15"/>
  <c r="N71" i="15"/>
  <c r="N104" i="15"/>
  <c r="N101" i="15"/>
  <c r="N109" i="15"/>
  <c r="N100" i="15"/>
  <c r="N99" i="15"/>
  <c r="N98" i="15"/>
  <c r="N97" i="15"/>
  <c r="N96" i="15"/>
  <c r="N77" i="15"/>
  <c r="N121" i="15"/>
  <c r="N95" i="15"/>
  <c r="N76" i="15"/>
  <c r="N45" i="15"/>
  <c r="N44" i="15"/>
  <c r="N40" i="15"/>
  <c r="N82" i="15"/>
  <c r="N69" i="15"/>
  <c r="N50" i="15"/>
  <c r="N74" i="15"/>
  <c r="N70" i="15"/>
  <c r="N68" i="15"/>
  <c r="N49" i="15"/>
  <c r="N67" i="15"/>
  <c r="N48" i="15"/>
  <c r="N23" i="15"/>
  <c r="N21" i="15"/>
  <c r="N75" i="15"/>
  <c r="N19" i="15"/>
  <c r="N46" i="15"/>
  <c r="N18" i="15"/>
  <c r="N47" i="15"/>
  <c r="N17" i="15"/>
  <c r="N16" i="15"/>
  <c r="N14" i="15"/>
  <c r="N13" i="15"/>
  <c r="N94" i="15"/>
  <c r="N28" i="15"/>
  <c r="M174" i="16"/>
  <c r="N119" i="15"/>
  <c r="N120" i="15" s="1"/>
  <c r="N123" i="15" s="1"/>
  <c r="O117" i="17"/>
  <c r="O118" i="17"/>
  <c r="O91" i="17"/>
  <c r="O90" i="17"/>
  <c r="O64" i="17"/>
  <c r="O63" i="17"/>
  <c r="O66" i="17" s="1"/>
  <c r="O37" i="17"/>
  <c r="O36" i="17"/>
  <c r="O10" i="17"/>
  <c r="O9" i="17"/>
  <c r="O5" i="17"/>
  <c r="P4" i="17"/>
  <c r="N11" i="17"/>
  <c r="N12" i="17" s="1"/>
  <c r="N38" i="15"/>
  <c r="N39" i="15" s="1"/>
  <c r="N55" i="15" s="1"/>
  <c r="M103" i="15"/>
  <c r="M110" i="15" s="1"/>
  <c r="K174" i="17"/>
  <c r="K177" i="17" s="1"/>
  <c r="L144" i="17"/>
  <c r="L153" i="17" s="1"/>
  <c r="L28" i="17"/>
  <c r="L22" i="17"/>
  <c r="L15" i="17"/>
  <c r="L18" i="17"/>
  <c r="L16" i="17"/>
  <c r="J158" i="15"/>
  <c r="O118" i="15"/>
  <c r="O117" i="15"/>
  <c r="O91" i="15"/>
  <c r="O90" i="15"/>
  <c r="O37" i="15"/>
  <c r="O36" i="15"/>
  <c r="P4" i="15"/>
  <c r="O5" i="15"/>
  <c r="O63" i="15"/>
  <c r="O66" i="15" s="1"/>
  <c r="O64" i="15"/>
  <c r="O9" i="15"/>
  <c r="O10" i="15"/>
  <c r="M109" i="17"/>
  <c r="M158" i="17"/>
  <c r="M176" i="17" s="1"/>
  <c r="M18" i="15"/>
  <c r="M56" i="15"/>
  <c r="H178" i="15"/>
  <c r="G179" i="15"/>
  <c r="K174" i="16"/>
  <c r="N65" i="17"/>
  <c r="N154" i="16"/>
  <c r="N152" i="16"/>
  <c r="N151" i="16"/>
  <c r="N150" i="16"/>
  <c r="N149" i="16"/>
  <c r="N121" i="16"/>
  <c r="N156" i="16"/>
  <c r="N131" i="16"/>
  <c r="N129" i="16"/>
  <c r="N155" i="16"/>
  <c r="N127" i="16"/>
  <c r="N126" i="16"/>
  <c r="N125" i="16"/>
  <c r="N157" i="16"/>
  <c r="N104" i="16"/>
  <c r="N98" i="16"/>
  <c r="N77" i="16"/>
  <c r="N76" i="16"/>
  <c r="N122" i="16"/>
  <c r="N94" i="16"/>
  <c r="N82" i="16"/>
  <c r="N74" i="16"/>
  <c r="N102" i="16"/>
  <c r="N69" i="16"/>
  <c r="N50" i="16"/>
  <c r="N100" i="16"/>
  <c r="N75" i="16"/>
  <c r="N73" i="16"/>
  <c r="N72" i="16"/>
  <c r="N71" i="16"/>
  <c r="N68" i="16"/>
  <c r="N67" i="16"/>
  <c r="N70" i="16"/>
  <c r="N22" i="16"/>
  <c r="N40" i="16"/>
  <c r="N21" i="16"/>
  <c r="N28" i="16"/>
  <c r="N20" i="16"/>
  <c r="N19" i="16"/>
  <c r="N48" i="16"/>
  <c r="N18" i="16"/>
  <c r="N17" i="16"/>
  <c r="N44" i="16"/>
  <c r="N16" i="16"/>
  <c r="N47" i="16"/>
  <c r="N13" i="16"/>
  <c r="N14" i="16"/>
  <c r="N23" i="16"/>
  <c r="N15" i="16"/>
  <c r="N46" i="16"/>
  <c r="H177" i="16"/>
  <c r="N154" i="17"/>
  <c r="N157" i="17"/>
  <c r="N152" i="17"/>
  <c r="N156" i="17"/>
  <c r="N151" i="17"/>
  <c r="N155" i="17"/>
  <c r="N149" i="17"/>
  <c r="N150" i="17"/>
  <c r="N122" i="17"/>
  <c r="N131" i="17"/>
  <c r="N125" i="17"/>
  <c r="N127" i="17"/>
  <c r="N104" i="17"/>
  <c r="N129" i="17"/>
  <c r="N103" i="17"/>
  <c r="N102" i="17"/>
  <c r="N109" i="17"/>
  <c r="N99" i="17"/>
  <c r="N97" i="17"/>
  <c r="N100" i="17"/>
  <c r="N95" i="17"/>
  <c r="N96" i="17"/>
  <c r="N94" i="17"/>
  <c r="N121" i="17"/>
  <c r="N101" i="17"/>
  <c r="N98" i="17"/>
  <c r="N71" i="17"/>
  <c r="N82" i="17"/>
  <c r="N70" i="17"/>
  <c r="N67" i="17"/>
  <c r="N76" i="17"/>
  <c r="N75" i="17"/>
  <c r="N50" i="17"/>
  <c r="N55" i="17"/>
  <c r="N77" i="17"/>
  <c r="N73" i="17"/>
  <c r="N74" i="17"/>
  <c r="N68" i="17"/>
  <c r="N44" i="17"/>
  <c r="N69" i="17"/>
  <c r="N43" i="17"/>
  <c r="N42" i="17"/>
  <c r="N41" i="17"/>
  <c r="N40" i="17"/>
  <c r="N49" i="17"/>
  <c r="N48" i="17"/>
  <c r="N19" i="17"/>
  <c r="N18" i="17"/>
  <c r="N17" i="17"/>
  <c r="N45" i="17"/>
  <c r="N16" i="17"/>
  <c r="N72" i="17"/>
  <c r="N15" i="17"/>
  <c r="N14" i="17"/>
  <c r="N23" i="17"/>
  <c r="N47" i="17"/>
  <c r="N22" i="17"/>
  <c r="N13" i="17"/>
  <c r="N20" i="17"/>
  <c r="N46" i="17"/>
  <c r="N21" i="17"/>
  <c r="N28" i="17"/>
  <c r="N119" i="17"/>
  <c r="N120" i="17" s="1"/>
  <c r="N130" i="17" s="1"/>
  <c r="M83" i="16"/>
  <c r="L144" i="16"/>
  <c r="L153" i="16" s="1"/>
  <c r="L158" i="16" s="1"/>
  <c r="L176" i="16" s="1"/>
  <c r="L43" i="15"/>
  <c r="L42" i="15"/>
  <c r="L49" i="15"/>
  <c r="L45" i="15"/>
  <c r="L55" i="15"/>
  <c r="N38" i="16"/>
  <c r="N39" i="16" s="1"/>
  <c r="N42" i="16" s="1"/>
  <c r="K29" i="16"/>
  <c r="M83" i="17"/>
  <c r="M20" i="15"/>
  <c r="M29" i="15" s="1"/>
  <c r="M41" i="16"/>
  <c r="M56" i="16" s="1"/>
  <c r="O92" i="15" l="1"/>
  <c r="O93" i="15" s="1"/>
  <c r="N126" i="17"/>
  <c r="N124" i="17"/>
  <c r="O119" i="15"/>
  <c r="O120" i="15" s="1"/>
  <c r="N110" i="17"/>
  <c r="N20" i="15"/>
  <c r="N123" i="17"/>
  <c r="L56" i="15"/>
  <c r="N124" i="15"/>
  <c r="N42" i="15"/>
  <c r="N22" i="15"/>
  <c r="N43" i="15"/>
  <c r="N126" i="15"/>
  <c r="M175" i="15"/>
  <c r="N29" i="17"/>
  <c r="O11" i="17"/>
  <c r="O12" i="17" s="1"/>
  <c r="N29" i="16"/>
  <c r="N95" i="16"/>
  <c r="N128" i="16"/>
  <c r="P117" i="15"/>
  <c r="P118" i="15"/>
  <c r="P119" i="15" s="1"/>
  <c r="P120" i="15" s="1"/>
  <c r="P90" i="15"/>
  <c r="P91" i="15"/>
  <c r="P37" i="15"/>
  <c r="P36" i="15"/>
  <c r="P5" i="15"/>
  <c r="P63" i="15"/>
  <c r="P66" i="15" s="1"/>
  <c r="P64" i="15"/>
  <c r="Q4" i="15"/>
  <c r="P9" i="15"/>
  <c r="P10" i="15"/>
  <c r="P11" i="15" s="1"/>
  <c r="P12" i="15" s="1"/>
  <c r="N83" i="15"/>
  <c r="N144" i="16"/>
  <c r="N153" i="16" s="1"/>
  <c r="L174" i="15"/>
  <c r="O152" i="16"/>
  <c r="O151" i="16"/>
  <c r="O150" i="16"/>
  <c r="O149" i="16"/>
  <c r="O157" i="16"/>
  <c r="O156" i="16"/>
  <c r="O131" i="16"/>
  <c r="O129" i="16"/>
  <c r="O155" i="16"/>
  <c r="O127" i="16"/>
  <c r="O125" i="16"/>
  <c r="O154" i="16"/>
  <c r="O104" i="16"/>
  <c r="O98" i="16"/>
  <c r="O77" i="16"/>
  <c r="O121" i="16"/>
  <c r="O76" i="16"/>
  <c r="O122" i="16"/>
  <c r="O94" i="16"/>
  <c r="O75" i="16"/>
  <c r="O73" i="16"/>
  <c r="O82" i="16"/>
  <c r="O69" i="16"/>
  <c r="O50" i="16"/>
  <c r="O100" i="16"/>
  <c r="O72" i="16"/>
  <c r="O71" i="16"/>
  <c r="O68" i="16"/>
  <c r="O49" i="16"/>
  <c r="O67" i="16"/>
  <c r="O48" i="16"/>
  <c r="O99" i="16"/>
  <c r="O70" i="16"/>
  <c r="O102" i="16"/>
  <c r="O40" i="16"/>
  <c r="O21" i="16"/>
  <c r="O43" i="16"/>
  <c r="O19" i="16"/>
  <c r="O17" i="16"/>
  <c r="O44" i="16"/>
  <c r="O47" i="16"/>
  <c r="O46" i="16"/>
  <c r="O45" i="16"/>
  <c r="O13" i="16"/>
  <c r="O14" i="16"/>
  <c r="O42" i="16"/>
  <c r="O23" i="16"/>
  <c r="O55" i="16"/>
  <c r="O41" i="16"/>
  <c r="O92" i="16"/>
  <c r="O93" i="16" s="1"/>
  <c r="O109" i="16" s="1"/>
  <c r="N56" i="17"/>
  <c r="N128" i="17"/>
  <c r="N137" i="17" s="1"/>
  <c r="N103" i="16"/>
  <c r="N41" i="16"/>
  <c r="N96" i="16"/>
  <c r="O38" i="15"/>
  <c r="O39" i="15" s="1"/>
  <c r="O45" i="15" s="1"/>
  <c r="O38" i="17"/>
  <c r="O39" i="17" s="1"/>
  <c r="L56" i="16"/>
  <c r="L153" i="15"/>
  <c r="N83" i="17"/>
  <c r="N136" i="17"/>
  <c r="N55" i="16"/>
  <c r="N174" i="16" s="1"/>
  <c r="N101" i="16"/>
  <c r="N97" i="16"/>
  <c r="N128" i="15"/>
  <c r="O11" i="16"/>
  <c r="O12" i="16" s="1"/>
  <c r="O18" i="16" s="1"/>
  <c r="O119" i="16"/>
  <c r="O120" i="16" s="1"/>
  <c r="O130" i="16" s="1"/>
  <c r="L137" i="15"/>
  <c r="N136" i="16"/>
  <c r="J176" i="15"/>
  <c r="J177" i="15" s="1"/>
  <c r="N43" i="16"/>
  <c r="N130" i="16"/>
  <c r="N136" i="15"/>
  <c r="K158" i="16"/>
  <c r="O152" i="15"/>
  <c r="O151" i="15"/>
  <c r="O150" i="15"/>
  <c r="O149" i="15"/>
  <c r="O157" i="15"/>
  <c r="O156" i="15"/>
  <c r="O155" i="15"/>
  <c r="O130" i="15"/>
  <c r="O129" i="15"/>
  <c r="O136" i="15"/>
  <c r="O128" i="15"/>
  <c r="O127" i="15"/>
  <c r="O126" i="15"/>
  <c r="O125" i="15"/>
  <c r="O154" i="15"/>
  <c r="O124" i="15"/>
  <c r="O123" i="15"/>
  <c r="O122" i="15"/>
  <c r="O121" i="15"/>
  <c r="O72" i="15"/>
  <c r="O103" i="15"/>
  <c r="O102" i="15"/>
  <c r="O71" i="15"/>
  <c r="O104" i="15"/>
  <c r="O101" i="15"/>
  <c r="O109" i="15"/>
  <c r="O100" i="15"/>
  <c r="O131" i="15"/>
  <c r="O99" i="15"/>
  <c r="O98" i="15"/>
  <c r="O97" i="15"/>
  <c r="O96" i="15"/>
  <c r="O77" i="15"/>
  <c r="O95" i="15"/>
  <c r="O76" i="15"/>
  <c r="O94" i="15"/>
  <c r="O44" i="15"/>
  <c r="O43" i="15"/>
  <c r="O42" i="15"/>
  <c r="O41" i="15"/>
  <c r="O73" i="15"/>
  <c r="O40" i="15"/>
  <c r="O82" i="15"/>
  <c r="O69" i="15"/>
  <c r="O50" i="15"/>
  <c r="O70" i="15"/>
  <c r="O68" i="15"/>
  <c r="O49" i="15"/>
  <c r="O67" i="15"/>
  <c r="O48" i="15"/>
  <c r="O55" i="15"/>
  <c r="O47" i="15"/>
  <c r="O23" i="15"/>
  <c r="O21" i="15"/>
  <c r="O75" i="15"/>
  <c r="O19" i="15"/>
  <c r="O46" i="15"/>
  <c r="O17" i="15"/>
  <c r="O14" i="15"/>
  <c r="O13" i="15"/>
  <c r="N83" i="16"/>
  <c r="L29" i="17"/>
  <c r="L175" i="17" s="1"/>
  <c r="O65" i="17"/>
  <c r="M177" i="15"/>
  <c r="N144" i="15"/>
  <c r="N153" i="15" s="1"/>
  <c r="N158" i="15" s="1"/>
  <c r="N176" i="15" s="1"/>
  <c r="K175" i="16"/>
  <c r="N45" i="16"/>
  <c r="N49" i="16"/>
  <c r="N99" i="16"/>
  <c r="N109" i="16"/>
  <c r="O11" i="15"/>
  <c r="O12" i="15" s="1"/>
  <c r="O144" i="15" s="1"/>
  <c r="O153" i="15" s="1"/>
  <c r="N174" i="15"/>
  <c r="N130" i="15"/>
  <c r="L110" i="16"/>
  <c r="N174" i="17"/>
  <c r="N124" i="16"/>
  <c r="N137" i="16" s="1"/>
  <c r="L174" i="17"/>
  <c r="N144" i="17"/>
  <c r="N153" i="17" s="1"/>
  <c r="N158" i="17" s="1"/>
  <c r="N176" i="17" s="1"/>
  <c r="N110" i="15"/>
  <c r="H178" i="16"/>
  <c r="G179" i="16"/>
  <c r="M175" i="16"/>
  <c r="M177" i="16" s="1"/>
  <c r="L174" i="16"/>
  <c r="N123" i="16"/>
  <c r="I178" i="15"/>
  <c r="H179" i="15"/>
  <c r="P118" i="17"/>
  <c r="P119" i="17" s="1"/>
  <c r="P120" i="17" s="1"/>
  <c r="P91" i="17"/>
  <c r="P92" i="17" s="1"/>
  <c r="P93" i="17" s="1"/>
  <c r="P90" i="17"/>
  <c r="P117" i="17"/>
  <c r="P64" i="17"/>
  <c r="P63" i="17"/>
  <c r="P66" i="17" s="1"/>
  <c r="P37" i="17"/>
  <c r="P36" i="17"/>
  <c r="P10" i="17"/>
  <c r="P9" i="17"/>
  <c r="Q4" i="17"/>
  <c r="P5" i="17"/>
  <c r="O92" i="17"/>
  <c r="O93" i="17" s="1"/>
  <c r="O97" i="17" s="1"/>
  <c r="N29" i="15"/>
  <c r="L137" i="17"/>
  <c r="L29" i="15"/>
  <c r="H178" i="17"/>
  <c r="G179" i="17"/>
  <c r="P118" i="16"/>
  <c r="P117" i="16"/>
  <c r="P91" i="16"/>
  <c r="P90" i="16"/>
  <c r="P64" i="16"/>
  <c r="P37" i="16"/>
  <c r="P36" i="16"/>
  <c r="P63" i="16"/>
  <c r="P66" i="16" s="1"/>
  <c r="P10" i="16"/>
  <c r="P9" i="16"/>
  <c r="Q4" i="16"/>
  <c r="P5" i="16"/>
  <c r="N158" i="16"/>
  <c r="N176" i="16" s="1"/>
  <c r="O65" i="15"/>
  <c r="O74" i="15" s="1"/>
  <c r="L158" i="17"/>
  <c r="O152" i="17"/>
  <c r="O156" i="17"/>
  <c r="O151" i="17"/>
  <c r="O155" i="17"/>
  <c r="O149" i="17"/>
  <c r="O121" i="17"/>
  <c r="O131" i="17"/>
  <c r="O157" i="17"/>
  <c r="O154" i="17"/>
  <c r="O125" i="17"/>
  <c r="O127" i="17"/>
  <c r="O129" i="17"/>
  <c r="O150" i="17"/>
  <c r="O104" i="17"/>
  <c r="O103" i="17"/>
  <c r="O102" i="17"/>
  <c r="O122" i="17"/>
  <c r="O100" i="17"/>
  <c r="O96" i="17"/>
  <c r="O94" i="17"/>
  <c r="O99" i="17"/>
  <c r="O98" i="17"/>
  <c r="O82" i="17"/>
  <c r="O70" i="17"/>
  <c r="O69" i="17"/>
  <c r="O77" i="17"/>
  <c r="O75" i="17"/>
  <c r="O74" i="17"/>
  <c r="O71" i="17"/>
  <c r="O50" i="17"/>
  <c r="O49" i="17"/>
  <c r="O76" i="17"/>
  <c r="O55" i="17"/>
  <c r="O73" i="17"/>
  <c r="O67" i="17"/>
  <c r="O68" i="17"/>
  <c r="O72" i="17"/>
  <c r="O43" i="17"/>
  <c r="O42" i="17"/>
  <c r="O41" i="17"/>
  <c r="O40" i="17"/>
  <c r="O48" i="17"/>
  <c r="O18" i="17"/>
  <c r="O17" i="17"/>
  <c r="O45" i="17"/>
  <c r="O16" i="17"/>
  <c r="O15" i="17"/>
  <c r="O14" i="17"/>
  <c r="O13" i="17"/>
  <c r="O44" i="17"/>
  <c r="O23" i="17"/>
  <c r="O47" i="17"/>
  <c r="O22" i="17"/>
  <c r="O21" i="17"/>
  <c r="O19" i="17"/>
  <c r="O20" i="17"/>
  <c r="O46" i="17"/>
  <c r="O28" i="17"/>
  <c r="O119" i="17"/>
  <c r="O120" i="17" s="1"/>
  <c r="O136" i="17" s="1"/>
  <c r="N41" i="15"/>
  <c r="N56" i="15" s="1"/>
  <c r="M55" i="17"/>
  <c r="M42" i="17"/>
  <c r="M45" i="17"/>
  <c r="M43" i="17"/>
  <c r="M49" i="17"/>
  <c r="O65" i="16"/>
  <c r="O74" i="16" s="1"/>
  <c r="O56" i="15" l="1"/>
  <c r="N137" i="15"/>
  <c r="N56" i="16"/>
  <c r="O136" i="16"/>
  <c r="O56" i="17"/>
  <c r="O95" i="17"/>
  <c r="N110" i="16"/>
  <c r="O123" i="17"/>
  <c r="O124" i="17"/>
  <c r="O128" i="17"/>
  <c r="P38" i="17"/>
  <c r="P39" i="17" s="1"/>
  <c r="O109" i="17"/>
  <c r="P65" i="17"/>
  <c r="O101" i="17"/>
  <c r="O96" i="16"/>
  <c r="P151" i="15"/>
  <c r="P150" i="15"/>
  <c r="P149" i="15"/>
  <c r="P157" i="15"/>
  <c r="P156" i="15"/>
  <c r="P155" i="15"/>
  <c r="P154" i="15"/>
  <c r="P129" i="15"/>
  <c r="P136" i="15"/>
  <c r="P128" i="15"/>
  <c r="P127" i="15"/>
  <c r="P152" i="15"/>
  <c r="P126" i="15"/>
  <c r="P125" i="15"/>
  <c r="P124" i="15"/>
  <c r="P123" i="15"/>
  <c r="P104" i="15"/>
  <c r="P122" i="15"/>
  <c r="P121" i="15"/>
  <c r="P102" i="15"/>
  <c r="P71" i="15"/>
  <c r="P130" i="15"/>
  <c r="P100" i="15"/>
  <c r="P131" i="15"/>
  <c r="P98" i="15"/>
  <c r="P77" i="15"/>
  <c r="P76" i="15"/>
  <c r="P94" i="15"/>
  <c r="P75" i="15"/>
  <c r="P82" i="15"/>
  <c r="P72" i="15"/>
  <c r="P73" i="15"/>
  <c r="P40" i="15"/>
  <c r="P69" i="15"/>
  <c r="P50" i="15"/>
  <c r="P70" i="15"/>
  <c r="P68" i="15"/>
  <c r="P67" i="15"/>
  <c r="P48" i="15"/>
  <c r="P46" i="15"/>
  <c r="P44" i="15"/>
  <c r="P20" i="15"/>
  <c r="P19" i="15"/>
  <c r="P18" i="15"/>
  <c r="P17" i="15"/>
  <c r="P16" i="15"/>
  <c r="P15" i="15"/>
  <c r="P14" i="15"/>
  <c r="P13" i="15"/>
  <c r="P28" i="15"/>
  <c r="P22" i="15"/>
  <c r="P23" i="15"/>
  <c r="P21" i="15"/>
  <c r="M56" i="17"/>
  <c r="M175" i="17" s="1"/>
  <c r="O126" i="17"/>
  <c r="O137" i="17" s="1"/>
  <c r="P119" i="16"/>
  <c r="P120" i="16" s="1"/>
  <c r="P11" i="17"/>
  <c r="P12" i="17" s="1"/>
  <c r="O15" i="15"/>
  <c r="O144" i="16"/>
  <c r="O153" i="16" s="1"/>
  <c r="O158" i="16" s="1"/>
  <c r="O176" i="16" s="1"/>
  <c r="O15" i="16"/>
  <c r="O97" i="16"/>
  <c r="Q118" i="17"/>
  <c r="Q91" i="17"/>
  <c r="Q90" i="17"/>
  <c r="Q117" i="17"/>
  <c r="Q64" i="17"/>
  <c r="Q63" i="17"/>
  <c r="Q66" i="17" s="1"/>
  <c r="Q37" i="17"/>
  <c r="Q36" i="17"/>
  <c r="Q10" i="17"/>
  <c r="Q9" i="17"/>
  <c r="R4" i="17"/>
  <c r="Q5" i="17"/>
  <c r="L176" i="17"/>
  <c r="L177" i="17" s="1"/>
  <c r="O83" i="15"/>
  <c r="O22" i="16"/>
  <c r="O103" i="16"/>
  <c r="P38" i="15"/>
  <c r="P39" i="15" s="1"/>
  <c r="P43" i="15" s="1"/>
  <c r="N177" i="16"/>
  <c r="O16" i="15"/>
  <c r="O18" i="15"/>
  <c r="L158" i="15"/>
  <c r="L176" i="15" s="1"/>
  <c r="O83" i="16"/>
  <c r="O123" i="16"/>
  <c r="P92" i="15"/>
  <c r="P93" i="15" s="1"/>
  <c r="P99" i="15" s="1"/>
  <c r="N175" i="16"/>
  <c r="O101" i="16"/>
  <c r="P38" i="16"/>
  <c r="P39" i="16" s="1"/>
  <c r="P43" i="16" s="1"/>
  <c r="I178" i="16"/>
  <c r="H179" i="16"/>
  <c r="O110" i="15"/>
  <c r="L175" i="16"/>
  <c r="L177" i="16" s="1"/>
  <c r="O124" i="16"/>
  <c r="M174" i="17"/>
  <c r="I178" i="17"/>
  <c r="H179" i="17"/>
  <c r="L175" i="15"/>
  <c r="L177" i="15" s="1"/>
  <c r="O130" i="17"/>
  <c r="P65" i="16"/>
  <c r="P74" i="16" s="1"/>
  <c r="J178" i="15"/>
  <c r="I179" i="15"/>
  <c r="N177" i="15"/>
  <c r="O20" i="16"/>
  <c r="O144" i="17"/>
  <c r="O153" i="17" s="1"/>
  <c r="O158" i="17" s="1"/>
  <c r="O176" i="17" s="1"/>
  <c r="O56" i="16"/>
  <c r="O158" i="15"/>
  <c r="O176" i="15" s="1"/>
  <c r="O83" i="17"/>
  <c r="O174" i="17"/>
  <c r="O20" i="15"/>
  <c r="O28" i="16"/>
  <c r="O126" i="16"/>
  <c r="N175" i="17"/>
  <c r="N177" i="17" s="1"/>
  <c r="P11" i="16"/>
  <c r="P12" i="16" s="1"/>
  <c r="O29" i="17"/>
  <c r="N175" i="15"/>
  <c r="O110" i="17"/>
  <c r="P152" i="16"/>
  <c r="P151" i="16"/>
  <c r="P150" i="16"/>
  <c r="P149" i="16"/>
  <c r="P157" i="16"/>
  <c r="P156" i="16"/>
  <c r="P131" i="16"/>
  <c r="P130" i="16"/>
  <c r="P129" i="16"/>
  <c r="P155" i="16"/>
  <c r="P136" i="16"/>
  <c r="P128" i="16"/>
  <c r="P127" i="16"/>
  <c r="P126" i="16"/>
  <c r="P125" i="16"/>
  <c r="P154" i="16"/>
  <c r="P124" i="16"/>
  <c r="P123" i="16"/>
  <c r="P122" i="16"/>
  <c r="P77" i="16"/>
  <c r="P121" i="16"/>
  <c r="P76" i="16"/>
  <c r="P94" i="16"/>
  <c r="P75" i="16"/>
  <c r="P82" i="16"/>
  <c r="P72" i="16"/>
  <c r="P102" i="16"/>
  <c r="P100" i="16"/>
  <c r="P98" i="16"/>
  <c r="P104" i="16"/>
  <c r="P69" i="16"/>
  <c r="P50" i="16"/>
  <c r="P71" i="16"/>
  <c r="P68" i="16"/>
  <c r="P49" i="16"/>
  <c r="P73" i="16"/>
  <c r="P67" i="16"/>
  <c r="P48" i="16"/>
  <c r="P55" i="16"/>
  <c r="P47" i="16"/>
  <c r="P70" i="16"/>
  <c r="P19" i="16"/>
  <c r="P18" i="16"/>
  <c r="P17" i="16"/>
  <c r="P44" i="16"/>
  <c r="P16" i="16"/>
  <c r="P46" i="16"/>
  <c r="P42" i="16"/>
  <c r="P23" i="16"/>
  <c r="P40" i="16"/>
  <c r="P13" i="16"/>
  <c r="P21" i="16"/>
  <c r="P14" i="16"/>
  <c r="P15" i="16"/>
  <c r="P41" i="16"/>
  <c r="P45" i="16"/>
  <c r="P22" i="16"/>
  <c r="P92" i="16"/>
  <c r="P93" i="16" s="1"/>
  <c r="P103" i="16" s="1"/>
  <c r="O22" i="15"/>
  <c r="K176" i="16"/>
  <c r="K177" i="16" s="1"/>
  <c r="O16" i="16"/>
  <c r="O29" i="16" s="1"/>
  <c r="O95" i="16"/>
  <c r="O110" i="16" s="1"/>
  <c r="Q117" i="15"/>
  <c r="Q118" i="15"/>
  <c r="Q119" i="15" s="1"/>
  <c r="Q120" i="15" s="1"/>
  <c r="Q90" i="15"/>
  <c r="Q91" i="15"/>
  <c r="Q37" i="15"/>
  <c r="Q36" i="15"/>
  <c r="Q64" i="15"/>
  <c r="Q63" i="15"/>
  <c r="Q66" i="15" s="1"/>
  <c r="Q10" i="15"/>
  <c r="Q9" i="15"/>
  <c r="R4" i="15"/>
  <c r="Q5" i="15"/>
  <c r="Q118" i="16"/>
  <c r="Q117" i="16"/>
  <c r="Q91" i="16"/>
  <c r="Q90" i="16"/>
  <c r="Q64" i="16"/>
  <c r="Q63" i="16"/>
  <c r="Q66" i="16" s="1"/>
  <c r="Q37" i="16"/>
  <c r="Q36" i="16"/>
  <c r="Q10" i="16"/>
  <c r="Q9" i="16"/>
  <c r="R4" i="16"/>
  <c r="Q5" i="16"/>
  <c r="P152" i="17"/>
  <c r="P151" i="17"/>
  <c r="P156" i="17"/>
  <c r="P155" i="17"/>
  <c r="P149" i="17"/>
  <c r="P154" i="17"/>
  <c r="P150" i="17"/>
  <c r="P131" i="17"/>
  <c r="P130" i="17"/>
  <c r="P129" i="17"/>
  <c r="P136" i="17"/>
  <c r="P157" i="17"/>
  <c r="P123" i="17"/>
  <c r="P125" i="17"/>
  <c r="P127" i="17"/>
  <c r="P124" i="17"/>
  <c r="P122" i="17"/>
  <c r="P126" i="17"/>
  <c r="P121" i="17"/>
  <c r="P103" i="17"/>
  <c r="P128" i="17"/>
  <c r="P102" i="17"/>
  <c r="P109" i="17"/>
  <c r="P101" i="17"/>
  <c r="P100" i="17"/>
  <c r="P95" i="17"/>
  <c r="P96" i="17"/>
  <c r="P94" i="17"/>
  <c r="P104" i="17"/>
  <c r="P99" i="17"/>
  <c r="P98" i="17"/>
  <c r="P97" i="17"/>
  <c r="P69" i="17"/>
  <c r="P68" i="17"/>
  <c r="P77" i="17"/>
  <c r="P76" i="17"/>
  <c r="P74" i="17"/>
  <c r="P49" i="17"/>
  <c r="P48" i="17"/>
  <c r="P55" i="17"/>
  <c r="P73" i="17"/>
  <c r="P67" i="17"/>
  <c r="P82" i="17"/>
  <c r="P72" i="17"/>
  <c r="P70" i="17"/>
  <c r="P50" i="17"/>
  <c r="P42" i="17"/>
  <c r="P41" i="17"/>
  <c r="P40" i="17"/>
  <c r="P75" i="17"/>
  <c r="P71" i="17"/>
  <c r="P46" i="17"/>
  <c r="P17" i="17"/>
  <c r="P45" i="17"/>
  <c r="P14" i="17"/>
  <c r="P13" i="17"/>
  <c r="P44" i="17"/>
  <c r="P23" i="17"/>
  <c r="P47" i="17"/>
  <c r="P21" i="17"/>
  <c r="P43" i="17"/>
  <c r="P19" i="17"/>
  <c r="O28" i="15"/>
  <c r="O137" i="15"/>
  <c r="O128" i="16"/>
  <c r="O137" i="16" s="1"/>
  <c r="P65" i="15"/>
  <c r="P74" i="15" s="1"/>
  <c r="Q65" i="17" l="1"/>
  <c r="Q11" i="16"/>
  <c r="Q12" i="16" s="1"/>
  <c r="Q11" i="15"/>
  <c r="Q12" i="15" s="1"/>
  <c r="Q119" i="17"/>
  <c r="Q120" i="17" s="1"/>
  <c r="P49" i="15"/>
  <c r="Q38" i="16"/>
  <c r="Q39" i="16" s="1"/>
  <c r="Q55" i="16" s="1"/>
  <c r="M177" i="17"/>
  <c r="Q65" i="16"/>
  <c r="O29" i="15"/>
  <c r="O175" i="15" s="1"/>
  <c r="P144" i="17"/>
  <c r="P153" i="17" s="1"/>
  <c r="P109" i="15"/>
  <c r="P101" i="16"/>
  <c r="O174" i="15"/>
  <c r="Q151" i="16"/>
  <c r="Q150" i="16"/>
  <c r="Q149" i="16"/>
  <c r="Q157" i="16"/>
  <c r="Q156" i="16"/>
  <c r="Q155" i="16"/>
  <c r="Q129" i="16"/>
  <c r="Q152" i="16"/>
  <c r="Q127" i="16"/>
  <c r="Q125" i="16"/>
  <c r="Q154" i="16"/>
  <c r="Q122" i="16"/>
  <c r="Q121" i="16"/>
  <c r="Q77" i="16"/>
  <c r="Q95" i="16"/>
  <c r="Q76" i="16"/>
  <c r="Q94" i="16"/>
  <c r="Q75" i="16"/>
  <c r="Q82" i="16"/>
  <c r="Q74" i="16"/>
  <c r="Q73" i="16"/>
  <c r="Q102" i="16"/>
  <c r="Q71" i="16"/>
  <c r="Q131" i="16"/>
  <c r="Q99" i="16"/>
  <c r="Q104" i="16"/>
  <c r="Q69" i="16"/>
  <c r="Q50" i="16"/>
  <c r="Q68" i="16"/>
  <c r="Q49" i="16"/>
  <c r="Q100" i="16"/>
  <c r="Q72" i="16"/>
  <c r="Q67" i="16"/>
  <c r="Q48" i="16"/>
  <c r="Q47" i="16"/>
  <c r="Q70" i="16"/>
  <c r="Q19" i="16"/>
  <c r="Q18" i="16"/>
  <c r="Q17" i="16"/>
  <c r="Q44" i="16"/>
  <c r="Q16" i="16"/>
  <c r="Q46" i="16"/>
  <c r="Q98" i="16"/>
  <c r="Q45" i="16"/>
  <c r="Q22" i="16"/>
  <c r="Q21" i="16"/>
  <c r="Q14" i="16"/>
  <c r="Q43" i="16"/>
  <c r="Q42" i="16"/>
  <c r="Q20" i="16"/>
  <c r="Q23" i="16"/>
  <c r="Q15" i="16"/>
  <c r="Q28" i="16"/>
  <c r="Q13" i="16"/>
  <c r="Q40" i="16"/>
  <c r="Q92" i="16"/>
  <c r="Q93" i="16" s="1"/>
  <c r="Q97" i="16" s="1"/>
  <c r="P96" i="16"/>
  <c r="J178" i="16"/>
  <c r="I179" i="16"/>
  <c r="R118" i="17"/>
  <c r="R117" i="17"/>
  <c r="R91" i="17"/>
  <c r="R90" i="17"/>
  <c r="R64" i="17"/>
  <c r="R63" i="17"/>
  <c r="R66" i="17" s="1"/>
  <c r="R37" i="17"/>
  <c r="R36" i="17"/>
  <c r="R10" i="17"/>
  <c r="R9" i="17"/>
  <c r="S4" i="17"/>
  <c r="R5" i="17"/>
  <c r="Q92" i="17"/>
  <c r="Q93" i="17" s="1"/>
  <c r="Q96" i="17" s="1"/>
  <c r="P101" i="15"/>
  <c r="J178" i="17"/>
  <c r="I179" i="17"/>
  <c r="Q151" i="17"/>
  <c r="Q156" i="17"/>
  <c r="Q152" i="17"/>
  <c r="Q155" i="17"/>
  <c r="Q149" i="17"/>
  <c r="Q154" i="17"/>
  <c r="Q157" i="17"/>
  <c r="Q131" i="17"/>
  <c r="Q130" i="17"/>
  <c r="Q129" i="17"/>
  <c r="Q136" i="17"/>
  <c r="Q128" i="17"/>
  <c r="Q125" i="17"/>
  <c r="Q127" i="17"/>
  <c r="Q124" i="17"/>
  <c r="Q122" i="17"/>
  <c r="Q102" i="17"/>
  <c r="Q101" i="17"/>
  <c r="Q123" i="17"/>
  <c r="Q121" i="17"/>
  <c r="Q100" i="17"/>
  <c r="Q94" i="17"/>
  <c r="Q104" i="17"/>
  <c r="Q150" i="17"/>
  <c r="Q126" i="17"/>
  <c r="Q99" i="17"/>
  <c r="Q98" i="17"/>
  <c r="Q68" i="17"/>
  <c r="Q77" i="17"/>
  <c r="Q76" i="17"/>
  <c r="Q75" i="17"/>
  <c r="Q73" i="17"/>
  <c r="Q48" i="17"/>
  <c r="Q67" i="17"/>
  <c r="Q82" i="17"/>
  <c r="Q72" i="17"/>
  <c r="Q74" i="17"/>
  <c r="Q70" i="17"/>
  <c r="Q69" i="17"/>
  <c r="Q40" i="17"/>
  <c r="Q71" i="17"/>
  <c r="Q46" i="17"/>
  <c r="Q14" i="17"/>
  <c r="Q44" i="17"/>
  <c r="Q23" i="17"/>
  <c r="Q21" i="17"/>
  <c r="Q50" i="17"/>
  <c r="Q19" i="17"/>
  <c r="Q17" i="17"/>
  <c r="Q13" i="17"/>
  <c r="R91" i="16"/>
  <c r="R90" i="16"/>
  <c r="R117" i="16"/>
  <c r="R118" i="16"/>
  <c r="R64" i="16"/>
  <c r="R63" i="16"/>
  <c r="R66" i="16" s="1"/>
  <c r="R37" i="16"/>
  <c r="R36" i="16"/>
  <c r="R10" i="16"/>
  <c r="R9" i="16"/>
  <c r="S4" i="16"/>
  <c r="R5" i="16"/>
  <c r="P99" i="16"/>
  <c r="P83" i="16"/>
  <c r="P97" i="16"/>
  <c r="Q65" i="15"/>
  <c r="Q74" i="15" s="1"/>
  <c r="O175" i="17"/>
  <c r="O177" i="17" s="1"/>
  <c r="Q11" i="17"/>
  <c r="Q12" i="17" s="1"/>
  <c r="Q28" i="17" s="1"/>
  <c r="P45" i="15"/>
  <c r="P95" i="15"/>
  <c r="P18" i="17"/>
  <c r="P144" i="16"/>
  <c r="P153" i="16" s="1"/>
  <c r="P158" i="16" s="1"/>
  <c r="K178" i="15"/>
  <c r="J179" i="15"/>
  <c r="P103" i="15"/>
  <c r="P56" i="17"/>
  <c r="P16" i="17"/>
  <c r="Q119" i="16"/>
  <c r="Q120" i="16" s="1"/>
  <c r="Q126" i="16" s="1"/>
  <c r="Q38" i="15"/>
  <c r="Q39" i="15" s="1"/>
  <c r="Q55" i="15" s="1"/>
  <c r="P96" i="15"/>
  <c r="P137" i="15"/>
  <c r="P15" i="17"/>
  <c r="P29" i="17" s="1"/>
  <c r="P175" i="17" s="1"/>
  <c r="P20" i="17"/>
  <c r="P83" i="17"/>
  <c r="P137" i="17"/>
  <c r="Q92" i="15"/>
  <c r="Q93" i="15" s="1"/>
  <c r="Q99" i="15" s="1"/>
  <c r="Q38" i="17"/>
  <c r="Q39" i="17" s="1"/>
  <c r="Q49" i="17" s="1"/>
  <c r="P97" i="15"/>
  <c r="P28" i="17"/>
  <c r="P20" i="16"/>
  <c r="P29" i="16" s="1"/>
  <c r="P109" i="16"/>
  <c r="O174" i="16"/>
  <c r="P47" i="15"/>
  <c r="P41" i="15"/>
  <c r="P158" i="17"/>
  <c r="P176" i="17" s="1"/>
  <c r="Q150" i="15"/>
  <c r="Q149" i="15"/>
  <c r="Q157" i="15"/>
  <c r="Q156" i="15"/>
  <c r="Q155" i="15"/>
  <c r="Q154" i="15"/>
  <c r="Q136" i="15"/>
  <c r="Q128" i="15"/>
  <c r="Q151" i="15"/>
  <c r="Q127" i="15"/>
  <c r="Q152" i="15"/>
  <c r="Q126" i="15"/>
  <c r="Q125" i="15"/>
  <c r="Q124" i="15"/>
  <c r="Q123" i="15"/>
  <c r="Q122" i="15"/>
  <c r="Q121" i="15"/>
  <c r="Q109" i="15"/>
  <c r="Q131" i="15"/>
  <c r="Q129" i="15"/>
  <c r="Q101" i="15"/>
  <c r="Q130" i="15"/>
  <c r="Q104" i="15"/>
  <c r="Q100" i="15"/>
  <c r="Q98" i="15"/>
  <c r="Q77" i="15"/>
  <c r="Q95" i="15"/>
  <c r="Q76" i="15"/>
  <c r="Q94" i="15"/>
  <c r="Q82" i="15"/>
  <c r="Q23" i="15"/>
  <c r="Q102" i="15"/>
  <c r="Q73" i="15"/>
  <c r="Q40" i="15"/>
  <c r="Q69" i="15"/>
  <c r="Q50" i="15"/>
  <c r="Q70" i="15"/>
  <c r="Q68" i="15"/>
  <c r="Q67" i="15"/>
  <c r="Q48" i="15"/>
  <c r="Q71" i="15"/>
  <c r="Q46" i="15"/>
  <c r="Q75" i="15"/>
  <c r="Q72" i="15"/>
  <c r="Q19" i="15"/>
  <c r="Q18" i="15"/>
  <c r="Q17" i="15"/>
  <c r="Q16" i="15"/>
  <c r="Q15" i="15"/>
  <c r="Q14" i="15"/>
  <c r="Q13" i="15"/>
  <c r="Q28" i="15"/>
  <c r="Q22" i="15"/>
  <c r="Q43" i="15"/>
  <c r="Q21" i="15"/>
  <c r="Q44" i="15"/>
  <c r="Q20" i="15"/>
  <c r="P56" i="16"/>
  <c r="P28" i="16"/>
  <c r="P144" i="15"/>
  <c r="P153" i="15" s="1"/>
  <c r="P158" i="15" s="1"/>
  <c r="P176" i="15" s="1"/>
  <c r="P29" i="15"/>
  <c r="P55" i="15"/>
  <c r="P174" i="15" s="1"/>
  <c r="P42" i="15"/>
  <c r="O175" i="16"/>
  <c r="P110" i="17"/>
  <c r="R118" i="15"/>
  <c r="R117" i="15"/>
  <c r="R91" i="15"/>
  <c r="R90" i="15"/>
  <c r="R37" i="15"/>
  <c r="R36" i="15"/>
  <c r="R64" i="15"/>
  <c r="R63" i="15"/>
  <c r="R66" i="15" s="1"/>
  <c r="R10" i="15"/>
  <c r="R9" i="15"/>
  <c r="S4" i="15"/>
  <c r="R5" i="15"/>
  <c r="P95" i="16"/>
  <c r="P110" i="16" s="1"/>
  <c r="P22" i="17"/>
  <c r="P137" i="16"/>
  <c r="P83" i="15"/>
  <c r="Q128" i="16" l="1"/>
  <c r="R119" i="16"/>
  <c r="R120" i="16" s="1"/>
  <c r="Q42" i="15"/>
  <c r="Q15" i="17"/>
  <c r="Q144" i="15"/>
  <c r="Q153" i="15" s="1"/>
  <c r="Q16" i="17"/>
  <c r="Q18" i="17"/>
  <c r="Q109" i="17"/>
  <c r="Q109" i="16"/>
  <c r="Q49" i="15"/>
  <c r="P56" i="15"/>
  <c r="Q97" i="17"/>
  <c r="Q45" i="15"/>
  <c r="P110" i="15"/>
  <c r="Q41" i="16"/>
  <c r="O177" i="15"/>
  <c r="P176" i="16"/>
  <c r="P175" i="16"/>
  <c r="R149" i="15"/>
  <c r="R157" i="15"/>
  <c r="R156" i="15"/>
  <c r="R155" i="15"/>
  <c r="R154" i="15"/>
  <c r="R152" i="15"/>
  <c r="R151" i="15"/>
  <c r="R127" i="15"/>
  <c r="R125" i="15"/>
  <c r="R122" i="15"/>
  <c r="R121" i="15"/>
  <c r="R131" i="15"/>
  <c r="R104" i="15"/>
  <c r="R100" i="15"/>
  <c r="R98" i="15"/>
  <c r="R77" i="15"/>
  <c r="R76" i="15"/>
  <c r="R94" i="15"/>
  <c r="R75" i="15"/>
  <c r="R82" i="15"/>
  <c r="R73" i="15"/>
  <c r="R102" i="15"/>
  <c r="R40" i="15"/>
  <c r="R129" i="15"/>
  <c r="R69" i="15"/>
  <c r="R50" i="15"/>
  <c r="R150" i="15"/>
  <c r="R70" i="15"/>
  <c r="R68" i="15"/>
  <c r="R67" i="15"/>
  <c r="R48" i="15"/>
  <c r="R71" i="15"/>
  <c r="R46" i="15"/>
  <c r="R44" i="15"/>
  <c r="R17" i="15"/>
  <c r="R14" i="15"/>
  <c r="R13" i="15"/>
  <c r="R21" i="15"/>
  <c r="R23" i="15"/>
  <c r="R72" i="15"/>
  <c r="R19" i="15"/>
  <c r="P174" i="17"/>
  <c r="P177" i="17" s="1"/>
  <c r="R38" i="16"/>
  <c r="R39" i="16" s="1"/>
  <c r="R65" i="17"/>
  <c r="R74" i="17" s="1"/>
  <c r="Q136" i="16"/>
  <c r="Q174" i="16" s="1"/>
  <c r="L178" i="15"/>
  <c r="K179" i="15"/>
  <c r="Q56" i="16"/>
  <c r="Q83" i="16"/>
  <c r="Q101" i="16"/>
  <c r="Q83" i="15"/>
  <c r="R119" i="15"/>
  <c r="R120" i="15" s="1"/>
  <c r="R123" i="15" s="1"/>
  <c r="R65" i="16"/>
  <c r="R74" i="16" s="1"/>
  <c r="Q29" i="16"/>
  <c r="Q103" i="16"/>
  <c r="Q96" i="16"/>
  <c r="P174" i="16"/>
  <c r="P177" i="16" s="1"/>
  <c r="Q137" i="17"/>
  <c r="Q42" i="17"/>
  <c r="Q83" i="17"/>
  <c r="R150" i="17"/>
  <c r="R155" i="17"/>
  <c r="R151" i="17"/>
  <c r="R149" i="17"/>
  <c r="R154" i="17"/>
  <c r="R129" i="17"/>
  <c r="R127" i="17"/>
  <c r="R157" i="17"/>
  <c r="R156" i="17"/>
  <c r="R152" i="17"/>
  <c r="R125" i="17"/>
  <c r="R122" i="17"/>
  <c r="R131" i="17"/>
  <c r="R121" i="17"/>
  <c r="R100" i="17"/>
  <c r="R104" i="17"/>
  <c r="R82" i="17"/>
  <c r="R98" i="17"/>
  <c r="R102" i="17"/>
  <c r="R67" i="17"/>
  <c r="R77" i="17"/>
  <c r="R76" i="17"/>
  <c r="R75" i="17"/>
  <c r="R94" i="17"/>
  <c r="R72" i="17"/>
  <c r="R73" i="17"/>
  <c r="R70" i="17"/>
  <c r="R68" i="17"/>
  <c r="R71" i="17"/>
  <c r="R69" i="17"/>
  <c r="R40" i="17"/>
  <c r="R48" i="17"/>
  <c r="R46" i="17"/>
  <c r="R44" i="17"/>
  <c r="R14" i="17"/>
  <c r="R23" i="17"/>
  <c r="R21" i="17"/>
  <c r="R50" i="17"/>
  <c r="R19" i="17"/>
  <c r="R17" i="17"/>
  <c r="R13" i="17"/>
  <c r="R92" i="17"/>
  <c r="R93" i="17" s="1"/>
  <c r="R95" i="17" s="1"/>
  <c r="Q130" i="16"/>
  <c r="R11" i="15"/>
  <c r="R12" i="15" s="1"/>
  <c r="R22" i="15" s="1"/>
  <c r="Q137" i="15"/>
  <c r="Q45" i="17"/>
  <c r="Q47" i="17"/>
  <c r="S118" i="17"/>
  <c r="S91" i="17"/>
  <c r="S90" i="17"/>
  <c r="S117" i="17"/>
  <c r="S64" i="17"/>
  <c r="S63" i="17"/>
  <c r="S66" i="17" s="1"/>
  <c r="S37" i="17"/>
  <c r="S36" i="17"/>
  <c r="S10" i="17"/>
  <c r="S9" i="17"/>
  <c r="T4" i="17"/>
  <c r="S5" i="17"/>
  <c r="Q96" i="15"/>
  <c r="Q103" i="15"/>
  <c r="R150" i="16"/>
  <c r="R149" i="16"/>
  <c r="R157" i="16"/>
  <c r="R156" i="16"/>
  <c r="R155" i="16"/>
  <c r="R154" i="16"/>
  <c r="R129" i="16"/>
  <c r="R152" i="16"/>
  <c r="R136" i="16"/>
  <c r="R128" i="16"/>
  <c r="R127" i="16"/>
  <c r="R126" i="16"/>
  <c r="R125" i="16"/>
  <c r="R151" i="16"/>
  <c r="R124" i="16"/>
  <c r="R123" i="16"/>
  <c r="R104" i="16"/>
  <c r="R122" i="16"/>
  <c r="R121" i="16"/>
  <c r="R109" i="16"/>
  <c r="R95" i="16"/>
  <c r="R76" i="16"/>
  <c r="R94" i="16"/>
  <c r="R75" i="16"/>
  <c r="R82" i="16"/>
  <c r="R73" i="16"/>
  <c r="R72" i="16"/>
  <c r="R102" i="16"/>
  <c r="R101" i="16"/>
  <c r="R70" i="16"/>
  <c r="R130" i="16"/>
  <c r="R100" i="16"/>
  <c r="R98" i="16"/>
  <c r="R131" i="16"/>
  <c r="R77" i="16"/>
  <c r="R69" i="16"/>
  <c r="R50" i="16"/>
  <c r="R68" i="16"/>
  <c r="R49" i="16"/>
  <c r="R71" i="16"/>
  <c r="R67" i="16"/>
  <c r="R48" i="16"/>
  <c r="R55" i="16"/>
  <c r="R46" i="16"/>
  <c r="R17" i="16"/>
  <c r="R44" i="16"/>
  <c r="R47" i="16"/>
  <c r="R45" i="16"/>
  <c r="R42" i="16"/>
  <c r="R23" i="16"/>
  <c r="R40" i="16"/>
  <c r="R21" i="16"/>
  <c r="R14" i="16"/>
  <c r="R43" i="16"/>
  <c r="R41" i="16"/>
  <c r="R19" i="16"/>
  <c r="R13" i="16"/>
  <c r="Q20" i="17"/>
  <c r="Q29" i="17" s="1"/>
  <c r="Q55" i="17"/>
  <c r="Q174" i="17" s="1"/>
  <c r="Q123" i="16"/>
  <c r="K178" i="16"/>
  <c r="J179" i="16"/>
  <c r="Q97" i="15"/>
  <c r="S91" i="16"/>
  <c r="S90" i="16"/>
  <c r="S117" i="16"/>
  <c r="S64" i="16"/>
  <c r="S63" i="16"/>
  <c r="S66" i="16" s="1"/>
  <c r="S118" i="16"/>
  <c r="S36" i="16"/>
  <c r="S10" i="16"/>
  <c r="S9" i="16"/>
  <c r="T4" i="16"/>
  <c r="S5" i="16"/>
  <c r="S37" i="16"/>
  <c r="Q103" i="17"/>
  <c r="R11" i="17"/>
  <c r="R12" i="17" s="1"/>
  <c r="R18" i="17" s="1"/>
  <c r="R119" i="17"/>
  <c r="R120" i="17" s="1"/>
  <c r="R124" i="17" s="1"/>
  <c r="Q124" i="16"/>
  <c r="K178" i="17"/>
  <c r="J179" i="17"/>
  <c r="S118" i="15"/>
  <c r="S117" i="15"/>
  <c r="S91" i="15"/>
  <c r="S92" i="15" s="1"/>
  <c r="S93" i="15" s="1"/>
  <c r="S90" i="15"/>
  <c r="S37" i="15"/>
  <c r="S36" i="15"/>
  <c r="S64" i="15"/>
  <c r="S63" i="15"/>
  <c r="S66" i="15" s="1"/>
  <c r="S10" i="15"/>
  <c r="S9" i="15"/>
  <c r="T4" i="15"/>
  <c r="S5" i="15"/>
  <c r="Q174" i="15"/>
  <c r="O177" i="16"/>
  <c r="Q144" i="17"/>
  <c r="Q153" i="17" s="1"/>
  <c r="Q158" i="17" s="1"/>
  <c r="Q176" i="17" s="1"/>
  <c r="R92" i="16"/>
  <c r="R93" i="16" s="1"/>
  <c r="R96" i="16" s="1"/>
  <c r="Q43" i="17"/>
  <c r="R92" i="15"/>
  <c r="R93" i="15" s="1"/>
  <c r="R96" i="15" s="1"/>
  <c r="Q29" i="15"/>
  <c r="Q47" i="15"/>
  <c r="Q41" i="15"/>
  <c r="Q56" i="15" s="1"/>
  <c r="Q144" i="16"/>
  <c r="Q153" i="16" s="1"/>
  <c r="Q158" i="16" s="1"/>
  <c r="Q176" i="16" s="1"/>
  <c r="R11" i="16"/>
  <c r="R12" i="16" s="1"/>
  <c r="R144" i="16" s="1"/>
  <c r="R153" i="16" s="1"/>
  <c r="Q95" i="17"/>
  <c r="R65" i="15"/>
  <c r="R74" i="15" s="1"/>
  <c r="R38" i="15"/>
  <c r="R39" i="15" s="1"/>
  <c r="R55" i="15" s="1"/>
  <c r="P175" i="15"/>
  <c r="P177" i="15" s="1"/>
  <c r="Q158" i="15"/>
  <c r="Q176" i="15" s="1"/>
  <c r="Q22" i="17"/>
  <c r="Q41" i="17"/>
  <c r="Q56" i="17" s="1"/>
  <c r="R38" i="17"/>
  <c r="R39" i="17" s="1"/>
  <c r="R55" i="17" s="1"/>
  <c r="Q110" i="16"/>
  <c r="R49" i="17" l="1"/>
  <c r="R97" i="15"/>
  <c r="R28" i="17"/>
  <c r="R22" i="16"/>
  <c r="R20" i="17"/>
  <c r="R15" i="15"/>
  <c r="R43" i="17"/>
  <c r="R16" i="15"/>
  <c r="R22" i="17"/>
  <c r="Q137" i="16"/>
  <c r="S38" i="16"/>
  <c r="S39" i="16" s="1"/>
  <c r="Q110" i="15"/>
  <c r="S38" i="17"/>
  <c r="S39" i="17" s="1"/>
  <c r="R123" i="17"/>
  <c r="R124" i="15"/>
  <c r="R15" i="17"/>
  <c r="Q110" i="17"/>
  <c r="R20" i="15"/>
  <c r="R42" i="17"/>
  <c r="R126" i="17"/>
  <c r="Q175" i="17"/>
  <c r="Q177" i="17" s="1"/>
  <c r="S157" i="15"/>
  <c r="S156" i="15"/>
  <c r="S155" i="15"/>
  <c r="S154" i="15"/>
  <c r="S152" i="15"/>
  <c r="S151" i="15"/>
  <c r="S125" i="15"/>
  <c r="S104" i="15"/>
  <c r="S122" i="15"/>
  <c r="S121" i="15"/>
  <c r="S109" i="15"/>
  <c r="S131" i="15"/>
  <c r="S149" i="15"/>
  <c r="S129" i="15"/>
  <c r="S99" i="15"/>
  <c r="S98" i="15"/>
  <c r="S97" i="15"/>
  <c r="S96" i="15"/>
  <c r="S77" i="15"/>
  <c r="S95" i="15"/>
  <c r="S76" i="15"/>
  <c r="S94" i="15"/>
  <c r="S75" i="15"/>
  <c r="S82" i="15"/>
  <c r="S127" i="15"/>
  <c r="S72" i="15"/>
  <c r="S102" i="15"/>
  <c r="S40" i="15"/>
  <c r="S73" i="15"/>
  <c r="S69" i="15"/>
  <c r="S50" i="15"/>
  <c r="S150" i="15"/>
  <c r="S103" i="15"/>
  <c r="S70" i="15"/>
  <c r="S68" i="15"/>
  <c r="S67" i="15"/>
  <c r="S48" i="15"/>
  <c r="S71" i="15"/>
  <c r="S46" i="15"/>
  <c r="S44" i="15"/>
  <c r="S17" i="15"/>
  <c r="S14" i="15"/>
  <c r="S13" i="15"/>
  <c r="S21" i="15"/>
  <c r="S23" i="15"/>
  <c r="S101" i="15"/>
  <c r="S19" i="15"/>
  <c r="S100" i="15"/>
  <c r="R83" i="16"/>
  <c r="T118" i="17"/>
  <c r="T117" i="17"/>
  <c r="T91" i="17"/>
  <c r="T90" i="17"/>
  <c r="T64" i="17"/>
  <c r="T63" i="17"/>
  <c r="T66" i="17" s="1"/>
  <c r="T37" i="17"/>
  <c r="T36" i="17"/>
  <c r="T10" i="17"/>
  <c r="T9" i="17"/>
  <c r="U4" i="17"/>
  <c r="T5" i="17"/>
  <c r="S11" i="15"/>
  <c r="S12" i="15" s="1"/>
  <c r="S18" i="15" s="1"/>
  <c r="S119" i="15"/>
  <c r="S120" i="15" s="1"/>
  <c r="S130" i="15" s="1"/>
  <c r="T118" i="16"/>
  <c r="T117" i="16"/>
  <c r="T91" i="16"/>
  <c r="T90" i="16"/>
  <c r="T64" i="16"/>
  <c r="T63" i="16"/>
  <c r="T66" i="16" s="1"/>
  <c r="T10" i="16"/>
  <c r="T9" i="16"/>
  <c r="U4" i="16"/>
  <c r="T5" i="16"/>
  <c r="T37" i="16"/>
  <c r="T36" i="16"/>
  <c r="S92" i="16"/>
  <c r="S93" i="16" s="1"/>
  <c r="S99" i="16" s="1"/>
  <c r="R28" i="16"/>
  <c r="R15" i="16"/>
  <c r="R103" i="16"/>
  <c r="R137" i="16"/>
  <c r="R41" i="15"/>
  <c r="R99" i="15"/>
  <c r="R126" i="15"/>
  <c r="R16" i="16"/>
  <c r="S11" i="17"/>
  <c r="S12" i="17" s="1"/>
  <c r="S22" i="17" s="1"/>
  <c r="S119" i="17"/>
  <c r="S120" i="17" s="1"/>
  <c r="S136" i="17" s="1"/>
  <c r="R101" i="17"/>
  <c r="R49" i="15"/>
  <c r="R101" i="15"/>
  <c r="S92" i="17"/>
  <c r="S93" i="17" s="1"/>
  <c r="S11" i="16"/>
  <c r="S12" i="16" s="1"/>
  <c r="R97" i="16"/>
  <c r="R29" i="17"/>
  <c r="R41" i="17"/>
  <c r="R109" i="17"/>
  <c r="R128" i="17"/>
  <c r="S149" i="16"/>
  <c r="S157" i="16"/>
  <c r="S156" i="16"/>
  <c r="S155" i="16"/>
  <c r="S154" i="16"/>
  <c r="S152" i="16"/>
  <c r="S127" i="16"/>
  <c r="S125" i="16"/>
  <c r="S151" i="16"/>
  <c r="S104" i="16"/>
  <c r="S122" i="16"/>
  <c r="S103" i="16"/>
  <c r="S121" i="16"/>
  <c r="S150" i="16"/>
  <c r="S109" i="16"/>
  <c r="S131" i="16"/>
  <c r="S94" i="16"/>
  <c r="S75" i="16"/>
  <c r="S82" i="16"/>
  <c r="S73" i="16"/>
  <c r="S102" i="16"/>
  <c r="S71" i="16"/>
  <c r="S129" i="16"/>
  <c r="S101" i="16"/>
  <c r="S130" i="16"/>
  <c r="S100" i="16"/>
  <c r="S97" i="16"/>
  <c r="S77" i="16"/>
  <c r="S69" i="16"/>
  <c r="S50" i="16"/>
  <c r="S68" i="16"/>
  <c r="S49" i="16"/>
  <c r="S67" i="16"/>
  <c r="S48" i="16"/>
  <c r="S72" i="16"/>
  <c r="S55" i="16"/>
  <c r="S47" i="16"/>
  <c r="S70" i="16"/>
  <c r="S95" i="16"/>
  <c r="S76" i="16"/>
  <c r="S98" i="16"/>
  <c r="S17" i="16"/>
  <c r="S44" i="16"/>
  <c r="S16" i="16"/>
  <c r="S15" i="16"/>
  <c r="S14" i="16"/>
  <c r="S46" i="16"/>
  <c r="S45" i="16"/>
  <c r="S42" i="16"/>
  <c r="S23" i="16"/>
  <c r="S41" i="16"/>
  <c r="S43" i="16"/>
  <c r="S20" i="16"/>
  <c r="S21" i="16"/>
  <c r="S18" i="16"/>
  <c r="S19" i="16"/>
  <c r="S13" i="16"/>
  <c r="S40" i="16"/>
  <c r="R83" i="15"/>
  <c r="S65" i="15"/>
  <c r="S74" i="15" s="1"/>
  <c r="R20" i="16"/>
  <c r="R16" i="17"/>
  <c r="R83" i="17"/>
  <c r="R136" i="17"/>
  <c r="R18" i="15"/>
  <c r="R29" i="15" s="1"/>
  <c r="R136" i="15"/>
  <c r="R103" i="15"/>
  <c r="R130" i="15"/>
  <c r="R18" i="16"/>
  <c r="S119" i="16"/>
  <c r="S120" i="16" s="1"/>
  <c r="S126" i="16" s="1"/>
  <c r="R99" i="16"/>
  <c r="R158" i="16"/>
  <c r="R176" i="16" s="1"/>
  <c r="R97" i="17"/>
  <c r="R130" i="17"/>
  <c r="M178" i="15"/>
  <c r="L179" i="15"/>
  <c r="R45" i="15"/>
  <c r="R128" i="15"/>
  <c r="S149" i="17"/>
  <c r="S155" i="17"/>
  <c r="S151" i="17"/>
  <c r="S154" i="17"/>
  <c r="S157" i="17"/>
  <c r="S150" i="17"/>
  <c r="S129" i="17"/>
  <c r="S127" i="17"/>
  <c r="S156" i="17"/>
  <c r="S152" i="17"/>
  <c r="S124" i="17"/>
  <c r="S122" i="17"/>
  <c r="S131" i="17"/>
  <c r="S130" i="17"/>
  <c r="S121" i="17"/>
  <c r="S123" i="17"/>
  <c r="S100" i="17"/>
  <c r="S99" i="17"/>
  <c r="S125" i="17"/>
  <c r="S103" i="17"/>
  <c r="S98" i="17"/>
  <c r="S109" i="17"/>
  <c r="S97" i="17"/>
  <c r="S102" i="17"/>
  <c r="S101" i="17"/>
  <c r="S95" i="17"/>
  <c r="S77" i="17"/>
  <c r="S76" i="17"/>
  <c r="S104" i="17"/>
  <c r="S75" i="17"/>
  <c r="S94" i="17"/>
  <c r="S74" i="17"/>
  <c r="S73" i="17"/>
  <c r="S96" i="17"/>
  <c r="S67" i="17"/>
  <c r="S82" i="17"/>
  <c r="S72" i="17"/>
  <c r="S70" i="17"/>
  <c r="S68" i="17"/>
  <c r="S49" i="17"/>
  <c r="S71" i="17"/>
  <c r="S48" i="17"/>
  <c r="S46" i="17"/>
  <c r="S45" i="17"/>
  <c r="S44" i="17"/>
  <c r="S55" i="17"/>
  <c r="S47" i="17"/>
  <c r="S43" i="17"/>
  <c r="S14" i="17"/>
  <c r="S13" i="17"/>
  <c r="S41" i="17"/>
  <c r="S23" i="17"/>
  <c r="S21" i="17"/>
  <c r="S40" i="17"/>
  <c r="S20" i="17"/>
  <c r="S50" i="17"/>
  <c r="S28" i="17"/>
  <c r="S19" i="17"/>
  <c r="S18" i="17"/>
  <c r="S17" i="17"/>
  <c r="S42" i="17"/>
  <c r="S15" i="17"/>
  <c r="S69" i="17"/>
  <c r="S38" i="15"/>
  <c r="S39" i="15" s="1"/>
  <c r="S45" i="15" s="1"/>
  <c r="L178" i="16"/>
  <c r="K179" i="16"/>
  <c r="R96" i="17"/>
  <c r="R47" i="17"/>
  <c r="R43" i="15"/>
  <c r="R109" i="15"/>
  <c r="L178" i="17"/>
  <c r="K179" i="17"/>
  <c r="R56" i="16"/>
  <c r="R110" i="16"/>
  <c r="S65" i="17"/>
  <c r="R45" i="17"/>
  <c r="R99" i="17"/>
  <c r="Q175" i="16"/>
  <c r="Q177" i="16" s="1"/>
  <c r="R95" i="15"/>
  <c r="R110" i="15" s="1"/>
  <c r="T118" i="15"/>
  <c r="T117" i="15"/>
  <c r="T91" i="15"/>
  <c r="T90" i="15"/>
  <c r="T37" i="15"/>
  <c r="T36" i="15"/>
  <c r="T64" i="15"/>
  <c r="T63" i="15"/>
  <c r="T66" i="15" s="1"/>
  <c r="T10" i="15"/>
  <c r="T9" i="15"/>
  <c r="U4" i="15"/>
  <c r="T5" i="15"/>
  <c r="Q175" i="15"/>
  <c r="Q177" i="15" s="1"/>
  <c r="R144" i="17"/>
  <c r="R153" i="17" s="1"/>
  <c r="R158" i="17" s="1"/>
  <c r="R176" i="17" s="1"/>
  <c r="S65" i="16"/>
  <c r="S74" i="16" s="1"/>
  <c r="R144" i="15"/>
  <c r="R153" i="15" s="1"/>
  <c r="R158" i="15" s="1"/>
  <c r="R176" i="15" s="1"/>
  <c r="R103" i="17"/>
  <c r="R42" i="15"/>
  <c r="R47" i="15"/>
  <c r="R28" i="15"/>
  <c r="R56" i="15" l="1"/>
  <c r="R29" i="16"/>
  <c r="R175" i="16" s="1"/>
  <c r="R137" i="15"/>
  <c r="R56" i="17"/>
  <c r="T11" i="16"/>
  <c r="T12" i="16" s="1"/>
  <c r="T144" i="16" s="1"/>
  <c r="T153" i="16" s="1"/>
  <c r="T38" i="15"/>
  <c r="T39" i="15" s="1"/>
  <c r="S128" i="16"/>
  <c r="S126" i="17"/>
  <c r="S137" i="17" s="1"/>
  <c r="S136" i="16"/>
  <c r="R110" i="17"/>
  <c r="R174" i="17"/>
  <c r="S128" i="17"/>
  <c r="S16" i="17"/>
  <c r="R137" i="17"/>
  <c r="R175" i="15"/>
  <c r="N178" i="15"/>
  <c r="M179" i="15"/>
  <c r="S28" i="15"/>
  <c r="S55" i="15"/>
  <c r="S123" i="15"/>
  <c r="S42" i="15"/>
  <c r="R175" i="17"/>
  <c r="R177" i="17" s="1"/>
  <c r="T38" i="17"/>
  <c r="T39" i="17" s="1"/>
  <c r="S144" i="16"/>
  <c r="S153" i="16" s="1"/>
  <c r="S136" i="15"/>
  <c r="S124" i="15"/>
  <c r="S56" i="16"/>
  <c r="T157" i="16"/>
  <c r="T156" i="16"/>
  <c r="T155" i="16"/>
  <c r="T154" i="16"/>
  <c r="T152" i="16"/>
  <c r="T127" i="16"/>
  <c r="T125" i="16"/>
  <c r="T151" i="16"/>
  <c r="T104" i="16"/>
  <c r="T122" i="16"/>
  <c r="T121" i="16"/>
  <c r="T150" i="16"/>
  <c r="T131" i="16"/>
  <c r="T149" i="16"/>
  <c r="T82" i="16"/>
  <c r="T73" i="16"/>
  <c r="T72" i="16"/>
  <c r="T102" i="16"/>
  <c r="T129" i="16"/>
  <c r="T100" i="16"/>
  <c r="T98" i="16"/>
  <c r="T77" i="16"/>
  <c r="T94" i="16"/>
  <c r="T68" i="16"/>
  <c r="T67" i="16"/>
  <c r="T48" i="16"/>
  <c r="T71" i="16"/>
  <c r="T46" i="16"/>
  <c r="T75" i="16"/>
  <c r="T70" i="16"/>
  <c r="T44" i="16"/>
  <c r="T16" i="16"/>
  <c r="T50" i="16"/>
  <c r="T15" i="16"/>
  <c r="T14" i="16"/>
  <c r="T13" i="16"/>
  <c r="T23" i="16"/>
  <c r="T22" i="16"/>
  <c r="T76" i="16"/>
  <c r="T40" i="16"/>
  <c r="T21" i="16"/>
  <c r="T19" i="16"/>
  <c r="T69" i="16"/>
  <c r="T17" i="16"/>
  <c r="T20" i="16"/>
  <c r="T28" i="16"/>
  <c r="T18" i="16"/>
  <c r="S29" i="17"/>
  <c r="S83" i="16"/>
  <c r="T65" i="17"/>
  <c r="S128" i="15"/>
  <c r="S144" i="15"/>
  <c r="S153" i="15" s="1"/>
  <c r="S158" i="15" s="1"/>
  <c r="S176" i="15" s="1"/>
  <c r="S15" i="15"/>
  <c r="S29" i="15" s="1"/>
  <c r="S83" i="15"/>
  <c r="S126" i="15"/>
  <c r="S137" i="15" s="1"/>
  <c r="T11" i="15"/>
  <c r="T12" i="15" s="1"/>
  <c r="M178" i="17"/>
  <c r="L179" i="17"/>
  <c r="T65" i="15"/>
  <c r="S28" i="16"/>
  <c r="S123" i="16"/>
  <c r="S137" i="16" s="1"/>
  <c r="S16" i="15"/>
  <c r="S49" i="15"/>
  <c r="T119" i="16"/>
  <c r="T120" i="16" s="1"/>
  <c r="T124" i="16" s="1"/>
  <c r="S83" i="17"/>
  <c r="S124" i="16"/>
  <c r="T65" i="16"/>
  <c r="T74" i="16" s="1"/>
  <c r="T155" i="17"/>
  <c r="T151" i="17"/>
  <c r="T149" i="17"/>
  <c r="T154" i="17"/>
  <c r="T157" i="17"/>
  <c r="T150" i="17"/>
  <c r="T156" i="17"/>
  <c r="T152" i="17"/>
  <c r="T136" i="17"/>
  <c r="T127" i="17"/>
  <c r="T125" i="17"/>
  <c r="T131" i="17"/>
  <c r="T121" i="17"/>
  <c r="T129" i="17"/>
  <c r="T98" i="17"/>
  <c r="T123" i="17"/>
  <c r="T122" i="17"/>
  <c r="T102" i="17"/>
  <c r="T94" i="17"/>
  <c r="T77" i="17"/>
  <c r="T100" i="17"/>
  <c r="T76" i="17"/>
  <c r="T104" i="17"/>
  <c r="T75" i="17"/>
  <c r="T74" i="17"/>
  <c r="T73" i="17"/>
  <c r="T72" i="17"/>
  <c r="T82" i="17"/>
  <c r="T67" i="17"/>
  <c r="T70" i="17"/>
  <c r="T68" i="17"/>
  <c r="T71" i="17"/>
  <c r="T69" i="17"/>
  <c r="T49" i="17"/>
  <c r="T48" i="17"/>
  <c r="T46" i="17"/>
  <c r="T45" i="17"/>
  <c r="T44" i="17"/>
  <c r="T55" i="17"/>
  <c r="T47" i="17"/>
  <c r="T43" i="17"/>
  <c r="T50" i="17"/>
  <c r="T42" i="17"/>
  <c r="T13" i="17"/>
  <c r="T41" i="17"/>
  <c r="T23" i="17"/>
  <c r="T21" i="17"/>
  <c r="T40" i="17"/>
  <c r="T19" i="17"/>
  <c r="T14" i="17"/>
  <c r="T17" i="17"/>
  <c r="T92" i="17"/>
  <c r="T93" i="17" s="1"/>
  <c r="T103" i="17" s="1"/>
  <c r="S47" i="15"/>
  <c r="S174" i="17"/>
  <c r="S22" i="16"/>
  <c r="S29" i="16" s="1"/>
  <c r="S158" i="16"/>
  <c r="S176" i="16" s="1"/>
  <c r="R174" i="16"/>
  <c r="R177" i="16" s="1"/>
  <c r="U118" i="17"/>
  <c r="U117" i="17"/>
  <c r="U90" i="17"/>
  <c r="U91" i="17"/>
  <c r="U92" i="17" s="1"/>
  <c r="U93" i="17" s="1"/>
  <c r="U37" i="17"/>
  <c r="U36" i="17"/>
  <c r="U64" i="17"/>
  <c r="U65" i="17" s="1"/>
  <c r="U63" i="17"/>
  <c r="U66" i="17" s="1"/>
  <c r="U10" i="17"/>
  <c r="U9" i="17"/>
  <c r="V4" i="17"/>
  <c r="U5" i="17"/>
  <c r="S20" i="15"/>
  <c r="S43" i="15"/>
  <c r="S41" i="15"/>
  <c r="S56" i="15" s="1"/>
  <c r="T119" i="15"/>
  <c r="T120" i="15" s="1"/>
  <c r="T136" i="15" s="1"/>
  <c r="U118" i="15"/>
  <c r="U117" i="15"/>
  <c r="U91" i="15"/>
  <c r="U90" i="15"/>
  <c r="U37" i="15"/>
  <c r="U36" i="15"/>
  <c r="U64" i="15"/>
  <c r="U63" i="15"/>
  <c r="U66" i="15" s="1"/>
  <c r="U10" i="15"/>
  <c r="U9" i="15"/>
  <c r="V4" i="15"/>
  <c r="U5" i="15"/>
  <c r="S144" i="17"/>
  <c r="S153" i="17" s="1"/>
  <c r="S158" i="17" s="1"/>
  <c r="S176" i="17" s="1"/>
  <c r="T11" i="17"/>
  <c r="T12" i="17" s="1"/>
  <c r="T16" i="17" s="1"/>
  <c r="T119" i="17"/>
  <c r="T120" i="17" s="1"/>
  <c r="T126" i="17" s="1"/>
  <c r="S110" i="15"/>
  <c r="U118" i="16"/>
  <c r="U117" i="16"/>
  <c r="U91" i="16"/>
  <c r="U90" i="16"/>
  <c r="U64" i="16"/>
  <c r="U63" i="16"/>
  <c r="U66" i="16" s="1"/>
  <c r="U37" i="16"/>
  <c r="U38" i="16" s="1"/>
  <c r="U39" i="16" s="1"/>
  <c r="U36" i="16"/>
  <c r="U10" i="16"/>
  <c r="U9" i="16"/>
  <c r="V4" i="16"/>
  <c r="U5" i="16"/>
  <c r="R174" i="15"/>
  <c r="R177" i="15" s="1"/>
  <c r="T157" i="15"/>
  <c r="T156" i="15"/>
  <c r="T155" i="15"/>
  <c r="T154" i="15"/>
  <c r="T152" i="15"/>
  <c r="T151" i="15"/>
  <c r="T150" i="15"/>
  <c r="T125" i="15"/>
  <c r="T122" i="15"/>
  <c r="T121" i="15"/>
  <c r="T131" i="15"/>
  <c r="T149" i="15"/>
  <c r="T129" i="15"/>
  <c r="T98" i="15"/>
  <c r="T96" i="15"/>
  <c r="T77" i="15"/>
  <c r="T95" i="15"/>
  <c r="T76" i="15"/>
  <c r="T94" i="15"/>
  <c r="T75" i="15"/>
  <c r="T82" i="15"/>
  <c r="T74" i="15"/>
  <c r="T73" i="15"/>
  <c r="T127" i="15"/>
  <c r="T102" i="15"/>
  <c r="T71" i="15"/>
  <c r="T101" i="15"/>
  <c r="T28" i="15"/>
  <c r="T69" i="15"/>
  <c r="T50" i="15"/>
  <c r="T70" i="15"/>
  <c r="T68" i="15"/>
  <c r="T49" i="15"/>
  <c r="T67" i="15"/>
  <c r="T48" i="15"/>
  <c r="T55" i="15"/>
  <c r="T47" i="15"/>
  <c r="T46" i="15"/>
  <c r="T45" i="15"/>
  <c r="T44" i="15"/>
  <c r="T104" i="15"/>
  <c r="T99" i="15"/>
  <c r="T43" i="15"/>
  <c r="T100" i="15"/>
  <c r="T72" i="15"/>
  <c r="T42" i="15"/>
  <c r="T16" i="15"/>
  <c r="T15" i="15"/>
  <c r="T14" i="15"/>
  <c r="T13" i="15"/>
  <c r="T40" i="15"/>
  <c r="T41" i="15"/>
  <c r="T22" i="15"/>
  <c r="T21" i="15"/>
  <c r="T23" i="15"/>
  <c r="T20" i="15"/>
  <c r="T19" i="15"/>
  <c r="T18" i="15"/>
  <c r="T17" i="15"/>
  <c r="T92" i="15"/>
  <c r="T93" i="15" s="1"/>
  <c r="T109" i="15" s="1"/>
  <c r="M178" i="16"/>
  <c r="L179" i="16"/>
  <c r="S56" i="17"/>
  <c r="S110" i="17"/>
  <c r="S96" i="16"/>
  <c r="S110" i="16" s="1"/>
  <c r="T38" i="16"/>
  <c r="T39" i="16" s="1"/>
  <c r="T49" i="16" s="1"/>
  <c r="T92" i="16"/>
  <c r="T93" i="16" s="1"/>
  <c r="T96" i="16" s="1"/>
  <c r="S22" i="15"/>
  <c r="T42" i="16" l="1"/>
  <c r="T130" i="16"/>
  <c r="T99" i="16"/>
  <c r="T130" i="15"/>
  <c r="U119" i="16"/>
  <c r="U120" i="16" s="1"/>
  <c r="T47" i="16"/>
  <c r="T126" i="16"/>
  <c r="S175" i="16"/>
  <c r="T99" i="17"/>
  <c r="T45" i="16"/>
  <c r="T55" i="16"/>
  <c r="T136" i="16"/>
  <c r="U65" i="15"/>
  <c r="U65" i="16"/>
  <c r="U38" i="17"/>
  <c r="U39" i="17" s="1"/>
  <c r="T29" i="16"/>
  <c r="T109" i="16"/>
  <c r="O178" i="15"/>
  <c r="N179" i="15"/>
  <c r="T56" i="15"/>
  <c r="T29" i="15"/>
  <c r="T103" i="15"/>
  <c r="T144" i="17"/>
  <c r="T153" i="17" s="1"/>
  <c r="T158" i="17" s="1"/>
  <c r="T176" i="17" s="1"/>
  <c r="U38" i="15"/>
  <c r="U39" i="15" s="1"/>
  <c r="U43" i="15" s="1"/>
  <c r="T15" i="17"/>
  <c r="T96" i="17"/>
  <c r="T43" i="16"/>
  <c r="T101" i="16"/>
  <c r="S175" i="15"/>
  <c r="T18" i="17"/>
  <c r="T83" i="17"/>
  <c r="T95" i="17"/>
  <c r="T130" i="17"/>
  <c r="T95" i="16"/>
  <c r="T83" i="16"/>
  <c r="T123" i="15"/>
  <c r="T97" i="15"/>
  <c r="T124" i="15"/>
  <c r="U157" i="16"/>
  <c r="U156" i="16"/>
  <c r="U155" i="16"/>
  <c r="U154" i="16"/>
  <c r="U152" i="16"/>
  <c r="U151" i="16"/>
  <c r="U126" i="16"/>
  <c r="U125" i="16"/>
  <c r="U124" i="16"/>
  <c r="U123" i="16"/>
  <c r="U104" i="16"/>
  <c r="U122" i="16"/>
  <c r="U121" i="16"/>
  <c r="U150" i="16"/>
  <c r="U131" i="16"/>
  <c r="U130" i="16"/>
  <c r="U129" i="16"/>
  <c r="U73" i="16"/>
  <c r="U127" i="16"/>
  <c r="U72" i="16"/>
  <c r="U128" i="16"/>
  <c r="U102" i="16"/>
  <c r="U71" i="16"/>
  <c r="U100" i="16"/>
  <c r="U136" i="16"/>
  <c r="U98" i="16"/>
  <c r="U76" i="16"/>
  <c r="U82" i="16"/>
  <c r="U67" i="16"/>
  <c r="U48" i="16"/>
  <c r="U55" i="16"/>
  <c r="U47" i="16"/>
  <c r="U46" i="16"/>
  <c r="U74" i="16"/>
  <c r="U75" i="16"/>
  <c r="U70" i="16"/>
  <c r="U149" i="16"/>
  <c r="U69" i="16"/>
  <c r="U50" i="16"/>
  <c r="U14" i="16"/>
  <c r="U49" i="16"/>
  <c r="U13" i="16"/>
  <c r="U45" i="16"/>
  <c r="U77" i="16"/>
  <c r="U42" i="16"/>
  <c r="U23" i="16"/>
  <c r="U94" i="16"/>
  <c r="U41" i="16"/>
  <c r="U40" i="16"/>
  <c r="U21" i="16"/>
  <c r="U43" i="16"/>
  <c r="U44" i="16"/>
  <c r="U17" i="16"/>
  <c r="U19" i="16"/>
  <c r="U68" i="16"/>
  <c r="T101" i="17"/>
  <c r="S174" i="16"/>
  <c r="S177" i="16" s="1"/>
  <c r="T97" i="16"/>
  <c r="T103" i="16"/>
  <c r="U92" i="16"/>
  <c r="U93" i="16" s="1"/>
  <c r="U109" i="16" s="1"/>
  <c r="U157" i="15"/>
  <c r="U156" i="15"/>
  <c r="U155" i="15"/>
  <c r="U154" i="15"/>
  <c r="U152" i="15"/>
  <c r="U151" i="15"/>
  <c r="U150" i="15"/>
  <c r="U149" i="15"/>
  <c r="U104" i="15"/>
  <c r="U122" i="15"/>
  <c r="U121" i="15"/>
  <c r="U131" i="15"/>
  <c r="U129" i="15"/>
  <c r="U127" i="15"/>
  <c r="U77" i="15"/>
  <c r="U76" i="15"/>
  <c r="U94" i="15"/>
  <c r="U75" i="15"/>
  <c r="U125" i="15"/>
  <c r="U82" i="15"/>
  <c r="U74" i="15"/>
  <c r="U73" i="15"/>
  <c r="U72" i="15"/>
  <c r="U102" i="15"/>
  <c r="U100" i="15"/>
  <c r="U69" i="15"/>
  <c r="U50" i="15"/>
  <c r="U70" i="15"/>
  <c r="U68" i="15"/>
  <c r="U67" i="15"/>
  <c r="U48" i="15"/>
  <c r="U55" i="15"/>
  <c r="U47" i="15"/>
  <c r="U46" i="15"/>
  <c r="U71" i="15"/>
  <c r="U45" i="15"/>
  <c r="U98" i="15"/>
  <c r="U44" i="15"/>
  <c r="U14" i="15"/>
  <c r="U13" i="15"/>
  <c r="U40" i="15"/>
  <c r="U21" i="15"/>
  <c r="U23" i="15"/>
  <c r="U19" i="15"/>
  <c r="U17" i="15"/>
  <c r="U92" i="15"/>
  <c r="U93" i="15" s="1"/>
  <c r="U96" i="15" s="1"/>
  <c r="U149" i="17"/>
  <c r="U131" i="17"/>
  <c r="U154" i="17"/>
  <c r="U157" i="17"/>
  <c r="U150" i="17"/>
  <c r="U127" i="17"/>
  <c r="U125" i="17"/>
  <c r="U156" i="17"/>
  <c r="U155" i="17"/>
  <c r="U152" i="17"/>
  <c r="U151" i="17"/>
  <c r="U122" i="17"/>
  <c r="U121" i="17"/>
  <c r="U129" i="17"/>
  <c r="U98" i="17"/>
  <c r="U97" i="17"/>
  <c r="U104" i="17"/>
  <c r="U99" i="17"/>
  <c r="U109" i="17"/>
  <c r="U102" i="17"/>
  <c r="U101" i="17"/>
  <c r="U95" i="17"/>
  <c r="U96" i="17"/>
  <c r="U94" i="17"/>
  <c r="U100" i="17"/>
  <c r="U76" i="17"/>
  <c r="U75" i="17"/>
  <c r="U74" i="17"/>
  <c r="U73" i="17"/>
  <c r="U72" i="17"/>
  <c r="U71" i="17"/>
  <c r="U103" i="17"/>
  <c r="U82" i="17"/>
  <c r="U67" i="17"/>
  <c r="U70" i="17"/>
  <c r="U68" i="17"/>
  <c r="U77" i="17"/>
  <c r="U69" i="17"/>
  <c r="U49" i="17"/>
  <c r="U48" i="17"/>
  <c r="U46" i="17"/>
  <c r="U45" i="17"/>
  <c r="U44" i="17"/>
  <c r="U55" i="17"/>
  <c r="U47" i="17"/>
  <c r="U43" i="17"/>
  <c r="U50" i="17"/>
  <c r="U42" i="17"/>
  <c r="U41" i="17"/>
  <c r="U23" i="17"/>
  <c r="U21" i="17"/>
  <c r="U40" i="17"/>
  <c r="U19" i="17"/>
  <c r="U14" i="17"/>
  <c r="U13" i="17"/>
  <c r="U17" i="17"/>
  <c r="T28" i="17"/>
  <c r="T124" i="17"/>
  <c r="T128" i="16"/>
  <c r="T158" i="16"/>
  <c r="T176" i="16" s="1"/>
  <c r="T110" i="15"/>
  <c r="T174" i="15"/>
  <c r="N178" i="16"/>
  <c r="M179" i="16"/>
  <c r="T83" i="15"/>
  <c r="V118" i="16"/>
  <c r="V117" i="16"/>
  <c r="V91" i="16"/>
  <c r="V92" i="16" s="1"/>
  <c r="V93" i="16" s="1"/>
  <c r="V90" i="16"/>
  <c r="V64" i="16"/>
  <c r="V63" i="16"/>
  <c r="V66" i="16" s="1"/>
  <c r="V10" i="16"/>
  <c r="V9" i="16"/>
  <c r="W4" i="16"/>
  <c r="V5" i="16"/>
  <c r="V37" i="16"/>
  <c r="V36" i="16"/>
  <c r="V118" i="15"/>
  <c r="V117" i="15"/>
  <c r="V91" i="15"/>
  <c r="V90" i="15"/>
  <c r="V37" i="15"/>
  <c r="V36" i="15"/>
  <c r="V64" i="15"/>
  <c r="V63" i="15"/>
  <c r="V66" i="15" s="1"/>
  <c r="V10" i="15"/>
  <c r="V9" i="15"/>
  <c r="W4" i="15"/>
  <c r="V5" i="15"/>
  <c r="V118" i="17"/>
  <c r="V117" i="17"/>
  <c r="V90" i="17"/>
  <c r="V91" i="17"/>
  <c r="V64" i="17"/>
  <c r="V37" i="17"/>
  <c r="V63" i="17"/>
  <c r="V66" i="17" s="1"/>
  <c r="V36" i="17"/>
  <c r="V10" i="17"/>
  <c r="V9" i="17"/>
  <c r="W4" i="17"/>
  <c r="V5" i="17"/>
  <c r="T20" i="17"/>
  <c r="T97" i="17"/>
  <c r="T110" i="17" s="1"/>
  <c r="T126" i="15"/>
  <c r="T56" i="17"/>
  <c r="T109" i="17"/>
  <c r="T110" i="16"/>
  <c r="T123" i="16"/>
  <c r="T137" i="16" s="1"/>
  <c r="T128" i="15"/>
  <c r="U11" i="16"/>
  <c r="U12" i="16" s="1"/>
  <c r="U144" i="16" s="1"/>
  <c r="U153" i="16" s="1"/>
  <c r="U11" i="15"/>
  <c r="U12" i="15" s="1"/>
  <c r="U18" i="15" s="1"/>
  <c r="U119" i="15"/>
  <c r="U120" i="15" s="1"/>
  <c r="U123" i="15" s="1"/>
  <c r="U11" i="17"/>
  <c r="U12" i="17" s="1"/>
  <c r="U15" i="17" s="1"/>
  <c r="U119" i="17"/>
  <c r="U120" i="17" s="1"/>
  <c r="U136" i="17" s="1"/>
  <c r="N178" i="17"/>
  <c r="M179" i="17"/>
  <c r="S175" i="17"/>
  <c r="S177" i="17" s="1"/>
  <c r="T174" i="16"/>
  <c r="T22" i="17"/>
  <c r="T128" i="17"/>
  <c r="T144" i="15"/>
  <c r="T153" i="15" s="1"/>
  <c r="T158" i="15" s="1"/>
  <c r="T176" i="15" s="1"/>
  <c r="T41" i="16"/>
  <c r="T56" i="16" s="1"/>
  <c r="S174" i="15"/>
  <c r="S177" i="15" s="1"/>
  <c r="U18" i="16" l="1"/>
  <c r="U20" i="16"/>
  <c r="V119" i="16"/>
  <c r="V120" i="16" s="1"/>
  <c r="U124" i="17"/>
  <c r="V38" i="16"/>
  <c r="V39" i="16" s="1"/>
  <c r="U97" i="16"/>
  <c r="V119" i="17"/>
  <c r="V120" i="17" s="1"/>
  <c r="U124" i="15"/>
  <c r="U99" i="16"/>
  <c r="T29" i="17"/>
  <c r="U15" i="15"/>
  <c r="U96" i="16"/>
  <c r="V65" i="15"/>
  <c r="U41" i="15"/>
  <c r="U49" i="15"/>
  <c r="U137" i="16"/>
  <c r="V11" i="17"/>
  <c r="V12" i="17" s="1"/>
  <c r="U42" i="15"/>
  <c r="U101" i="16"/>
  <c r="U103" i="16"/>
  <c r="V38" i="15"/>
  <c r="V39" i="15" s="1"/>
  <c r="V49" i="15" s="1"/>
  <c r="T137" i="15"/>
  <c r="V92" i="17"/>
  <c r="V93" i="17" s="1"/>
  <c r="V97" i="17" s="1"/>
  <c r="T137" i="17"/>
  <c r="U16" i="15"/>
  <c r="V38" i="17"/>
  <c r="V39" i="17" s="1"/>
  <c r="V42" i="17" s="1"/>
  <c r="V11" i="16"/>
  <c r="V12" i="16" s="1"/>
  <c r="T174" i="17"/>
  <c r="U22" i="17"/>
  <c r="U83" i="15"/>
  <c r="U126" i="15"/>
  <c r="U128" i="15"/>
  <c r="U28" i="16"/>
  <c r="P178" i="15"/>
  <c r="O179" i="15"/>
  <c r="U128" i="17"/>
  <c r="U126" i="17"/>
  <c r="U136" i="15"/>
  <c r="U83" i="16"/>
  <c r="V92" i="15"/>
  <c r="V93" i="15" s="1"/>
  <c r="O178" i="16"/>
  <c r="N179" i="16"/>
  <c r="U123" i="17"/>
  <c r="T175" i="16"/>
  <c r="U144" i="17"/>
  <c r="U153" i="17" s="1"/>
  <c r="U158" i="17" s="1"/>
  <c r="U176" i="17" s="1"/>
  <c r="V11" i="15"/>
  <c r="V12" i="15" s="1"/>
  <c r="V119" i="15"/>
  <c r="V120" i="15" s="1"/>
  <c r="V136" i="15" s="1"/>
  <c r="V65" i="16"/>
  <c r="U110" i="17"/>
  <c r="U20" i="15"/>
  <c r="U99" i="15"/>
  <c r="U130" i="15"/>
  <c r="U56" i="16"/>
  <c r="U22" i="16"/>
  <c r="U158" i="16"/>
  <c r="U176" i="16" s="1"/>
  <c r="U95" i="16"/>
  <c r="V157" i="15"/>
  <c r="V156" i="15"/>
  <c r="V155" i="15"/>
  <c r="V154" i="15"/>
  <c r="V152" i="15"/>
  <c r="V151" i="15"/>
  <c r="V150" i="15"/>
  <c r="V149" i="15"/>
  <c r="V104" i="15"/>
  <c r="V122" i="15"/>
  <c r="V103" i="15"/>
  <c r="V121" i="15"/>
  <c r="V109" i="15"/>
  <c r="V131" i="15"/>
  <c r="V130" i="15"/>
  <c r="V129" i="15"/>
  <c r="V127" i="15"/>
  <c r="V96" i="15"/>
  <c r="V77" i="15"/>
  <c r="V95" i="15"/>
  <c r="V76" i="15"/>
  <c r="V124" i="15"/>
  <c r="V94" i="15"/>
  <c r="V75" i="15"/>
  <c r="V125" i="15"/>
  <c r="V82" i="15"/>
  <c r="V74" i="15"/>
  <c r="V73" i="15"/>
  <c r="V72" i="15"/>
  <c r="V102" i="15"/>
  <c r="V71" i="15"/>
  <c r="V101" i="15"/>
  <c r="V100" i="15"/>
  <c r="V99" i="15"/>
  <c r="V70" i="15"/>
  <c r="V68" i="15"/>
  <c r="V67" i="15"/>
  <c r="V48" i="15"/>
  <c r="V47" i="15"/>
  <c r="V46" i="15"/>
  <c r="V97" i="15"/>
  <c r="V45" i="15"/>
  <c r="V98" i="15"/>
  <c r="V44" i="15"/>
  <c r="V43" i="15"/>
  <c r="V42" i="15"/>
  <c r="V40" i="15"/>
  <c r="V14" i="15"/>
  <c r="V13" i="15"/>
  <c r="V28" i="15"/>
  <c r="V21" i="15"/>
  <c r="V69" i="15"/>
  <c r="V23" i="15"/>
  <c r="V19" i="15"/>
  <c r="V17" i="15"/>
  <c r="V50" i="15"/>
  <c r="U144" i="15"/>
  <c r="U153" i="15" s="1"/>
  <c r="U158" i="15" s="1"/>
  <c r="U176" i="15" s="1"/>
  <c r="U16" i="17"/>
  <c r="U83" i="17"/>
  <c r="U130" i="17"/>
  <c r="U109" i="15"/>
  <c r="U56" i="17"/>
  <c r="U97" i="15"/>
  <c r="V157" i="17"/>
  <c r="V149" i="17"/>
  <c r="V154" i="17"/>
  <c r="V136" i="17"/>
  <c r="V150" i="17"/>
  <c r="V156" i="17"/>
  <c r="V152" i="17"/>
  <c r="V126" i="17"/>
  <c r="V125" i="17"/>
  <c r="V124" i="17"/>
  <c r="V123" i="17"/>
  <c r="V155" i="17"/>
  <c r="V122" i="17"/>
  <c r="V130" i="17"/>
  <c r="V127" i="17"/>
  <c r="V131" i="17"/>
  <c r="V151" i="17"/>
  <c r="V129" i="17"/>
  <c r="V128" i="17"/>
  <c r="V104" i="17"/>
  <c r="V121" i="17"/>
  <c r="V103" i="17"/>
  <c r="V99" i="17"/>
  <c r="V98" i="17"/>
  <c r="V109" i="17"/>
  <c r="V102" i="17"/>
  <c r="V101" i="17"/>
  <c r="V95" i="17"/>
  <c r="V94" i="17"/>
  <c r="V100" i="17"/>
  <c r="V75" i="17"/>
  <c r="V73" i="17"/>
  <c r="V72" i="17"/>
  <c r="V71" i="17"/>
  <c r="V70" i="17"/>
  <c r="V76" i="17"/>
  <c r="V68" i="17"/>
  <c r="V82" i="17"/>
  <c r="V77" i="17"/>
  <c r="V69" i="17"/>
  <c r="V48" i="17"/>
  <c r="V46" i="17"/>
  <c r="V44" i="17"/>
  <c r="V43" i="17"/>
  <c r="V50" i="17"/>
  <c r="V40" i="17"/>
  <c r="V23" i="17"/>
  <c r="V22" i="17"/>
  <c r="V21" i="17"/>
  <c r="V67" i="17"/>
  <c r="V20" i="17"/>
  <c r="V28" i="17"/>
  <c r="V19" i="17"/>
  <c r="V18" i="17"/>
  <c r="V49" i="17"/>
  <c r="V16" i="17"/>
  <c r="V14" i="17"/>
  <c r="V13" i="17"/>
  <c r="V17" i="17"/>
  <c r="V15" i="17"/>
  <c r="U18" i="17"/>
  <c r="U22" i="15"/>
  <c r="U29" i="15" s="1"/>
  <c r="U137" i="15"/>
  <c r="U15" i="16"/>
  <c r="U29" i="16" s="1"/>
  <c r="U175" i="16" s="1"/>
  <c r="U110" i="16"/>
  <c r="O178" i="17"/>
  <c r="N179" i="17"/>
  <c r="U28" i="15"/>
  <c r="U101" i="15"/>
  <c r="U95" i="15"/>
  <c r="U16" i="16"/>
  <c r="W118" i="16"/>
  <c r="W117" i="16"/>
  <c r="W90" i="16"/>
  <c r="W64" i="16"/>
  <c r="W63" i="16"/>
  <c r="W66" i="16" s="1"/>
  <c r="W91" i="16"/>
  <c r="W37" i="16"/>
  <c r="W36" i="16"/>
  <c r="W10" i="16"/>
  <c r="W9" i="16"/>
  <c r="X4" i="16"/>
  <c r="W5" i="16"/>
  <c r="W118" i="15"/>
  <c r="W117" i="15"/>
  <c r="W91" i="15"/>
  <c r="W90" i="15"/>
  <c r="W64" i="15"/>
  <c r="W63" i="15"/>
  <c r="W66" i="15" s="1"/>
  <c r="W36" i="15"/>
  <c r="W10" i="15"/>
  <c r="W9" i="15"/>
  <c r="X4" i="15"/>
  <c r="W5" i="15"/>
  <c r="W37" i="15"/>
  <c r="W38" i="15" s="1"/>
  <c r="W39" i="15" s="1"/>
  <c r="W118" i="17"/>
  <c r="W117" i="17"/>
  <c r="W91" i="17"/>
  <c r="W90" i="17"/>
  <c r="W64" i="17"/>
  <c r="W63" i="17"/>
  <c r="W66" i="17" s="1"/>
  <c r="W37" i="17"/>
  <c r="W36" i="17"/>
  <c r="W10" i="17"/>
  <c r="W9" i="17"/>
  <c r="X4" i="17"/>
  <c r="W5" i="17"/>
  <c r="V157" i="16"/>
  <c r="V156" i="16"/>
  <c r="V155" i="16"/>
  <c r="V154" i="16"/>
  <c r="V152" i="16"/>
  <c r="V151" i="16"/>
  <c r="V150" i="16"/>
  <c r="V125" i="16"/>
  <c r="V124" i="16"/>
  <c r="V123" i="16"/>
  <c r="V104" i="16"/>
  <c r="V122" i="16"/>
  <c r="V103" i="16"/>
  <c r="V121" i="16"/>
  <c r="V109" i="16"/>
  <c r="V131" i="16"/>
  <c r="V130" i="16"/>
  <c r="V129" i="16"/>
  <c r="V149" i="16"/>
  <c r="V136" i="16"/>
  <c r="V128" i="16"/>
  <c r="V127" i="16"/>
  <c r="V72" i="16"/>
  <c r="V102" i="16"/>
  <c r="V71" i="16"/>
  <c r="V101" i="16"/>
  <c r="V100" i="16"/>
  <c r="V99" i="16"/>
  <c r="V98" i="16"/>
  <c r="V97" i="16"/>
  <c r="V96" i="16"/>
  <c r="V77" i="16"/>
  <c r="V94" i="16"/>
  <c r="V75" i="16"/>
  <c r="V55" i="16"/>
  <c r="V47" i="16"/>
  <c r="V126" i="16"/>
  <c r="V74" i="16"/>
  <c r="V70" i="16"/>
  <c r="V73" i="16"/>
  <c r="V95" i="16"/>
  <c r="V76" i="16"/>
  <c r="V69" i="16"/>
  <c r="V68" i="16"/>
  <c r="V49" i="16"/>
  <c r="V13" i="16"/>
  <c r="V45" i="16"/>
  <c r="V48" i="16"/>
  <c r="V46" i="16"/>
  <c r="V42" i="16"/>
  <c r="V23" i="16"/>
  <c r="V41" i="16"/>
  <c r="V40" i="16"/>
  <c r="V21" i="16"/>
  <c r="V67" i="16"/>
  <c r="V43" i="16"/>
  <c r="V28" i="16"/>
  <c r="V19" i="16"/>
  <c r="V50" i="16"/>
  <c r="V82" i="16"/>
  <c r="V44" i="16"/>
  <c r="V17" i="16"/>
  <c r="V14" i="16"/>
  <c r="U28" i="17"/>
  <c r="U56" i="15"/>
  <c r="U103" i="15"/>
  <c r="V65" i="17"/>
  <c r="V74" i="17" s="1"/>
  <c r="T177" i="16"/>
  <c r="U20" i="17"/>
  <c r="T175" i="15"/>
  <c r="T177" i="15" s="1"/>
  <c r="V144" i="15" l="1"/>
  <c r="V153" i="15" s="1"/>
  <c r="T175" i="17"/>
  <c r="U110" i="15"/>
  <c r="V126" i="15"/>
  <c r="V123" i="15"/>
  <c r="V110" i="16"/>
  <c r="V55" i="15"/>
  <c r="T177" i="17"/>
  <c r="V96" i="17"/>
  <c r="V128" i="15"/>
  <c r="V144" i="16"/>
  <c r="V153" i="16" s="1"/>
  <c r="V158" i="16" s="1"/>
  <c r="V176" i="16" s="1"/>
  <c r="W92" i="16"/>
  <c r="W93" i="16" s="1"/>
  <c r="U29" i="17"/>
  <c r="U175" i="17" s="1"/>
  <c r="V41" i="15"/>
  <c r="U137" i="17"/>
  <c r="W11" i="17"/>
  <c r="W12" i="17" s="1"/>
  <c r="W119" i="17"/>
  <c r="W120" i="17" s="1"/>
  <c r="W11" i="16"/>
  <c r="W12" i="16" s="1"/>
  <c r="W119" i="16"/>
  <c r="W120" i="16" s="1"/>
  <c r="W130" i="16" s="1"/>
  <c r="V47" i="17"/>
  <c r="V16" i="15"/>
  <c r="X118" i="16"/>
  <c r="X117" i="16"/>
  <c r="X64" i="16"/>
  <c r="X63" i="16"/>
  <c r="X66" i="16" s="1"/>
  <c r="X91" i="16"/>
  <c r="X90" i="16"/>
  <c r="X37" i="16"/>
  <c r="X36" i="16"/>
  <c r="Y4" i="16"/>
  <c r="X5" i="16"/>
  <c r="X9" i="16"/>
  <c r="X10" i="16"/>
  <c r="V15" i="15"/>
  <c r="V174" i="17"/>
  <c r="V55" i="17"/>
  <c r="V56" i="15"/>
  <c r="V83" i="15"/>
  <c r="W65" i="15"/>
  <c r="W74" i="15" s="1"/>
  <c r="V18" i="16"/>
  <c r="W38" i="17"/>
  <c r="W39" i="17" s="1"/>
  <c r="W49" i="17" s="1"/>
  <c r="V137" i="17"/>
  <c r="Q178" i="15"/>
  <c r="P179" i="15"/>
  <c r="V22" i="16"/>
  <c r="W92" i="15"/>
  <c r="W93" i="15" s="1"/>
  <c r="W109" i="15" s="1"/>
  <c r="W38" i="16"/>
  <c r="W39" i="16" s="1"/>
  <c r="W43" i="16" s="1"/>
  <c r="V83" i="17"/>
  <c r="V45" i="17"/>
  <c r="V18" i="15"/>
  <c r="U174" i="16"/>
  <c r="U177" i="16" s="1"/>
  <c r="V158" i="15"/>
  <c r="V176" i="15" s="1"/>
  <c r="U175" i="15"/>
  <c r="W156" i="15"/>
  <c r="W155" i="15"/>
  <c r="W154" i="15"/>
  <c r="W152" i="15"/>
  <c r="W151" i="15"/>
  <c r="W150" i="15"/>
  <c r="W149" i="15"/>
  <c r="W122" i="15"/>
  <c r="W121" i="15"/>
  <c r="W131" i="15"/>
  <c r="W129" i="15"/>
  <c r="W127" i="15"/>
  <c r="W125" i="15"/>
  <c r="W95" i="15"/>
  <c r="W76" i="15"/>
  <c r="W94" i="15"/>
  <c r="W75" i="15"/>
  <c r="W82" i="15"/>
  <c r="W73" i="15"/>
  <c r="W72" i="15"/>
  <c r="W102" i="15"/>
  <c r="W71" i="15"/>
  <c r="W100" i="15"/>
  <c r="W99" i="15"/>
  <c r="W98" i="15"/>
  <c r="W67" i="15"/>
  <c r="W48" i="15"/>
  <c r="W55" i="15"/>
  <c r="W47" i="15"/>
  <c r="W157" i="15"/>
  <c r="W46" i="15"/>
  <c r="W45" i="15"/>
  <c r="W44" i="15"/>
  <c r="W43" i="15"/>
  <c r="W42" i="15"/>
  <c r="W104" i="15"/>
  <c r="W41" i="15"/>
  <c r="W77" i="15"/>
  <c r="W40" i="15"/>
  <c r="W13" i="15"/>
  <c r="W68" i="15"/>
  <c r="W21" i="15"/>
  <c r="W69" i="15"/>
  <c r="W23" i="15"/>
  <c r="W20" i="15"/>
  <c r="W19" i="15"/>
  <c r="W70" i="15"/>
  <c r="W49" i="15"/>
  <c r="W17" i="15"/>
  <c r="W50" i="15"/>
  <c r="W14" i="15"/>
  <c r="V110" i="15"/>
  <c r="P178" i="17"/>
  <c r="O179" i="17"/>
  <c r="V144" i="17"/>
  <c r="V153" i="17" s="1"/>
  <c r="V158" i="17" s="1"/>
  <c r="V176" i="17" s="1"/>
  <c r="X118" i="15"/>
  <c r="X117" i="15"/>
  <c r="X91" i="15"/>
  <c r="X90" i="15"/>
  <c r="X64" i="15"/>
  <c r="X65" i="15" s="1"/>
  <c r="X63" i="15"/>
  <c r="X66" i="15" s="1"/>
  <c r="X36" i="15"/>
  <c r="X10" i="15"/>
  <c r="X9" i="15"/>
  <c r="Y4" i="15"/>
  <c r="X5" i="15"/>
  <c r="X37" i="15"/>
  <c r="X38" i="15" s="1"/>
  <c r="X39" i="15" s="1"/>
  <c r="V20" i="15"/>
  <c r="V137" i="16"/>
  <c r="W65" i="17"/>
  <c r="W119" i="15"/>
  <c r="W120" i="15" s="1"/>
  <c r="W130" i="15" s="1"/>
  <c r="V110" i="17"/>
  <c r="V137" i="15"/>
  <c r="P178" i="16"/>
  <c r="O179" i="16"/>
  <c r="X118" i="17"/>
  <c r="X117" i="17"/>
  <c r="X91" i="17"/>
  <c r="X90" i="17"/>
  <c r="X64" i="17"/>
  <c r="X63" i="17"/>
  <c r="X66" i="17" s="1"/>
  <c r="X37" i="17"/>
  <c r="X36" i="17"/>
  <c r="X10" i="17"/>
  <c r="X11" i="17" s="1"/>
  <c r="X12" i="17" s="1"/>
  <c r="X9" i="17"/>
  <c r="Y4" i="17"/>
  <c r="X5" i="17"/>
  <c r="W11" i="15"/>
  <c r="W12" i="15" s="1"/>
  <c r="W65" i="16"/>
  <c r="U174" i="15"/>
  <c r="V29" i="17"/>
  <c r="V174" i="16"/>
  <c r="V83" i="16"/>
  <c r="V56" i="16"/>
  <c r="V15" i="16"/>
  <c r="V16" i="16"/>
  <c r="V41" i="17"/>
  <c r="V174" i="15"/>
  <c r="U174" i="17"/>
  <c r="U177" i="17" s="1"/>
  <c r="V20" i="16"/>
  <c r="W157" i="17"/>
  <c r="W156" i="17"/>
  <c r="W154" i="17"/>
  <c r="W150" i="17"/>
  <c r="W152" i="17"/>
  <c r="W155" i="17"/>
  <c r="W151" i="17"/>
  <c r="W149" i="17"/>
  <c r="W125" i="17"/>
  <c r="W124" i="17"/>
  <c r="W123" i="17"/>
  <c r="W122" i="17"/>
  <c r="W130" i="17"/>
  <c r="W127" i="17"/>
  <c r="W131" i="17"/>
  <c r="W121" i="17"/>
  <c r="W129" i="17"/>
  <c r="W126" i="17"/>
  <c r="W104" i="17"/>
  <c r="W102" i="17"/>
  <c r="W136" i="17"/>
  <c r="W128" i="17"/>
  <c r="W98" i="17"/>
  <c r="W94" i="17"/>
  <c r="W100" i="17"/>
  <c r="W74" i="17"/>
  <c r="W73" i="17"/>
  <c r="W72" i="17"/>
  <c r="W71" i="17"/>
  <c r="W70" i="17"/>
  <c r="W82" i="17"/>
  <c r="W76" i="17"/>
  <c r="W68" i="17"/>
  <c r="W77" i="17"/>
  <c r="W69" i="17"/>
  <c r="W50" i="17"/>
  <c r="W75" i="17"/>
  <c r="W48" i="17"/>
  <c r="W46" i="17"/>
  <c r="W44" i="17"/>
  <c r="W55" i="17"/>
  <c r="W40" i="17"/>
  <c r="W22" i="17"/>
  <c r="W21" i="17"/>
  <c r="W67" i="17"/>
  <c r="W20" i="17"/>
  <c r="W28" i="17"/>
  <c r="W19" i="17"/>
  <c r="W18" i="17"/>
  <c r="W17" i="17"/>
  <c r="W16" i="17"/>
  <c r="W14" i="17"/>
  <c r="W23" i="17"/>
  <c r="W13" i="17"/>
  <c r="W15" i="17"/>
  <c r="W92" i="17"/>
  <c r="W93" i="17" s="1"/>
  <c r="W99" i="17" s="1"/>
  <c r="W157" i="16"/>
  <c r="W156" i="16"/>
  <c r="W155" i="16"/>
  <c r="W154" i="16"/>
  <c r="W152" i="16"/>
  <c r="W151" i="16"/>
  <c r="W150" i="16"/>
  <c r="W149" i="16"/>
  <c r="W104" i="16"/>
  <c r="W122" i="16"/>
  <c r="W121" i="16"/>
  <c r="W109" i="16"/>
  <c r="W131" i="16"/>
  <c r="W129" i="16"/>
  <c r="W127" i="16"/>
  <c r="W102" i="16"/>
  <c r="W71" i="16"/>
  <c r="W101" i="16"/>
  <c r="W70" i="16"/>
  <c r="W100" i="16"/>
  <c r="W99" i="16"/>
  <c r="W98" i="16"/>
  <c r="W103" i="16"/>
  <c r="W97" i="16"/>
  <c r="W96" i="16"/>
  <c r="W77" i="16"/>
  <c r="W95" i="16"/>
  <c r="W76" i="16"/>
  <c r="W125" i="16"/>
  <c r="W82" i="16"/>
  <c r="W74" i="16"/>
  <c r="W46" i="16"/>
  <c r="W126" i="16"/>
  <c r="W72" i="16"/>
  <c r="W75" i="16"/>
  <c r="W73" i="16"/>
  <c r="W68" i="16"/>
  <c r="W94" i="16"/>
  <c r="W67" i="16"/>
  <c r="W45" i="16"/>
  <c r="W48" i="16"/>
  <c r="W42" i="16"/>
  <c r="W23" i="16"/>
  <c r="W41" i="16"/>
  <c r="W22" i="16"/>
  <c r="W47" i="16"/>
  <c r="W40" i="16"/>
  <c r="W21" i="16"/>
  <c r="W28" i="16"/>
  <c r="W20" i="16"/>
  <c r="W19" i="16"/>
  <c r="W69" i="16"/>
  <c r="W44" i="16"/>
  <c r="W16" i="16"/>
  <c r="W15" i="16"/>
  <c r="W50" i="16"/>
  <c r="W55" i="16"/>
  <c r="W13" i="16"/>
  <c r="W18" i="16"/>
  <c r="W17" i="16"/>
  <c r="W14" i="16"/>
  <c r="V22" i="15"/>
  <c r="V29" i="16" l="1"/>
  <c r="W124" i="15"/>
  <c r="V29" i="15"/>
  <c r="V175" i="15" s="1"/>
  <c r="V177" i="15" s="1"/>
  <c r="X11" i="16"/>
  <c r="X12" i="16" s="1"/>
  <c r="V56" i="17"/>
  <c r="W103" i="15"/>
  <c r="W97" i="15"/>
  <c r="W101" i="15"/>
  <c r="W49" i="16"/>
  <c r="X92" i="17"/>
  <c r="X93" i="17" s="1"/>
  <c r="X96" i="17" s="1"/>
  <c r="W96" i="15"/>
  <c r="W110" i="15" s="1"/>
  <c r="W144" i="15"/>
  <c r="W153" i="15" s="1"/>
  <c r="W109" i="17"/>
  <c r="V175" i="16"/>
  <c r="Q178" i="17"/>
  <c r="P179" i="17"/>
  <c r="W174" i="17"/>
  <c r="W45" i="17"/>
  <c r="X65" i="16"/>
  <c r="W144" i="16"/>
  <c r="W153" i="16" s="1"/>
  <c r="Y118" i="17"/>
  <c r="Y117" i="17"/>
  <c r="Y91" i="17"/>
  <c r="Y92" i="17" s="1"/>
  <c r="Y93" i="17" s="1"/>
  <c r="Y90" i="17"/>
  <c r="Y64" i="17"/>
  <c r="Y63" i="17"/>
  <c r="Y66" i="17" s="1"/>
  <c r="Y37" i="17"/>
  <c r="Y36" i="17"/>
  <c r="Z4" i="17"/>
  <c r="Y5" i="17"/>
  <c r="Y10" i="17"/>
  <c r="Y9" i="17"/>
  <c r="X119" i="17"/>
  <c r="X120" i="17" s="1"/>
  <c r="X130" i="17" s="1"/>
  <c r="W83" i="17"/>
  <c r="W103" i="17"/>
  <c r="X92" i="15"/>
  <c r="X93" i="15" s="1"/>
  <c r="W15" i="15"/>
  <c r="W123" i="15"/>
  <c r="W158" i="15"/>
  <c r="W176" i="15" s="1"/>
  <c r="W144" i="17"/>
  <c r="W153" i="17" s="1"/>
  <c r="W158" i="17" s="1"/>
  <c r="W176" i="17" s="1"/>
  <c r="X156" i="17"/>
  <c r="X155" i="17"/>
  <c r="X150" i="17"/>
  <c r="X157" i="17"/>
  <c r="X152" i="17"/>
  <c r="X121" i="17"/>
  <c r="X154" i="17"/>
  <c r="X151" i="17"/>
  <c r="X149" i="17"/>
  <c r="X127" i="17"/>
  <c r="X122" i="17"/>
  <c r="X131" i="17"/>
  <c r="X129" i="17"/>
  <c r="X126" i="17"/>
  <c r="X128" i="17"/>
  <c r="X104" i="17"/>
  <c r="X125" i="17"/>
  <c r="X99" i="17"/>
  <c r="X98" i="17"/>
  <c r="X102" i="17"/>
  <c r="X97" i="17"/>
  <c r="X95" i="17"/>
  <c r="X94" i="17"/>
  <c r="X100" i="17"/>
  <c r="X73" i="17"/>
  <c r="X72" i="17"/>
  <c r="X71" i="17"/>
  <c r="X70" i="17"/>
  <c r="X82" i="17"/>
  <c r="X69" i="17"/>
  <c r="X77" i="17"/>
  <c r="X50" i="17"/>
  <c r="X67" i="17"/>
  <c r="X48" i="17"/>
  <c r="X46" i="17"/>
  <c r="X76" i="17"/>
  <c r="X44" i="17"/>
  <c r="X75" i="17"/>
  <c r="X40" i="17"/>
  <c r="X68" i="17"/>
  <c r="X21" i="17"/>
  <c r="X20" i="17"/>
  <c r="X28" i="17"/>
  <c r="X19" i="17"/>
  <c r="X18" i="17"/>
  <c r="X17" i="17"/>
  <c r="X16" i="17"/>
  <c r="X14" i="17"/>
  <c r="X22" i="17"/>
  <c r="X23" i="17"/>
  <c r="X13" i="17"/>
  <c r="X15" i="17"/>
  <c r="W123" i="16"/>
  <c r="V177" i="16"/>
  <c r="X155" i="15"/>
  <c r="X154" i="15"/>
  <c r="X152" i="15"/>
  <c r="X151" i="15"/>
  <c r="X150" i="15"/>
  <c r="X149" i="15"/>
  <c r="X121" i="15"/>
  <c r="X109" i="15"/>
  <c r="X131" i="15"/>
  <c r="X129" i="15"/>
  <c r="X127" i="15"/>
  <c r="X125" i="15"/>
  <c r="X156" i="15"/>
  <c r="X94" i="15"/>
  <c r="X75" i="15"/>
  <c r="X82" i="15"/>
  <c r="X74" i="15"/>
  <c r="X73" i="15"/>
  <c r="X72" i="15"/>
  <c r="X102" i="15"/>
  <c r="X71" i="15"/>
  <c r="X101" i="15"/>
  <c r="X103" i="15"/>
  <c r="X100" i="15"/>
  <c r="X99" i="15"/>
  <c r="X98" i="15"/>
  <c r="X104" i="15"/>
  <c r="X97" i="15"/>
  <c r="X95" i="15"/>
  <c r="X55" i="15"/>
  <c r="X47" i="15"/>
  <c r="X157" i="15"/>
  <c r="X96" i="15"/>
  <c r="X46" i="15"/>
  <c r="X122" i="15"/>
  <c r="X45" i="15"/>
  <c r="X44" i="15"/>
  <c r="X43" i="15"/>
  <c r="X42" i="15"/>
  <c r="X76" i="15"/>
  <c r="X41" i="15"/>
  <c r="X77" i="15"/>
  <c r="X40" i="15"/>
  <c r="X69" i="15"/>
  <c r="X50" i="15"/>
  <c r="X67" i="15"/>
  <c r="X68" i="15"/>
  <c r="X21" i="15"/>
  <c r="X23" i="15"/>
  <c r="X19" i="15"/>
  <c r="X48" i="15"/>
  <c r="X70" i="15"/>
  <c r="X49" i="15"/>
  <c r="X17" i="15"/>
  <c r="X14" i="15"/>
  <c r="X13" i="15"/>
  <c r="W16" i="15"/>
  <c r="W22" i="15"/>
  <c r="W124" i="16"/>
  <c r="W29" i="17"/>
  <c r="W96" i="17"/>
  <c r="X38" i="17"/>
  <c r="X39" i="17" s="1"/>
  <c r="X144" i="17" s="1"/>
  <c r="X153" i="17" s="1"/>
  <c r="Y118" i="15"/>
  <c r="Y117" i="15"/>
  <c r="Y91" i="15"/>
  <c r="Y90" i="15"/>
  <c r="Y64" i="15"/>
  <c r="Y63" i="15"/>
  <c r="Y66" i="15" s="1"/>
  <c r="Y37" i="15"/>
  <c r="Y10" i="15"/>
  <c r="Y9" i="15"/>
  <c r="Z4" i="15"/>
  <c r="Y5" i="15"/>
  <c r="Y36" i="15"/>
  <c r="W28" i="15"/>
  <c r="W126" i="15"/>
  <c r="X156" i="16"/>
  <c r="X155" i="16"/>
  <c r="X154" i="16"/>
  <c r="X152" i="16"/>
  <c r="X151" i="16"/>
  <c r="X150" i="16"/>
  <c r="X149" i="16"/>
  <c r="X123" i="16"/>
  <c r="X104" i="16"/>
  <c r="X122" i="16"/>
  <c r="X121" i="16"/>
  <c r="X131" i="16"/>
  <c r="X129" i="16"/>
  <c r="X157" i="16"/>
  <c r="X127" i="16"/>
  <c r="X70" i="16"/>
  <c r="X100" i="16"/>
  <c r="X98" i="16"/>
  <c r="X76" i="16"/>
  <c r="X124" i="16"/>
  <c r="X94" i="16"/>
  <c r="X75" i="16"/>
  <c r="X73" i="16"/>
  <c r="X74" i="16"/>
  <c r="X72" i="16"/>
  <c r="X71" i="16"/>
  <c r="X125" i="16"/>
  <c r="X69" i="16"/>
  <c r="X102" i="16"/>
  <c r="X67" i="16"/>
  <c r="X82" i="16"/>
  <c r="X77" i="16"/>
  <c r="X48" i="16"/>
  <c r="X23" i="16"/>
  <c r="X46" i="16"/>
  <c r="X22" i="16"/>
  <c r="X40" i="16"/>
  <c r="X21" i="16"/>
  <c r="X28" i="16"/>
  <c r="X20" i="16"/>
  <c r="X19" i="16"/>
  <c r="X18" i="16"/>
  <c r="X68" i="16"/>
  <c r="X50" i="16"/>
  <c r="X15" i="16"/>
  <c r="X13" i="16"/>
  <c r="X17" i="16"/>
  <c r="X14" i="16"/>
  <c r="X16" i="16"/>
  <c r="X44" i="16"/>
  <c r="X119" i="16"/>
  <c r="X120" i="16" s="1"/>
  <c r="X126" i="16" s="1"/>
  <c r="W83" i="16"/>
  <c r="W158" i="16"/>
  <c r="W176" i="16" s="1"/>
  <c r="W95" i="17"/>
  <c r="W110" i="17" s="1"/>
  <c r="V175" i="17"/>
  <c r="V177" i="17" s="1"/>
  <c r="Q178" i="16"/>
  <c r="P179" i="16"/>
  <c r="X119" i="15"/>
  <c r="X120" i="15" s="1"/>
  <c r="X136" i="15" s="1"/>
  <c r="Y118" i="16"/>
  <c r="Y119" i="16" s="1"/>
  <c r="Y120" i="16" s="1"/>
  <c r="Y117" i="16"/>
  <c r="Y91" i="16"/>
  <c r="Y90" i="16"/>
  <c r="Y64" i="16"/>
  <c r="Y65" i="16" s="1"/>
  <c r="Y37" i="16"/>
  <c r="Y36" i="16"/>
  <c r="Y5" i="16"/>
  <c r="Y63" i="16"/>
  <c r="Y66" i="16" s="1"/>
  <c r="Z4" i="16"/>
  <c r="Y9" i="16"/>
  <c r="Y10" i="16"/>
  <c r="Y11" i="16" s="1"/>
  <c r="Y12" i="16" s="1"/>
  <c r="W110" i="16"/>
  <c r="W128" i="16"/>
  <c r="W41" i="17"/>
  <c r="W97" i="17"/>
  <c r="X65" i="17"/>
  <c r="X74" i="17" s="1"/>
  <c r="X11" i="15"/>
  <c r="X12" i="15" s="1"/>
  <c r="X28" i="15" s="1"/>
  <c r="W56" i="15"/>
  <c r="W128" i="15"/>
  <c r="W136" i="16"/>
  <c r="W174" i="16" s="1"/>
  <c r="W42" i="17"/>
  <c r="W101" i="17"/>
  <c r="W137" i="17"/>
  <c r="U177" i="15"/>
  <c r="W136" i="15"/>
  <c r="X38" i="16"/>
  <c r="X39" i="16" s="1"/>
  <c r="X42" i="16" s="1"/>
  <c r="W29" i="16"/>
  <c r="W56" i="16"/>
  <c r="W43" i="17"/>
  <c r="W18" i="15"/>
  <c r="W29" i="15" s="1"/>
  <c r="W47" i="17"/>
  <c r="W83" i="15"/>
  <c r="R178" i="15"/>
  <c r="Q179" i="15"/>
  <c r="X92" i="16"/>
  <c r="X93" i="16" s="1"/>
  <c r="X103" i="16" s="1"/>
  <c r="X20" i="15" l="1"/>
  <c r="X136" i="17"/>
  <c r="W56" i="17"/>
  <c r="X43" i="16"/>
  <c r="Y38" i="15"/>
  <c r="Y39" i="15" s="1"/>
  <c r="Y45" i="15" s="1"/>
  <c r="W137" i="16"/>
  <c r="X130" i="15"/>
  <c r="X128" i="16"/>
  <c r="X101" i="17"/>
  <c r="Y38" i="17"/>
  <c r="Y39" i="17" s="1"/>
  <c r="Y55" i="17" s="1"/>
  <c r="X136" i="16"/>
  <c r="X109" i="17"/>
  <c r="X174" i="17" s="1"/>
  <c r="W137" i="15"/>
  <c r="X55" i="17"/>
  <c r="X49" i="16"/>
  <c r="X103" i="17"/>
  <c r="X123" i="17"/>
  <c r="X124" i="17"/>
  <c r="X174" i="15"/>
  <c r="Y154" i="15"/>
  <c r="Y152" i="15"/>
  <c r="Y151" i="15"/>
  <c r="Y150" i="15"/>
  <c r="Y149" i="15"/>
  <c r="Y157" i="15"/>
  <c r="Y131" i="15"/>
  <c r="Y130" i="15"/>
  <c r="Y129" i="15"/>
  <c r="Y127" i="15"/>
  <c r="Y155" i="15"/>
  <c r="Y125" i="15"/>
  <c r="Y156" i="15"/>
  <c r="Y82" i="15"/>
  <c r="Y73" i="15"/>
  <c r="Y72" i="15"/>
  <c r="Y102" i="15"/>
  <c r="Y71" i="15"/>
  <c r="Y70" i="15"/>
  <c r="Y100" i="15"/>
  <c r="Y98" i="15"/>
  <c r="Y121" i="15"/>
  <c r="Y104" i="15"/>
  <c r="Y122" i="15"/>
  <c r="Y77" i="15"/>
  <c r="Y46" i="15"/>
  <c r="Y44" i="15"/>
  <c r="Y42" i="15"/>
  <c r="Y76" i="15"/>
  <c r="Y41" i="15"/>
  <c r="Y40" i="15"/>
  <c r="Y75" i="15"/>
  <c r="Y69" i="15"/>
  <c r="Y50" i="15"/>
  <c r="Y68" i="15"/>
  <c r="Y49" i="15"/>
  <c r="Y67" i="15"/>
  <c r="Y21" i="15"/>
  <c r="Y23" i="15"/>
  <c r="Y47" i="15"/>
  <c r="Y19" i="15"/>
  <c r="Y48" i="15"/>
  <c r="Y17" i="15"/>
  <c r="Y55" i="15"/>
  <c r="Y94" i="15"/>
  <c r="Y14" i="15"/>
  <c r="Y13" i="15"/>
  <c r="X83" i="16"/>
  <c r="Z118" i="15"/>
  <c r="Z117" i="15"/>
  <c r="Z91" i="15"/>
  <c r="Z90" i="15"/>
  <c r="Z64" i="15"/>
  <c r="Z63" i="15"/>
  <c r="Z66" i="15" s="1"/>
  <c r="Z37" i="15"/>
  <c r="Z36" i="15"/>
  <c r="Z10" i="15"/>
  <c r="Z9" i="15"/>
  <c r="AA4" i="15"/>
  <c r="Z5" i="15"/>
  <c r="Y119" i="15"/>
  <c r="Y120" i="15" s="1"/>
  <c r="Y136" i="15" s="1"/>
  <c r="X45" i="17"/>
  <c r="Y155" i="17"/>
  <c r="Y154" i="17"/>
  <c r="Y150" i="17"/>
  <c r="Y157" i="17"/>
  <c r="Y152" i="17"/>
  <c r="Y156" i="17"/>
  <c r="Y151" i="17"/>
  <c r="Y149" i="17"/>
  <c r="Y122" i="17"/>
  <c r="Y131" i="17"/>
  <c r="Y129" i="17"/>
  <c r="Y121" i="17"/>
  <c r="Y125" i="17"/>
  <c r="Y104" i="17"/>
  <c r="Y103" i="17"/>
  <c r="Y109" i="17"/>
  <c r="Y100" i="17"/>
  <c r="Y99" i="17"/>
  <c r="Y98" i="17"/>
  <c r="Y102" i="17"/>
  <c r="Y101" i="17"/>
  <c r="Y97" i="17"/>
  <c r="Y95" i="17"/>
  <c r="Y127" i="17"/>
  <c r="Y94" i="17"/>
  <c r="Y96" i="17"/>
  <c r="Y72" i="17"/>
  <c r="Y71" i="17"/>
  <c r="Y82" i="17"/>
  <c r="Y69" i="17"/>
  <c r="Y68" i="17"/>
  <c r="Y77" i="17"/>
  <c r="Y76" i="17"/>
  <c r="Y70" i="17"/>
  <c r="Y73" i="17"/>
  <c r="Y50" i="17"/>
  <c r="Y75" i="17"/>
  <c r="Y45" i="17"/>
  <c r="Y44" i="17"/>
  <c r="Y47" i="17"/>
  <c r="Y43" i="17"/>
  <c r="Y42" i="17"/>
  <c r="Y41" i="17"/>
  <c r="Y40" i="17"/>
  <c r="Y67" i="17"/>
  <c r="Y49" i="17"/>
  <c r="Y19" i="17"/>
  <c r="Y17" i="17"/>
  <c r="Y16" i="17"/>
  <c r="Y15" i="17"/>
  <c r="Y48" i="17"/>
  <c r="Y46" i="17"/>
  <c r="Y23" i="17"/>
  <c r="Y14" i="17"/>
  <c r="Y21" i="17"/>
  <c r="Y13" i="17"/>
  <c r="R178" i="17"/>
  <c r="Q179" i="17"/>
  <c r="X158" i="17"/>
  <c r="X176" i="17" s="1"/>
  <c r="X95" i="16"/>
  <c r="X137" i="17"/>
  <c r="Z118" i="17"/>
  <c r="Z117" i="17"/>
  <c r="Z91" i="17"/>
  <c r="Z90" i="17"/>
  <c r="Z64" i="17"/>
  <c r="Z63" i="17"/>
  <c r="Z66" i="17" s="1"/>
  <c r="Z37" i="17"/>
  <c r="Z36" i="17"/>
  <c r="Z5" i="17"/>
  <c r="Z10" i="17"/>
  <c r="AA4" i="17"/>
  <c r="Z9" i="17"/>
  <c r="Y119" i="17"/>
  <c r="Y120" i="17" s="1"/>
  <c r="Y124" i="17" s="1"/>
  <c r="R178" i="16"/>
  <c r="Q179" i="16"/>
  <c r="X29" i="16"/>
  <c r="X96" i="16"/>
  <c r="Y11" i="15"/>
  <c r="Y12" i="15" s="1"/>
  <c r="Y22" i="15" s="1"/>
  <c r="X110" i="15"/>
  <c r="X47" i="16"/>
  <c r="X97" i="16"/>
  <c r="X130" i="16"/>
  <c r="X137" i="16" s="1"/>
  <c r="X15" i="15"/>
  <c r="X22" i="15"/>
  <c r="X124" i="15"/>
  <c r="X29" i="17"/>
  <c r="X16" i="15"/>
  <c r="X83" i="15"/>
  <c r="X83" i="17"/>
  <c r="X110" i="17"/>
  <c r="X41" i="16"/>
  <c r="X99" i="16"/>
  <c r="X109" i="16"/>
  <c r="X41" i="17"/>
  <c r="S178" i="15"/>
  <c r="R179" i="15"/>
  <c r="Y92" i="16"/>
  <c r="Y93" i="16" s="1"/>
  <c r="Y109" i="16" s="1"/>
  <c r="X55" i="16"/>
  <c r="X174" i="16" s="1"/>
  <c r="Y65" i="15"/>
  <c r="Y74" i="15" s="1"/>
  <c r="W175" i="17"/>
  <c r="W177" i="17" s="1"/>
  <c r="X126" i="15"/>
  <c r="Y11" i="17"/>
  <c r="Y12" i="17" s="1"/>
  <c r="Y22" i="17" s="1"/>
  <c r="Z118" i="16"/>
  <c r="Z117" i="16"/>
  <c r="Z91" i="16"/>
  <c r="Z90" i="16"/>
  <c r="Z64" i="16"/>
  <c r="Z63" i="16"/>
  <c r="Z66" i="16" s="1"/>
  <c r="Z37" i="16"/>
  <c r="Z36" i="16"/>
  <c r="Z10" i="16"/>
  <c r="Z9" i="16"/>
  <c r="AA4" i="16"/>
  <c r="Z5" i="16"/>
  <c r="X45" i="16"/>
  <c r="X123" i="15"/>
  <c r="X42" i="17"/>
  <c r="X144" i="16"/>
  <c r="X153" i="16" s="1"/>
  <c r="X158" i="16" s="1"/>
  <c r="X176" i="16" s="1"/>
  <c r="Y65" i="17"/>
  <c r="Y74" i="17" s="1"/>
  <c r="W175" i="15"/>
  <c r="Y38" i="16"/>
  <c r="Y39" i="16" s="1"/>
  <c r="Y144" i="16" s="1"/>
  <c r="Y153" i="16" s="1"/>
  <c r="X144" i="15"/>
  <c r="X153" i="15" s="1"/>
  <c r="X158" i="15" s="1"/>
  <c r="X176" i="15" s="1"/>
  <c r="X101" i="16"/>
  <c r="W174" i="15"/>
  <c r="W177" i="15" s="1"/>
  <c r="X18" i="15"/>
  <c r="X56" i="15"/>
  <c r="X128" i="15"/>
  <c r="X43" i="17"/>
  <c r="W175" i="16"/>
  <c r="W177" i="16" s="1"/>
  <c r="Y155" i="16"/>
  <c r="Y154" i="16"/>
  <c r="Y152" i="16"/>
  <c r="Y151" i="16"/>
  <c r="Y150" i="16"/>
  <c r="Y149" i="16"/>
  <c r="Y122" i="16"/>
  <c r="Y121" i="16"/>
  <c r="Y131" i="16"/>
  <c r="Y130" i="16"/>
  <c r="Y129" i="16"/>
  <c r="Y136" i="16"/>
  <c r="Y128" i="16"/>
  <c r="Y157" i="16"/>
  <c r="Y127" i="16"/>
  <c r="Y126" i="16"/>
  <c r="Y125" i="16"/>
  <c r="Y100" i="16"/>
  <c r="Y99" i="16"/>
  <c r="Y98" i="16"/>
  <c r="Y77" i="16"/>
  <c r="Y123" i="16"/>
  <c r="Y95" i="16"/>
  <c r="Y156" i="16"/>
  <c r="Y124" i="16"/>
  <c r="Y94" i="16"/>
  <c r="Y75" i="16"/>
  <c r="Y82" i="16"/>
  <c r="Y104" i="16"/>
  <c r="Y74" i="16"/>
  <c r="Y72" i="16"/>
  <c r="Y71" i="16"/>
  <c r="Y44" i="16"/>
  <c r="Y73" i="16"/>
  <c r="Y70" i="16"/>
  <c r="Y76" i="16"/>
  <c r="Y69" i="16"/>
  <c r="Y50" i="16"/>
  <c r="Y68" i="16"/>
  <c r="Y55" i="16"/>
  <c r="Y48" i="16"/>
  <c r="Y23" i="16"/>
  <c r="Y46" i="16"/>
  <c r="Y41" i="16"/>
  <c r="Y22" i="16"/>
  <c r="Y47" i="16"/>
  <c r="Y40" i="16"/>
  <c r="Y21" i="16"/>
  <c r="Y43" i="16"/>
  <c r="Y28" i="16"/>
  <c r="Y20" i="16"/>
  <c r="Y19" i="16"/>
  <c r="Y67" i="16"/>
  <c r="Y18" i="16"/>
  <c r="Y17" i="16"/>
  <c r="Y15" i="16"/>
  <c r="Y13" i="16"/>
  <c r="Y14" i="16"/>
  <c r="Y49" i="16"/>
  <c r="Y16" i="16"/>
  <c r="Y102" i="16"/>
  <c r="Y92" i="15"/>
  <c r="Y93" i="15" s="1"/>
  <c r="Y96" i="15" s="1"/>
  <c r="X49" i="17"/>
  <c r="X47" i="17"/>
  <c r="X56" i="17" s="1"/>
  <c r="X29" i="15" l="1"/>
  <c r="Y97" i="15"/>
  <c r="Z65" i="16"/>
  <c r="X110" i="16"/>
  <c r="Z92" i="16"/>
  <c r="Z93" i="16" s="1"/>
  <c r="Z109" i="16" s="1"/>
  <c r="Y18" i="17"/>
  <c r="Y42" i="16"/>
  <c r="Y96" i="16"/>
  <c r="Y110" i="16" s="1"/>
  <c r="X137" i="15"/>
  <c r="X175" i="15" s="1"/>
  <c r="X177" i="15" s="1"/>
  <c r="Y43" i="15"/>
  <c r="Y56" i="15" s="1"/>
  <c r="Y45" i="16"/>
  <c r="Y103" i="16"/>
  <c r="X56" i="16"/>
  <c r="Y101" i="16"/>
  <c r="Y97" i="16"/>
  <c r="Z154" i="16"/>
  <c r="Z152" i="16"/>
  <c r="Z151" i="16"/>
  <c r="Z150" i="16"/>
  <c r="Z149" i="16"/>
  <c r="Z121" i="16"/>
  <c r="Z155" i="16"/>
  <c r="Z131" i="16"/>
  <c r="Z129" i="16"/>
  <c r="Z157" i="16"/>
  <c r="Z127" i="16"/>
  <c r="Z125" i="16"/>
  <c r="Z99" i="16"/>
  <c r="Z98" i="16"/>
  <c r="Z97" i="16"/>
  <c r="Z122" i="16"/>
  <c r="Z77" i="16"/>
  <c r="Z76" i="16"/>
  <c r="Z156" i="16"/>
  <c r="Z94" i="16"/>
  <c r="Z82" i="16"/>
  <c r="Z74" i="16"/>
  <c r="Z102" i="16"/>
  <c r="Z43" i="16"/>
  <c r="Z104" i="16"/>
  <c r="Z73" i="16"/>
  <c r="Z70" i="16"/>
  <c r="Z75" i="16"/>
  <c r="Z100" i="16"/>
  <c r="Z69" i="16"/>
  <c r="Z50" i="16"/>
  <c r="Z68" i="16"/>
  <c r="Z67" i="16"/>
  <c r="Z72" i="16"/>
  <c r="Z46" i="16"/>
  <c r="Z41" i="16"/>
  <c r="Z40" i="16"/>
  <c r="Z21" i="16"/>
  <c r="Z19" i="16"/>
  <c r="Z17" i="16"/>
  <c r="Z71" i="16"/>
  <c r="Z16" i="16"/>
  <c r="Z44" i="16"/>
  <c r="Z23" i="16"/>
  <c r="Z13" i="16"/>
  <c r="Z48" i="16"/>
  <c r="Z14" i="16"/>
  <c r="Z101" i="16"/>
  <c r="Z92" i="17"/>
  <c r="Z93" i="17" s="1"/>
  <c r="Z97" i="17" s="1"/>
  <c r="Y20" i="15"/>
  <c r="AA118" i="16"/>
  <c r="AA117" i="16"/>
  <c r="AA91" i="16"/>
  <c r="AA90" i="16"/>
  <c r="AA64" i="16"/>
  <c r="AA63" i="16"/>
  <c r="AA66" i="16" s="1"/>
  <c r="AA37" i="16"/>
  <c r="AA36" i="16"/>
  <c r="AA10" i="16"/>
  <c r="AA9" i="16"/>
  <c r="AB4" i="16"/>
  <c r="AA5" i="16"/>
  <c r="AA117" i="17"/>
  <c r="AA91" i="17"/>
  <c r="AA90" i="17"/>
  <c r="AA118" i="17"/>
  <c r="AA119" i="17" s="1"/>
  <c r="AA120" i="17" s="1"/>
  <c r="AA64" i="17"/>
  <c r="AA63" i="17"/>
  <c r="AA66" i="17" s="1"/>
  <c r="AA37" i="17"/>
  <c r="AA36" i="17"/>
  <c r="AA10" i="17"/>
  <c r="AA9" i="17"/>
  <c r="AB4" i="17"/>
  <c r="AA5" i="17"/>
  <c r="Y123" i="15"/>
  <c r="Y109" i="15"/>
  <c r="Y29" i="16"/>
  <c r="Z11" i="17"/>
  <c r="Z12" i="17" s="1"/>
  <c r="S178" i="17"/>
  <c r="R179" i="17"/>
  <c r="Y130" i="17"/>
  <c r="Y123" i="17"/>
  <c r="Z65" i="15"/>
  <c r="Z74" i="15" s="1"/>
  <c r="Y99" i="15"/>
  <c r="Y124" i="15"/>
  <c r="Z11" i="16"/>
  <c r="Z12" i="16" s="1"/>
  <c r="Z119" i="16"/>
  <c r="Z120" i="16" s="1"/>
  <c r="Z136" i="16" s="1"/>
  <c r="Z154" i="17"/>
  <c r="Z150" i="17"/>
  <c r="Z157" i="17"/>
  <c r="Z152" i="17"/>
  <c r="Z156" i="17"/>
  <c r="Z151" i="17"/>
  <c r="Z122" i="17"/>
  <c r="Z155" i="17"/>
  <c r="Z131" i="17"/>
  <c r="Z129" i="17"/>
  <c r="Z121" i="17"/>
  <c r="Z149" i="17"/>
  <c r="Z104" i="17"/>
  <c r="Z102" i="17"/>
  <c r="Z125" i="17"/>
  <c r="Z99" i="17"/>
  <c r="Z127" i="17"/>
  <c r="Z94" i="17"/>
  <c r="Z100" i="17"/>
  <c r="Z71" i="17"/>
  <c r="Z70" i="17"/>
  <c r="Z82" i="17"/>
  <c r="Z98" i="17"/>
  <c r="Z67" i="17"/>
  <c r="Z76" i="17"/>
  <c r="Z75" i="17"/>
  <c r="Z73" i="17"/>
  <c r="Z50" i="17"/>
  <c r="Z77" i="17"/>
  <c r="Z72" i="17"/>
  <c r="Z69" i="17"/>
  <c r="Z44" i="17"/>
  <c r="Z40" i="17"/>
  <c r="Z19" i="17"/>
  <c r="Z18" i="17"/>
  <c r="Z17" i="17"/>
  <c r="Z16" i="17"/>
  <c r="Z15" i="17"/>
  <c r="Z48" i="17"/>
  <c r="Z14" i="17"/>
  <c r="Z46" i="17"/>
  <c r="Z23" i="17"/>
  <c r="Z21" i="17"/>
  <c r="Z68" i="17"/>
  <c r="Z13" i="17"/>
  <c r="Z119" i="17"/>
  <c r="Z120" i="17" s="1"/>
  <c r="Z126" i="17" s="1"/>
  <c r="Y29" i="17"/>
  <c r="Y28" i="17"/>
  <c r="Y158" i="17"/>
  <c r="Y176" i="17" s="1"/>
  <c r="Y15" i="15"/>
  <c r="Y29" i="15" s="1"/>
  <c r="Y83" i="16"/>
  <c r="T178" i="15"/>
  <c r="S179" i="15"/>
  <c r="Y144" i="15"/>
  <c r="Y153" i="15" s="1"/>
  <c r="Y158" i="15" s="1"/>
  <c r="Y176" i="15" s="1"/>
  <c r="Y20" i="17"/>
  <c r="Y110" i="17"/>
  <c r="Y83" i="15"/>
  <c r="Y103" i="15"/>
  <c r="Y158" i="16"/>
  <c r="Y176" i="16" s="1"/>
  <c r="X175" i="17"/>
  <c r="X177" i="17" s="1"/>
  <c r="Z92" i="15"/>
  <c r="Z93" i="15" s="1"/>
  <c r="Z95" i="15" s="1"/>
  <c r="Y95" i="15"/>
  <c r="Y110" i="15" s="1"/>
  <c r="Y28" i="15"/>
  <c r="Z38" i="16"/>
  <c r="Z39" i="16" s="1"/>
  <c r="Z42" i="16" s="1"/>
  <c r="Y144" i="17"/>
  <c r="Y153" i="17" s="1"/>
  <c r="Z38" i="17"/>
  <c r="Z39" i="17" s="1"/>
  <c r="Z42" i="17" s="1"/>
  <c r="Y83" i="17"/>
  <c r="Y136" i="17"/>
  <c r="Z152" i="15"/>
  <c r="Z151" i="15"/>
  <c r="Z150" i="15"/>
  <c r="Z149" i="15"/>
  <c r="Z157" i="15"/>
  <c r="Z156" i="15"/>
  <c r="Z131" i="15"/>
  <c r="Z129" i="15"/>
  <c r="Z136" i="15"/>
  <c r="Z127" i="15"/>
  <c r="Z154" i="15"/>
  <c r="Z155" i="15"/>
  <c r="Z125" i="15"/>
  <c r="Z122" i="15"/>
  <c r="Z109" i="15"/>
  <c r="Z73" i="15"/>
  <c r="Z72" i="15"/>
  <c r="Z102" i="15"/>
  <c r="Z71" i="15"/>
  <c r="Z100" i="15"/>
  <c r="Z98" i="15"/>
  <c r="Z121" i="15"/>
  <c r="Z104" i="15"/>
  <c r="Z97" i="15"/>
  <c r="Z96" i="15"/>
  <c r="Z77" i="15"/>
  <c r="Z76" i="15"/>
  <c r="Z44" i="15"/>
  <c r="Z82" i="15"/>
  <c r="Z40" i="15"/>
  <c r="Z75" i="15"/>
  <c r="Z69" i="15"/>
  <c r="Z50" i="15"/>
  <c r="Z68" i="15"/>
  <c r="Z94" i="15"/>
  <c r="Z70" i="15"/>
  <c r="Z67" i="15"/>
  <c r="Z48" i="15"/>
  <c r="Z21" i="15"/>
  <c r="Z46" i="15"/>
  <c r="Z23" i="15"/>
  <c r="Z19" i="15"/>
  <c r="Z18" i="15"/>
  <c r="Z17" i="15"/>
  <c r="Z14" i="15"/>
  <c r="Z13" i="15"/>
  <c r="Y16" i="15"/>
  <c r="Y101" i="15"/>
  <c r="Y126" i="15"/>
  <c r="Y174" i="16"/>
  <c r="X175" i="16"/>
  <c r="X177" i="16" s="1"/>
  <c r="Y56" i="17"/>
  <c r="Y128" i="17"/>
  <c r="Y137" i="17" s="1"/>
  <c r="AA118" i="15"/>
  <c r="AA117" i="15"/>
  <c r="AA91" i="15"/>
  <c r="AA90" i="15"/>
  <c r="AA37" i="15"/>
  <c r="AA36" i="15"/>
  <c r="AB4" i="15"/>
  <c r="AA5" i="15"/>
  <c r="AA63" i="15"/>
  <c r="AA66" i="15" s="1"/>
  <c r="AA64" i="15"/>
  <c r="AA9" i="15"/>
  <c r="AA10" i="15"/>
  <c r="Y56" i="16"/>
  <c r="Z38" i="15"/>
  <c r="Z39" i="15" s="1"/>
  <c r="Z43" i="15" s="1"/>
  <c r="Y126" i="17"/>
  <c r="Z119" i="15"/>
  <c r="Z120" i="15" s="1"/>
  <c r="Z126" i="15" s="1"/>
  <c r="Y18" i="15"/>
  <c r="Y128" i="15"/>
  <c r="Y137" i="16"/>
  <c r="S178" i="16"/>
  <c r="R179" i="16"/>
  <c r="Z65" i="17"/>
  <c r="Z74" i="17" s="1"/>
  <c r="Z11" i="15"/>
  <c r="Z12" i="15" s="1"/>
  <c r="AA11" i="15" l="1"/>
  <c r="AA12" i="15" s="1"/>
  <c r="Z109" i="17"/>
  <c r="AA65" i="16"/>
  <c r="Z41" i="15"/>
  <c r="Z99" i="15"/>
  <c r="Z103" i="17"/>
  <c r="Z43" i="17"/>
  <c r="AA65" i="15"/>
  <c r="Z103" i="15"/>
  <c r="Z128" i="15"/>
  <c r="Z47" i="17"/>
  <c r="Z95" i="16"/>
  <c r="Z130" i="16"/>
  <c r="Z144" i="15"/>
  <c r="Z153" i="15" s="1"/>
  <c r="Z101" i="15"/>
  <c r="Z124" i="17"/>
  <c r="Y137" i="15"/>
  <c r="Z55" i="17"/>
  <c r="Z96" i="16"/>
  <c r="Z47" i="15"/>
  <c r="Z45" i="15"/>
  <c r="Z49" i="15"/>
  <c r="Z130" i="15"/>
  <c r="Z103" i="16"/>
  <c r="T178" i="17"/>
  <c r="S179" i="17"/>
  <c r="Y174" i="17"/>
  <c r="Z144" i="17"/>
  <c r="Z153" i="17" s="1"/>
  <c r="AA38" i="17"/>
  <c r="AA39" i="17" s="1"/>
  <c r="Z83" i="17"/>
  <c r="Y175" i="17"/>
  <c r="Z130" i="17"/>
  <c r="Z144" i="16"/>
  <c r="Z153" i="16" s="1"/>
  <c r="Z158" i="16" s="1"/>
  <c r="Z176" i="16" s="1"/>
  <c r="Y175" i="16"/>
  <c r="AA152" i="16"/>
  <c r="AA151" i="16"/>
  <c r="AA150" i="16"/>
  <c r="AA149" i="16"/>
  <c r="AA157" i="16"/>
  <c r="AA155" i="16"/>
  <c r="AA131" i="16"/>
  <c r="AA129" i="16"/>
  <c r="AA154" i="16"/>
  <c r="AA127" i="16"/>
  <c r="AA125" i="16"/>
  <c r="AA156" i="16"/>
  <c r="AA98" i="16"/>
  <c r="AA121" i="16"/>
  <c r="AA122" i="16"/>
  <c r="AA77" i="16"/>
  <c r="AA76" i="16"/>
  <c r="AA94" i="16"/>
  <c r="AA75" i="16"/>
  <c r="AA73" i="16"/>
  <c r="AA104" i="16"/>
  <c r="AA70" i="16"/>
  <c r="AA100" i="16"/>
  <c r="AA69" i="16"/>
  <c r="AA50" i="16"/>
  <c r="AA68" i="16"/>
  <c r="AA67" i="16"/>
  <c r="AA48" i="16"/>
  <c r="AA102" i="16"/>
  <c r="AA82" i="16"/>
  <c r="AA72" i="16"/>
  <c r="AA71" i="16"/>
  <c r="AA40" i="16"/>
  <c r="AA21" i="16"/>
  <c r="AA74" i="16"/>
  <c r="AA19" i="16"/>
  <c r="AA17" i="16"/>
  <c r="AA44" i="16"/>
  <c r="AA23" i="16"/>
  <c r="AA13" i="16"/>
  <c r="AA14" i="16"/>
  <c r="AA46" i="16"/>
  <c r="AA92" i="16"/>
  <c r="AA93" i="16" s="1"/>
  <c r="AA96" i="16" s="1"/>
  <c r="Z83" i="16"/>
  <c r="AB118" i="16"/>
  <c r="AB119" i="16" s="1"/>
  <c r="AB120" i="16" s="1"/>
  <c r="AB117" i="16"/>
  <c r="AB91" i="16"/>
  <c r="AB90" i="16"/>
  <c r="AB37" i="16"/>
  <c r="AB36" i="16"/>
  <c r="AB63" i="16"/>
  <c r="AB66" i="16" s="1"/>
  <c r="AB64" i="16"/>
  <c r="AB65" i="16" s="1"/>
  <c r="AB10" i="16"/>
  <c r="AB9" i="16"/>
  <c r="AC4" i="16"/>
  <c r="AB5" i="16"/>
  <c r="Z45" i="16"/>
  <c r="Z18" i="16"/>
  <c r="Z49" i="16"/>
  <c r="Y175" i="15"/>
  <c r="AA119" i="15"/>
  <c r="AA120" i="15" s="1"/>
  <c r="AA130" i="15" s="1"/>
  <c r="Z110" i="16"/>
  <c r="Z124" i="16"/>
  <c r="Z20" i="15"/>
  <c r="AA65" i="17"/>
  <c r="AA74" i="17" s="1"/>
  <c r="AA11" i="16"/>
  <c r="AA12" i="16" s="1"/>
  <c r="AA15" i="16" s="1"/>
  <c r="AA119" i="16"/>
  <c r="AA120" i="16" s="1"/>
  <c r="AA126" i="16" s="1"/>
  <c r="Z20" i="16"/>
  <c r="Z28" i="15"/>
  <c r="AB117" i="15"/>
  <c r="AB118" i="15"/>
  <c r="AB90" i="15"/>
  <c r="AB91" i="15"/>
  <c r="AB37" i="15"/>
  <c r="AB36" i="15"/>
  <c r="AB5" i="15"/>
  <c r="AB63" i="15"/>
  <c r="AB66" i="15" s="1"/>
  <c r="AB64" i="15"/>
  <c r="AC4" i="15"/>
  <c r="AB9" i="15"/>
  <c r="AB10" i="15"/>
  <c r="Z123" i="15"/>
  <c r="Z28" i="17"/>
  <c r="Z49" i="17"/>
  <c r="Z96" i="17"/>
  <c r="Z158" i="17"/>
  <c r="Z176" i="17" s="1"/>
  <c r="Z55" i="16"/>
  <c r="Z28" i="16"/>
  <c r="Z126" i="16"/>
  <c r="AA92" i="15"/>
  <c r="AA93" i="15" s="1"/>
  <c r="AA96" i="15" s="1"/>
  <c r="AA152" i="15"/>
  <c r="AA151" i="15"/>
  <c r="AA150" i="15"/>
  <c r="AA149" i="15"/>
  <c r="AA157" i="15"/>
  <c r="AA156" i="15"/>
  <c r="AA155" i="15"/>
  <c r="AA129" i="15"/>
  <c r="AA127" i="15"/>
  <c r="AA154" i="15"/>
  <c r="AA125" i="15"/>
  <c r="AA124" i="15"/>
  <c r="AA104" i="15"/>
  <c r="AA122" i="15"/>
  <c r="AA121" i="15"/>
  <c r="AA72" i="15"/>
  <c r="AA102" i="15"/>
  <c r="AA71" i="15"/>
  <c r="AA131" i="15"/>
  <c r="AA101" i="15"/>
  <c r="AA100" i="15"/>
  <c r="AA99" i="15"/>
  <c r="AA98" i="15"/>
  <c r="AA77" i="15"/>
  <c r="AA76" i="15"/>
  <c r="AA94" i="15"/>
  <c r="AA73" i="15"/>
  <c r="AA44" i="15"/>
  <c r="AA74" i="15"/>
  <c r="AA82" i="15"/>
  <c r="AA40" i="15"/>
  <c r="AA75" i="15"/>
  <c r="AA69" i="15"/>
  <c r="AA50" i="15"/>
  <c r="AA68" i="15"/>
  <c r="AA70" i="15"/>
  <c r="AA67" i="15"/>
  <c r="AA48" i="15"/>
  <c r="AA21" i="15"/>
  <c r="AA46" i="15"/>
  <c r="AA23" i="15"/>
  <c r="AA20" i="15"/>
  <c r="AA19" i="15"/>
  <c r="AA18" i="15"/>
  <c r="AA17" i="15"/>
  <c r="AA16" i="15"/>
  <c r="AA15" i="15"/>
  <c r="AA14" i="15"/>
  <c r="AA13" i="15"/>
  <c r="AA28" i="15"/>
  <c r="AA22" i="15"/>
  <c r="Z15" i="15"/>
  <c r="Z124" i="15"/>
  <c r="Y174" i="15"/>
  <c r="Y177" i="15" s="1"/>
  <c r="U178" i="15"/>
  <c r="T179" i="15"/>
  <c r="Z20" i="17"/>
  <c r="Z29" i="17" s="1"/>
  <c r="Z45" i="17"/>
  <c r="Z123" i="17"/>
  <c r="AA152" i="17"/>
  <c r="AA157" i="17"/>
  <c r="AA156" i="17"/>
  <c r="AA151" i="17"/>
  <c r="AA155" i="17"/>
  <c r="AA149" i="17"/>
  <c r="AA121" i="17"/>
  <c r="AA131" i="17"/>
  <c r="AA130" i="17"/>
  <c r="AA154" i="17"/>
  <c r="AA150" i="17"/>
  <c r="AA124" i="17"/>
  <c r="AA126" i="17"/>
  <c r="AA128" i="17"/>
  <c r="AA136" i="17"/>
  <c r="AA123" i="17"/>
  <c r="AA125" i="17"/>
  <c r="AA127" i="17"/>
  <c r="AA104" i="17"/>
  <c r="AA129" i="17"/>
  <c r="AA122" i="17"/>
  <c r="AA102" i="17"/>
  <c r="AA94" i="17"/>
  <c r="AA100" i="17"/>
  <c r="AA70" i="17"/>
  <c r="AA82" i="17"/>
  <c r="AA69" i="17"/>
  <c r="AA98" i="17"/>
  <c r="AA77" i="17"/>
  <c r="AA75" i="17"/>
  <c r="AA73" i="17"/>
  <c r="AA50" i="17"/>
  <c r="AA49" i="17"/>
  <c r="AA72" i="17"/>
  <c r="AA55" i="17"/>
  <c r="AA71" i="17"/>
  <c r="AA67" i="17"/>
  <c r="AA68" i="17"/>
  <c r="AA76" i="17"/>
  <c r="AA47" i="17"/>
  <c r="AA43" i="17"/>
  <c r="AA42" i="17"/>
  <c r="AA41" i="17"/>
  <c r="AA40" i="17"/>
  <c r="AA17" i="17"/>
  <c r="AA44" i="17"/>
  <c r="AA48" i="17"/>
  <c r="AA14" i="17"/>
  <c r="AA13" i="17"/>
  <c r="AA46" i="17"/>
  <c r="AA23" i="17"/>
  <c r="AA21" i="17"/>
  <c r="AA45" i="17"/>
  <c r="AA19" i="17"/>
  <c r="Y177" i="16"/>
  <c r="T178" i="16"/>
  <c r="S179" i="16"/>
  <c r="Z22" i="15"/>
  <c r="Z55" i="15"/>
  <c r="Z83" i="15"/>
  <c r="Z42" i="15"/>
  <c r="Z56" i="15" s="1"/>
  <c r="Z158" i="15"/>
  <c r="Z176" i="15" s="1"/>
  <c r="Z22" i="17"/>
  <c r="Z95" i="17"/>
  <c r="Z110" i="17" s="1"/>
  <c r="Z136" i="17"/>
  <c r="AB117" i="17"/>
  <c r="AB91" i="17"/>
  <c r="AB90" i="17"/>
  <c r="AB64" i="17"/>
  <c r="AB63" i="17"/>
  <c r="AB66" i="17" s="1"/>
  <c r="AB37" i="17"/>
  <c r="AB36" i="17"/>
  <c r="AB10" i="17"/>
  <c r="AB9" i="17"/>
  <c r="AC4" i="17"/>
  <c r="AB5" i="17"/>
  <c r="AB118" i="17"/>
  <c r="AA92" i="17"/>
  <c r="AA93" i="17" s="1"/>
  <c r="AA109" i="17" s="1"/>
  <c r="AA38" i="16"/>
  <c r="AA39" i="16" s="1"/>
  <c r="AA42" i="16" s="1"/>
  <c r="Z123" i="16"/>
  <c r="Z137" i="16" s="1"/>
  <c r="AA38" i="15"/>
  <c r="AA39" i="15" s="1"/>
  <c r="AA45" i="15" s="1"/>
  <c r="Z16" i="15"/>
  <c r="Z29" i="15" s="1"/>
  <c r="Z41" i="17"/>
  <c r="Z128" i="17"/>
  <c r="Z47" i="16"/>
  <c r="Z56" i="16" s="1"/>
  <c r="Z128" i="16"/>
  <c r="Z110" i="15"/>
  <c r="Z101" i="17"/>
  <c r="AA11" i="17"/>
  <c r="AA12" i="17" s="1"/>
  <c r="AA16" i="17" s="1"/>
  <c r="Z15" i="16"/>
  <c r="Z29" i="16" s="1"/>
  <c r="Z22" i="16"/>
  <c r="AB65" i="15" l="1"/>
  <c r="AA47" i="16"/>
  <c r="AB11" i="17"/>
  <c r="AB12" i="17" s="1"/>
  <c r="AA103" i="15"/>
  <c r="AB11" i="16"/>
  <c r="AB12" i="16" s="1"/>
  <c r="AA128" i="16"/>
  <c r="AB65" i="17"/>
  <c r="AA15" i="17"/>
  <c r="AA55" i="15"/>
  <c r="AB92" i="15"/>
  <c r="AB93" i="15" s="1"/>
  <c r="AA55" i="16"/>
  <c r="AA136" i="16"/>
  <c r="AA109" i="15"/>
  <c r="Z137" i="17"/>
  <c r="AB119" i="15"/>
  <c r="AB120" i="15" s="1"/>
  <c r="AA103" i="16"/>
  <c r="Z137" i="15"/>
  <c r="Z175" i="15" s="1"/>
  <c r="AB119" i="17"/>
  <c r="AB120" i="17" s="1"/>
  <c r="AA103" i="17"/>
  <c r="Z56" i="17"/>
  <c r="Z175" i="17" s="1"/>
  <c r="AB11" i="15"/>
  <c r="AB12" i="15" s="1"/>
  <c r="AA97" i="16"/>
  <c r="Y177" i="17"/>
  <c r="AA144" i="17"/>
  <c r="AA153" i="17" s="1"/>
  <c r="AA158" i="17" s="1"/>
  <c r="AA176" i="17" s="1"/>
  <c r="AA97" i="15"/>
  <c r="AA123" i="15"/>
  <c r="AA83" i="17"/>
  <c r="AA42" i="15"/>
  <c r="AA144" i="15"/>
  <c r="AA153" i="15" s="1"/>
  <c r="AA158" i="15" s="1"/>
  <c r="AA176" i="15" s="1"/>
  <c r="AA83" i="15"/>
  <c r="AA43" i="15"/>
  <c r="Z174" i="17"/>
  <c r="AB38" i="15"/>
  <c r="AB39" i="15" s="1"/>
  <c r="AB144" i="15" s="1"/>
  <c r="AB153" i="15" s="1"/>
  <c r="AA137" i="17"/>
  <c r="AA126" i="15"/>
  <c r="AA144" i="16"/>
  <c r="AA153" i="16" s="1"/>
  <c r="AA16" i="16"/>
  <c r="AA101" i="16"/>
  <c r="AA130" i="16"/>
  <c r="AA28" i="17"/>
  <c r="V178" i="15"/>
  <c r="U179" i="15"/>
  <c r="AA49" i="15"/>
  <c r="AB38" i="16"/>
  <c r="AB39" i="16" s="1"/>
  <c r="AB43" i="16" s="1"/>
  <c r="U178" i="17"/>
  <c r="T179" i="17"/>
  <c r="AA20" i="17"/>
  <c r="AA18" i="17"/>
  <c r="AA96" i="17"/>
  <c r="AA22" i="16"/>
  <c r="AA18" i="16"/>
  <c r="AA123" i="16"/>
  <c r="AA137" i="16" s="1"/>
  <c r="AA56" i="17"/>
  <c r="AA110" i="15"/>
  <c r="AA45" i="16"/>
  <c r="AA109" i="16"/>
  <c r="AB38" i="17"/>
  <c r="AB39" i="17" s="1"/>
  <c r="AB42" i="17" s="1"/>
  <c r="AA95" i="17"/>
  <c r="AA128" i="15"/>
  <c r="AC118" i="15"/>
  <c r="AC90" i="15"/>
  <c r="AC91" i="15"/>
  <c r="AC37" i="15"/>
  <c r="AC36" i="15"/>
  <c r="AC64" i="15"/>
  <c r="AC63" i="15"/>
  <c r="AC66" i="15" s="1"/>
  <c r="AC117" i="15"/>
  <c r="AC10" i="15"/>
  <c r="AC9" i="15"/>
  <c r="AD4" i="15"/>
  <c r="AC5" i="15"/>
  <c r="AA43" i="16"/>
  <c r="AA83" i="16"/>
  <c r="AA124" i="16"/>
  <c r="AB152" i="17"/>
  <c r="AB151" i="17"/>
  <c r="AB157" i="17"/>
  <c r="AB156" i="17"/>
  <c r="AB155" i="17"/>
  <c r="AB149" i="17"/>
  <c r="AB154" i="17"/>
  <c r="AB131" i="17"/>
  <c r="AB130" i="17"/>
  <c r="AB129" i="17"/>
  <c r="AB126" i="17"/>
  <c r="AB128" i="17"/>
  <c r="AB136" i="17"/>
  <c r="AB123" i="17"/>
  <c r="AB125" i="17"/>
  <c r="AB150" i="17"/>
  <c r="AB122" i="17"/>
  <c r="AB102" i="17"/>
  <c r="AB100" i="17"/>
  <c r="AB124" i="17"/>
  <c r="AB121" i="17"/>
  <c r="AB94" i="17"/>
  <c r="AB127" i="17"/>
  <c r="AB104" i="17"/>
  <c r="AB98" i="17"/>
  <c r="AB82" i="17"/>
  <c r="AB69" i="17"/>
  <c r="AB68" i="17"/>
  <c r="AB77" i="17"/>
  <c r="AB76" i="17"/>
  <c r="AB74" i="17"/>
  <c r="AB70" i="17"/>
  <c r="AB72" i="17"/>
  <c r="AB48" i="17"/>
  <c r="AB71" i="17"/>
  <c r="AB75" i="17"/>
  <c r="AB67" i="17"/>
  <c r="AB40" i="17"/>
  <c r="AB73" i="17"/>
  <c r="AB50" i="17"/>
  <c r="AB46" i="17"/>
  <c r="AB17" i="17"/>
  <c r="AB16" i="17"/>
  <c r="AB44" i="17"/>
  <c r="AB15" i="17"/>
  <c r="AB14" i="17"/>
  <c r="AB13" i="17"/>
  <c r="AB23" i="17"/>
  <c r="AB22" i="17"/>
  <c r="AB21" i="17"/>
  <c r="AB20" i="17"/>
  <c r="AB28" i="17"/>
  <c r="AB18" i="17"/>
  <c r="AB19" i="17"/>
  <c r="AB92" i="17"/>
  <c r="AB93" i="17" s="1"/>
  <c r="AB103" i="17" s="1"/>
  <c r="AA97" i="17"/>
  <c r="AA95" i="15"/>
  <c r="AA136" i="15"/>
  <c r="AB152" i="16"/>
  <c r="AB151" i="16"/>
  <c r="AB150" i="16"/>
  <c r="AB149" i="16"/>
  <c r="AB157" i="16"/>
  <c r="AB156" i="16"/>
  <c r="AB155" i="16"/>
  <c r="AB131" i="16"/>
  <c r="AB130" i="16"/>
  <c r="AB129" i="16"/>
  <c r="AB136" i="16"/>
  <c r="AB128" i="16"/>
  <c r="AB154" i="16"/>
  <c r="AB127" i="16"/>
  <c r="AB126" i="16"/>
  <c r="AB125" i="16"/>
  <c r="AB124" i="16"/>
  <c r="AB123" i="16"/>
  <c r="AB122" i="16"/>
  <c r="AB121" i="16"/>
  <c r="AB77" i="16"/>
  <c r="AB95" i="16"/>
  <c r="AB76" i="16"/>
  <c r="AB94" i="16"/>
  <c r="AB75" i="16"/>
  <c r="AB82" i="16"/>
  <c r="AB74" i="16"/>
  <c r="AB104" i="16"/>
  <c r="AB72" i="16"/>
  <c r="AB102" i="16"/>
  <c r="AB100" i="16"/>
  <c r="AB73" i="16"/>
  <c r="AB109" i="16"/>
  <c r="AB69" i="16"/>
  <c r="AB50" i="16"/>
  <c r="AB68" i="16"/>
  <c r="AB67" i="16"/>
  <c r="AB48" i="16"/>
  <c r="AB47" i="16"/>
  <c r="AB98" i="16"/>
  <c r="AB71" i="16"/>
  <c r="AB70" i="16"/>
  <c r="AB28" i="16"/>
  <c r="AB20" i="16"/>
  <c r="AB19" i="16"/>
  <c r="AB18" i="16"/>
  <c r="AB17" i="16"/>
  <c r="AB16" i="16"/>
  <c r="AB44" i="16"/>
  <c r="AB45" i="16"/>
  <c r="AB42" i="16"/>
  <c r="AB23" i="16"/>
  <c r="AB13" i="16"/>
  <c r="AB41" i="16"/>
  <c r="AB14" i="16"/>
  <c r="AB22" i="16"/>
  <c r="AB46" i="16"/>
  <c r="AB40" i="16"/>
  <c r="AB15" i="16"/>
  <c r="AB21" i="16"/>
  <c r="AB92" i="16"/>
  <c r="AB93" i="16" s="1"/>
  <c r="AB99" i="16" s="1"/>
  <c r="AA41" i="16"/>
  <c r="AA56" i="16" s="1"/>
  <c r="AA99" i="16"/>
  <c r="AA158" i="16"/>
  <c r="AA176" i="16" s="1"/>
  <c r="Z175" i="16"/>
  <c r="AA101" i="17"/>
  <c r="AA137" i="15"/>
  <c r="Z174" i="16"/>
  <c r="AC118" i="16"/>
  <c r="AC117" i="16"/>
  <c r="AC91" i="16"/>
  <c r="AC90" i="16"/>
  <c r="AC64" i="16"/>
  <c r="AC63" i="16"/>
  <c r="AC66" i="16" s="1"/>
  <c r="AC37" i="16"/>
  <c r="AC36" i="16"/>
  <c r="AC10" i="16"/>
  <c r="AC9" i="16"/>
  <c r="AD4" i="16"/>
  <c r="AC5" i="16"/>
  <c r="AA20" i="16"/>
  <c r="AA29" i="16" s="1"/>
  <c r="AA49" i="16"/>
  <c r="AA95" i="16"/>
  <c r="AA22" i="17"/>
  <c r="AC117" i="17"/>
  <c r="AC118" i="17"/>
  <c r="AC91" i="17"/>
  <c r="AC90" i="17"/>
  <c r="AC64" i="17"/>
  <c r="AC63" i="17"/>
  <c r="AC66" i="17" s="1"/>
  <c r="AC37" i="17"/>
  <c r="AC36" i="17"/>
  <c r="AC10" i="17"/>
  <c r="AC9" i="17"/>
  <c r="AD4" i="17"/>
  <c r="AC5" i="17"/>
  <c r="AA29" i="17"/>
  <c r="AA99" i="17"/>
  <c r="AA174" i="15"/>
  <c r="AB151" i="15"/>
  <c r="AB150" i="15"/>
  <c r="AB149" i="15"/>
  <c r="AB157" i="15"/>
  <c r="AB156" i="15"/>
  <c r="AB155" i="15"/>
  <c r="AB154" i="15"/>
  <c r="AB129" i="15"/>
  <c r="AB152" i="15"/>
  <c r="AB136" i="15"/>
  <c r="AB128" i="15"/>
  <c r="AB127" i="15"/>
  <c r="AB126" i="15"/>
  <c r="AB125" i="15"/>
  <c r="AB124" i="15"/>
  <c r="AB123" i="15"/>
  <c r="AB104" i="15"/>
  <c r="AB122" i="15"/>
  <c r="AB121" i="15"/>
  <c r="AB130" i="15"/>
  <c r="AB102" i="15"/>
  <c r="AB71" i="15"/>
  <c r="AB131" i="15"/>
  <c r="AB101" i="15"/>
  <c r="AB103" i="15"/>
  <c r="AB100" i="15"/>
  <c r="AB99" i="15"/>
  <c r="AB98" i="15"/>
  <c r="AB97" i="15"/>
  <c r="AB96" i="15"/>
  <c r="AB77" i="15"/>
  <c r="AB95" i="15"/>
  <c r="AB76" i="15"/>
  <c r="AB94" i="15"/>
  <c r="AB75" i="15"/>
  <c r="AB82" i="15"/>
  <c r="AB43" i="15"/>
  <c r="AB42" i="15"/>
  <c r="AB74" i="15"/>
  <c r="AB41" i="15"/>
  <c r="AB40" i="15"/>
  <c r="AB69" i="15"/>
  <c r="AB50" i="15"/>
  <c r="AB68" i="15"/>
  <c r="AB49" i="15"/>
  <c r="AB70" i="15"/>
  <c r="AB67" i="15"/>
  <c r="AB48" i="15"/>
  <c r="AB72" i="15"/>
  <c r="AB55" i="15"/>
  <c r="AB47" i="15"/>
  <c r="AB46" i="15"/>
  <c r="AB109" i="15"/>
  <c r="AB23" i="15"/>
  <c r="AB20" i="15"/>
  <c r="AB19" i="15"/>
  <c r="AB18" i="15"/>
  <c r="AB17" i="15"/>
  <c r="AB16" i="15"/>
  <c r="AB15" i="15"/>
  <c r="AB14" i="15"/>
  <c r="AB13" i="15"/>
  <c r="AB73" i="15"/>
  <c r="AB28" i="15"/>
  <c r="AB44" i="15"/>
  <c r="AB22" i="15"/>
  <c r="AB45" i="15"/>
  <c r="AB21" i="15"/>
  <c r="AA28" i="16"/>
  <c r="U178" i="16"/>
  <c r="T179" i="16"/>
  <c r="AA29" i="15"/>
  <c r="AA47" i="15"/>
  <c r="AA41" i="15"/>
  <c r="AA56" i="15" s="1"/>
  <c r="Z174" i="15"/>
  <c r="AB101" i="16" l="1"/>
  <c r="AB55" i="17"/>
  <c r="AA110" i="17"/>
  <c r="AB45" i="17"/>
  <c r="AB96" i="17"/>
  <c r="AB55" i="16"/>
  <c r="AB49" i="17"/>
  <c r="AA110" i="16"/>
  <c r="AB144" i="17"/>
  <c r="AB153" i="17" s="1"/>
  <c r="AB137" i="15"/>
  <c r="AB95" i="17"/>
  <c r="AC11" i="16"/>
  <c r="AC12" i="16" s="1"/>
  <c r="AC22" i="16" s="1"/>
  <c r="AB49" i="16"/>
  <c r="AB99" i="17"/>
  <c r="AB97" i="17"/>
  <c r="AB43" i="17"/>
  <c r="AB41" i="17"/>
  <c r="AB144" i="16"/>
  <c r="AB153" i="16" s="1"/>
  <c r="Z177" i="15"/>
  <c r="AB47" i="17"/>
  <c r="AA175" i="16"/>
  <c r="AC151" i="17"/>
  <c r="AC156" i="17"/>
  <c r="AC152" i="17"/>
  <c r="AC155" i="17"/>
  <c r="AC149" i="17"/>
  <c r="AC150" i="17"/>
  <c r="AC131" i="17"/>
  <c r="AC129" i="17"/>
  <c r="AC157" i="17"/>
  <c r="AC154" i="17"/>
  <c r="AC125" i="17"/>
  <c r="AC127" i="17"/>
  <c r="AC122" i="17"/>
  <c r="AC102" i="17"/>
  <c r="AC121" i="17"/>
  <c r="AC94" i="17"/>
  <c r="AC100" i="17"/>
  <c r="AC104" i="17"/>
  <c r="AC98" i="17"/>
  <c r="AC68" i="17"/>
  <c r="AC67" i="17"/>
  <c r="AC77" i="17"/>
  <c r="AC76" i="17"/>
  <c r="AC75" i="17"/>
  <c r="AC73" i="17"/>
  <c r="AC72" i="17"/>
  <c r="AC48" i="17"/>
  <c r="AC82" i="17"/>
  <c r="AC69" i="17"/>
  <c r="AC71" i="17"/>
  <c r="AC70" i="17"/>
  <c r="AC40" i="17"/>
  <c r="AC50" i="17"/>
  <c r="AC49" i="17"/>
  <c r="AC46" i="17"/>
  <c r="AC44" i="17"/>
  <c r="AC14" i="17"/>
  <c r="AC23" i="17"/>
  <c r="AC21" i="17"/>
  <c r="AC19" i="17"/>
  <c r="AC13" i="17"/>
  <c r="AC17" i="17"/>
  <c r="AC92" i="17"/>
  <c r="AC93" i="17" s="1"/>
  <c r="AC99" i="17" s="1"/>
  <c r="AC151" i="16"/>
  <c r="AC150" i="16"/>
  <c r="AC149" i="16"/>
  <c r="AC157" i="16"/>
  <c r="AC156" i="16"/>
  <c r="AC155" i="16"/>
  <c r="AC129" i="16"/>
  <c r="AC154" i="16"/>
  <c r="AC127" i="16"/>
  <c r="AC125" i="16"/>
  <c r="AC122" i="16"/>
  <c r="AC121" i="16"/>
  <c r="AC77" i="16"/>
  <c r="AC76" i="16"/>
  <c r="AC94" i="16"/>
  <c r="AC75" i="16"/>
  <c r="AC82" i="16"/>
  <c r="AC152" i="16"/>
  <c r="AC73" i="16"/>
  <c r="AC104" i="16"/>
  <c r="AC102" i="16"/>
  <c r="AC71" i="16"/>
  <c r="AC131" i="16"/>
  <c r="AC99" i="16"/>
  <c r="AC97" i="16"/>
  <c r="AC100" i="16"/>
  <c r="AC69" i="16"/>
  <c r="AC50" i="16"/>
  <c r="AC68" i="16"/>
  <c r="AC67" i="16"/>
  <c r="AC48" i="16"/>
  <c r="AC72" i="16"/>
  <c r="AC70" i="16"/>
  <c r="AC19" i="16"/>
  <c r="AC18" i="16"/>
  <c r="AC17" i="16"/>
  <c r="AC16" i="16"/>
  <c r="AC44" i="16"/>
  <c r="AC98" i="16"/>
  <c r="AC46" i="16"/>
  <c r="AC13" i="16"/>
  <c r="AC23" i="16"/>
  <c r="AC14" i="16"/>
  <c r="AC28" i="16"/>
  <c r="AC40" i="16"/>
  <c r="AC21" i="16"/>
  <c r="AC15" i="16"/>
  <c r="AC92" i="16"/>
  <c r="AC93" i="16" s="1"/>
  <c r="AC103" i="16" s="1"/>
  <c r="AB29" i="16"/>
  <c r="V178" i="17"/>
  <c r="U179" i="17"/>
  <c r="AD117" i="17"/>
  <c r="AD91" i="17"/>
  <c r="AD92" i="17" s="1"/>
  <c r="AD93" i="17" s="1"/>
  <c r="AD90" i="17"/>
  <c r="AD118" i="17"/>
  <c r="AD64" i="17"/>
  <c r="AD63" i="17"/>
  <c r="AD66" i="17" s="1"/>
  <c r="AD37" i="17"/>
  <c r="AD36" i="17"/>
  <c r="AD10" i="17"/>
  <c r="AD9" i="17"/>
  <c r="AE4" i="17"/>
  <c r="AD5" i="17"/>
  <c r="AC119" i="17"/>
  <c r="AC120" i="17" s="1"/>
  <c r="AC130" i="17" s="1"/>
  <c r="AD91" i="16"/>
  <c r="AD90" i="16"/>
  <c r="AD117" i="16"/>
  <c r="AD118" i="16"/>
  <c r="AD119" i="16" s="1"/>
  <c r="AD120" i="16" s="1"/>
  <c r="AD64" i="16"/>
  <c r="AD63" i="16"/>
  <c r="AD66" i="16" s="1"/>
  <c r="AD37" i="16"/>
  <c r="AD36" i="16"/>
  <c r="AD10" i="16"/>
  <c r="AD11" i="16" s="1"/>
  <c r="AD12" i="16" s="1"/>
  <c r="AD9" i="16"/>
  <c r="AE4" i="16"/>
  <c r="AD5" i="16"/>
  <c r="AB96" i="16"/>
  <c r="AB56" i="17"/>
  <c r="AB174" i="15"/>
  <c r="AB103" i="16"/>
  <c r="AB137" i="17"/>
  <c r="AB29" i="15"/>
  <c r="AC119" i="16"/>
  <c r="AC120" i="16" s="1"/>
  <c r="AC130" i="16" s="1"/>
  <c r="AB97" i="16"/>
  <c r="AC65" i="15"/>
  <c r="AB158" i="15"/>
  <c r="AB176" i="15" s="1"/>
  <c r="AB137" i="16"/>
  <c r="AB29" i="17"/>
  <c r="AB83" i="17"/>
  <c r="W178" i="15"/>
  <c r="V179" i="15"/>
  <c r="Z177" i="17"/>
  <c r="AA175" i="17"/>
  <c r="AC11" i="15"/>
  <c r="AC12" i="15" s="1"/>
  <c r="AC22" i="15" s="1"/>
  <c r="AA175" i="15"/>
  <c r="AA177" i="15" s="1"/>
  <c r="V178" i="16"/>
  <c r="U179" i="16"/>
  <c r="AB83" i="15"/>
  <c r="AC38" i="17"/>
  <c r="AC39" i="17" s="1"/>
  <c r="AC55" i="17" s="1"/>
  <c r="AC38" i="16"/>
  <c r="AC39" i="16" s="1"/>
  <c r="AC49" i="16" s="1"/>
  <c r="AB101" i="17"/>
  <c r="AB110" i="17" s="1"/>
  <c r="AC38" i="15"/>
  <c r="AC39" i="15" s="1"/>
  <c r="AC49" i="15" s="1"/>
  <c r="AB174" i="17"/>
  <c r="AB56" i="15"/>
  <c r="AC11" i="17"/>
  <c r="AC12" i="17" s="1"/>
  <c r="AC144" i="17" s="1"/>
  <c r="AC153" i="17" s="1"/>
  <c r="AB110" i="15"/>
  <c r="Z177" i="16"/>
  <c r="AB56" i="16"/>
  <c r="AB83" i="16"/>
  <c r="AB109" i="17"/>
  <c r="AC92" i="15"/>
  <c r="AC93" i="15" s="1"/>
  <c r="AC99" i="15" s="1"/>
  <c r="AA174" i="17"/>
  <c r="AB158" i="16"/>
  <c r="AB176" i="16" s="1"/>
  <c r="AC150" i="15"/>
  <c r="AC149" i="15"/>
  <c r="AC157" i="15"/>
  <c r="AC156" i="15"/>
  <c r="AC155" i="15"/>
  <c r="AC154" i="15"/>
  <c r="AC152" i="15"/>
  <c r="AC127" i="15"/>
  <c r="AC125" i="15"/>
  <c r="AC122" i="15"/>
  <c r="AC103" i="15"/>
  <c r="AC121" i="15"/>
  <c r="AC109" i="15"/>
  <c r="AC131" i="15"/>
  <c r="AC101" i="15"/>
  <c r="AC70" i="15"/>
  <c r="AC100" i="15"/>
  <c r="AC98" i="15"/>
  <c r="AC77" i="15"/>
  <c r="AC104" i="15"/>
  <c r="AC95" i="15"/>
  <c r="AC76" i="15"/>
  <c r="AC94" i="15"/>
  <c r="AC82" i="15"/>
  <c r="AC74" i="15"/>
  <c r="AC151" i="15"/>
  <c r="AC102" i="15"/>
  <c r="AC23" i="15"/>
  <c r="AC129" i="15"/>
  <c r="AC40" i="15"/>
  <c r="AC71" i="15"/>
  <c r="AC69" i="15"/>
  <c r="AC50" i="15"/>
  <c r="AC75" i="15"/>
  <c r="AC68" i="15"/>
  <c r="AC67" i="15"/>
  <c r="AC48" i="15"/>
  <c r="AC72" i="15"/>
  <c r="AC55" i="15"/>
  <c r="AC46" i="15"/>
  <c r="AC19" i="15"/>
  <c r="AC17" i="15"/>
  <c r="AC14" i="15"/>
  <c r="AC13" i="15"/>
  <c r="AC73" i="15"/>
  <c r="AC43" i="15"/>
  <c r="AC28" i="15"/>
  <c r="AC44" i="15"/>
  <c r="AC21" i="15"/>
  <c r="AB174" i="16"/>
  <c r="AA174" i="16"/>
  <c r="AA177" i="16" s="1"/>
  <c r="AC65" i="17"/>
  <c r="AC74" i="17" s="1"/>
  <c r="AC65" i="16"/>
  <c r="AC74" i="16" s="1"/>
  <c r="AB158" i="17"/>
  <c r="AB176" i="17" s="1"/>
  <c r="AD118" i="15"/>
  <c r="AD117" i="15"/>
  <c r="AD91" i="15"/>
  <c r="AD90" i="15"/>
  <c r="AD37" i="15"/>
  <c r="AD36" i="15"/>
  <c r="AD64" i="15"/>
  <c r="AD63" i="15"/>
  <c r="AD66" i="15" s="1"/>
  <c r="AD10" i="15"/>
  <c r="AD9" i="15"/>
  <c r="AE4" i="15"/>
  <c r="AD5" i="15"/>
  <c r="AC119" i="15"/>
  <c r="AC120" i="15" s="1"/>
  <c r="AC126" i="15" s="1"/>
  <c r="AD65" i="16" l="1"/>
  <c r="AC123" i="17"/>
  <c r="AC45" i="16"/>
  <c r="AC123" i="16"/>
  <c r="AC126" i="17"/>
  <c r="AB110" i="16"/>
  <c r="AC42" i="17"/>
  <c r="AC20" i="16"/>
  <c r="AC96" i="17"/>
  <c r="AC45" i="15"/>
  <c r="AC128" i="15"/>
  <c r="AC18" i="15"/>
  <c r="AC136" i="15"/>
  <c r="AC20" i="15"/>
  <c r="AC47" i="15"/>
  <c r="AC41" i="15"/>
  <c r="AC103" i="17"/>
  <c r="AC144" i="15"/>
  <c r="AC153" i="15" s="1"/>
  <c r="AC136" i="17"/>
  <c r="AB175" i="15"/>
  <c r="AC124" i="16"/>
  <c r="AC22" i="17"/>
  <c r="AA177" i="17"/>
  <c r="AD150" i="16"/>
  <c r="AD149" i="16"/>
  <c r="AD157" i="16"/>
  <c r="AD156" i="16"/>
  <c r="AD155" i="16"/>
  <c r="AD154" i="16"/>
  <c r="AD129" i="16"/>
  <c r="AD136" i="16"/>
  <c r="AD128" i="16"/>
  <c r="AD151" i="16"/>
  <c r="AD127" i="16"/>
  <c r="AD126" i="16"/>
  <c r="AD125" i="16"/>
  <c r="AD124" i="16"/>
  <c r="AD123" i="16"/>
  <c r="AD104" i="16"/>
  <c r="AD122" i="16"/>
  <c r="AD121" i="16"/>
  <c r="AD76" i="16"/>
  <c r="AD94" i="16"/>
  <c r="AD75" i="16"/>
  <c r="AD82" i="16"/>
  <c r="AD74" i="16"/>
  <c r="AD152" i="16"/>
  <c r="AD73" i="16"/>
  <c r="AD72" i="16"/>
  <c r="AD130" i="16"/>
  <c r="AD102" i="16"/>
  <c r="AD131" i="16"/>
  <c r="AD70" i="16"/>
  <c r="AD100" i="16"/>
  <c r="AD98" i="16"/>
  <c r="AD69" i="16"/>
  <c r="AD50" i="16"/>
  <c r="AD68" i="16"/>
  <c r="AD67" i="16"/>
  <c r="AD48" i="16"/>
  <c r="AD46" i="16"/>
  <c r="AD77" i="16"/>
  <c r="AD18" i="16"/>
  <c r="AD17" i="16"/>
  <c r="AD16" i="16"/>
  <c r="AD44" i="16"/>
  <c r="AD15" i="16"/>
  <c r="AD71" i="16"/>
  <c r="AD23" i="16"/>
  <c r="AD40" i="16"/>
  <c r="AD21" i="16"/>
  <c r="AD20" i="16"/>
  <c r="AD13" i="16"/>
  <c r="AD14" i="16"/>
  <c r="AD19" i="16"/>
  <c r="AD28" i="16"/>
  <c r="AD22" i="16"/>
  <c r="AD38" i="17"/>
  <c r="AD39" i="17" s="1"/>
  <c r="AC29" i="16"/>
  <c r="AC43" i="16"/>
  <c r="AC41" i="17"/>
  <c r="AD11" i="17"/>
  <c r="AD12" i="17" s="1"/>
  <c r="AD18" i="17" s="1"/>
  <c r="AD119" i="15"/>
  <c r="AD120" i="15" s="1"/>
  <c r="AE91" i="16"/>
  <c r="AE90" i="16"/>
  <c r="AE117" i="16"/>
  <c r="AE118" i="16"/>
  <c r="AE64" i="16"/>
  <c r="AE63" i="16"/>
  <c r="AE66" i="16" s="1"/>
  <c r="AE10" i="16"/>
  <c r="AE9" i="16"/>
  <c r="AF4" i="16"/>
  <c r="AE37" i="16"/>
  <c r="AE5" i="16"/>
  <c r="AE36" i="16"/>
  <c r="AD92" i="16"/>
  <c r="AD93" i="16" s="1"/>
  <c r="AD96" i="16" s="1"/>
  <c r="W178" i="17"/>
  <c r="V179" i="17"/>
  <c r="AC126" i="16"/>
  <c r="AC43" i="17"/>
  <c r="AC97" i="17"/>
  <c r="AC95" i="17"/>
  <c r="AC124" i="17"/>
  <c r="AC128" i="17"/>
  <c r="AD65" i="15"/>
  <c r="AC174" i="15"/>
  <c r="X178" i="15"/>
  <c r="W179" i="15"/>
  <c r="AC42" i="16"/>
  <c r="AC101" i="16"/>
  <c r="AC101" i="17"/>
  <c r="AC130" i="15"/>
  <c r="AC96" i="15"/>
  <c r="AC110" i="15" s="1"/>
  <c r="AC123" i="15"/>
  <c r="AC137" i="15" s="1"/>
  <c r="AC144" i="16"/>
  <c r="AC153" i="16" s="1"/>
  <c r="AC158" i="16" s="1"/>
  <c r="AC176" i="16" s="1"/>
  <c r="AB175" i="16"/>
  <c r="AB177" i="16" s="1"/>
  <c r="AC47" i="16"/>
  <c r="AC109" i="16"/>
  <c r="AC95" i="16"/>
  <c r="AC15" i="17"/>
  <c r="AC109" i="17"/>
  <c r="AC97" i="15"/>
  <c r="AC124" i="15"/>
  <c r="AC158" i="15"/>
  <c r="AC176" i="15" s="1"/>
  <c r="AB175" i="17"/>
  <c r="AB177" i="17" s="1"/>
  <c r="AD65" i="17"/>
  <c r="AC41" i="16"/>
  <c r="AC55" i="16"/>
  <c r="AC128" i="16"/>
  <c r="AC18" i="17"/>
  <c r="AC83" i="17"/>
  <c r="AC83" i="15"/>
  <c r="AC42" i="15"/>
  <c r="AC56" i="15" s="1"/>
  <c r="AB177" i="15"/>
  <c r="AC96" i="16"/>
  <c r="AC136" i="16"/>
  <c r="AC16" i="17"/>
  <c r="AC29" i="17" s="1"/>
  <c r="AC15" i="15"/>
  <c r="W178" i="16"/>
  <c r="V179" i="16"/>
  <c r="AD38" i="16"/>
  <c r="AD39" i="16" s="1"/>
  <c r="AD43" i="16" s="1"/>
  <c r="AD150" i="17"/>
  <c r="AD156" i="17"/>
  <c r="AD152" i="17"/>
  <c r="AD155" i="17"/>
  <c r="AD151" i="17"/>
  <c r="AD149" i="17"/>
  <c r="AD154" i="17"/>
  <c r="AD131" i="17"/>
  <c r="AD129" i="17"/>
  <c r="AD157" i="17"/>
  <c r="AD127" i="17"/>
  <c r="AD123" i="17"/>
  <c r="AD125" i="17"/>
  <c r="AD121" i="17"/>
  <c r="AD109" i="17"/>
  <c r="AD101" i="17"/>
  <c r="AD100" i="17"/>
  <c r="AD82" i="17"/>
  <c r="AD96" i="17"/>
  <c r="AD102" i="17"/>
  <c r="AD122" i="17"/>
  <c r="AD104" i="17"/>
  <c r="AD98" i="17"/>
  <c r="AD99" i="17"/>
  <c r="AD103" i="17"/>
  <c r="AD67" i="17"/>
  <c r="AD77" i="17"/>
  <c r="AD94" i="17"/>
  <c r="AD76" i="17"/>
  <c r="AD95" i="17"/>
  <c r="AD75" i="17"/>
  <c r="AD74" i="17"/>
  <c r="AD72" i="17"/>
  <c r="AD55" i="17"/>
  <c r="AD47" i="17"/>
  <c r="AD69" i="17"/>
  <c r="AD71" i="17"/>
  <c r="AD70" i="17"/>
  <c r="AD40" i="17"/>
  <c r="AD73" i="17"/>
  <c r="AD50" i="17"/>
  <c r="AD49" i="17"/>
  <c r="AD46" i="17"/>
  <c r="AD97" i="17"/>
  <c r="AD45" i="17"/>
  <c r="AD68" i="17"/>
  <c r="AD48" i="17"/>
  <c r="AD44" i="17"/>
  <c r="AD41" i="17"/>
  <c r="AD14" i="17"/>
  <c r="AD43" i="17"/>
  <c r="AD23" i="17"/>
  <c r="AD22" i="17"/>
  <c r="AD21" i="17"/>
  <c r="AD20" i="17"/>
  <c r="AD42" i="17"/>
  <c r="AD19" i="17"/>
  <c r="AD13" i="17"/>
  <c r="AD17" i="17"/>
  <c r="AD119" i="17"/>
  <c r="AD120" i="17" s="1"/>
  <c r="AD124" i="17" s="1"/>
  <c r="AC83" i="16"/>
  <c r="AC45" i="17"/>
  <c r="AC47" i="17"/>
  <c r="AD11" i="15"/>
  <c r="AD12" i="15" s="1"/>
  <c r="AC20" i="17"/>
  <c r="AD38" i="15"/>
  <c r="AD39" i="15" s="1"/>
  <c r="AD55" i="15" s="1"/>
  <c r="AD149" i="15"/>
  <c r="AD157" i="15"/>
  <c r="AD156" i="15"/>
  <c r="AD155" i="15"/>
  <c r="AD154" i="15"/>
  <c r="AD152" i="15"/>
  <c r="AD127" i="15"/>
  <c r="AD126" i="15"/>
  <c r="AD125" i="15"/>
  <c r="AD124" i="15"/>
  <c r="AD123" i="15"/>
  <c r="AD122" i="15"/>
  <c r="AD121" i="15"/>
  <c r="AD131" i="15"/>
  <c r="AD150" i="15"/>
  <c r="AD130" i="15"/>
  <c r="AD100" i="15"/>
  <c r="AD98" i="15"/>
  <c r="AD77" i="15"/>
  <c r="AD104" i="15"/>
  <c r="AD76" i="15"/>
  <c r="AD94" i="15"/>
  <c r="AD75" i="15"/>
  <c r="AD82" i="15"/>
  <c r="AD151" i="15"/>
  <c r="AD128" i="15"/>
  <c r="AD73" i="15"/>
  <c r="AD129" i="15"/>
  <c r="AD74" i="15"/>
  <c r="AD40" i="15"/>
  <c r="AD71" i="15"/>
  <c r="AD69" i="15"/>
  <c r="AD50" i="15"/>
  <c r="AD136" i="15"/>
  <c r="AD68" i="15"/>
  <c r="AD67" i="15"/>
  <c r="AD48" i="15"/>
  <c r="AD72" i="15"/>
  <c r="AD70" i="15"/>
  <c r="AD46" i="15"/>
  <c r="AD44" i="15"/>
  <c r="AD17" i="15"/>
  <c r="AD15" i="15"/>
  <c r="AD14" i="15"/>
  <c r="AD13" i="15"/>
  <c r="AD102" i="15"/>
  <c r="AD21" i="15"/>
  <c r="AD23" i="15"/>
  <c r="AD19" i="15"/>
  <c r="AE118" i="15"/>
  <c r="AE117" i="15"/>
  <c r="AE91" i="15"/>
  <c r="AE92" i="15" s="1"/>
  <c r="AE93" i="15" s="1"/>
  <c r="AE90" i="15"/>
  <c r="AE37" i="15"/>
  <c r="AE36" i="15"/>
  <c r="AE64" i="15"/>
  <c r="AE63" i="15"/>
  <c r="AE66" i="15" s="1"/>
  <c r="AE10" i="15"/>
  <c r="AE9" i="15"/>
  <c r="AF4" i="15"/>
  <c r="AE5" i="15"/>
  <c r="AD92" i="15"/>
  <c r="AD93" i="15" s="1"/>
  <c r="AD109" i="15" s="1"/>
  <c r="AC16" i="15"/>
  <c r="AC29" i="15" s="1"/>
  <c r="AE118" i="17"/>
  <c r="AE91" i="17"/>
  <c r="AE90" i="17"/>
  <c r="AE117" i="17"/>
  <c r="AE64" i="17"/>
  <c r="AE63" i="17"/>
  <c r="AE66" i="17" s="1"/>
  <c r="AE37" i="17"/>
  <c r="AE36" i="17"/>
  <c r="AE10" i="17"/>
  <c r="AE9" i="17"/>
  <c r="AF4" i="17"/>
  <c r="AE5" i="17"/>
  <c r="AC137" i="16"/>
  <c r="AC28" i="17"/>
  <c r="AC158" i="17"/>
  <c r="AC176" i="17" s="1"/>
  <c r="AD96" i="15" l="1"/>
  <c r="AC56" i="17"/>
  <c r="AD97" i="15"/>
  <c r="AD144" i="16"/>
  <c r="AD153" i="16" s="1"/>
  <c r="AC56" i="16"/>
  <c r="AC175" i="16" s="1"/>
  <c r="AC137" i="17"/>
  <c r="AD41" i="15"/>
  <c r="AD99" i="15"/>
  <c r="AC110" i="17"/>
  <c r="AD101" i="15"/>
  <c r="AD28" i="17"/>
  <c r="AE65" i="16"/>
  <c r="AD20" i="15"/>
  <c r="AD15" i="17"/>
  <c r="AE119" i="16"/>
  <c r="AE120" i="16" s="1"/>
  <c r="AD103" i="15"/>
  <c r="AD42" i="15"/>
  <c r="AE11" i="15"/>
  <c r="AE12" i="15" s="1"/>
  <c r="AD16" i="17"/>
  <c r="AD103" i="16"/>
  <c r="AD136" i="17"/>
  <c r="AC110" i="16"/>
  <c r="AE92" i="16"/>
  <c r="AE93" i="16" s="1"/>
  <c r="AE97" i="16" s="1"/>
  <c r="AD97" i="16"/>
  <c r="AE149" i="17"/>
  <c r="AE156" i="17"/>
  <c r="AE152" i="17"/>
  <c r="AE155" i="17"/>
  <c r="AE151" i="17"/>
  <c r="AE131" i="17"/>
  <c r="AE154" i="17"/>
  <c r="AE157" i="17"/>
  <c r="AE129" i="17"/>
  <c r="AE127" i="17"/>
  <c r="AE150" i="17"/>
  <c r="AE125" i="17"/>
  <c r="AE122" i="17"/>
  <c r="AE100" i="17"/>
  <c r="AE121" i="17"/>
  <c r="AE102" i="17"/>
  <c r="AE104" i="17"/>
  <c r="AE98" i="17"/>
  <c r="AE77" i="17"/>
  <c r="AE94" i="17"/>
  <c r="AE76" i="17"/>
  <c r="AE75" i="17"/>
  <c r="AE73" i="17"/>
  <c r="AE69" i="17"/>
  <c r="AE82" i="17"/>
  <c r="AE71" i="17"/>
  <c r="AE67" i="17"/>
  <c r="AE68" i="17"/>
  <c r="AE70" i="17"/>
  <c r="AE50" i="17"/>
  <c r="AE46" i="17"/>
  <c r="AE48" i="17"/>
  <c r="AE44" i="17"/>
  <c r="AE14" i="17"/>
  <c r="AE13" i="17"/>
  <c r="AE72" i="17"/>
  <c r="AE40" i="17"/>
  <c r="AE23" i="17"/>
  <c r="AE21" i="17"/>
  <c r="AE19" i="17"/>
  <c r="AE17" i="17"/>
  <c r="AD83" i="15"/>
  <c r="AD144" i="15"/>
  <c r="AD153" i="15" s="1"/>
  <c r="AD47" i="16"/>
  <c r="AE119" i="17"/>
  <c r="AE120" i="17" s="1"/>
  <c r="AE130" i="17" s="1"/>
  <c r="AD16" i="15"/>
  <c r="AD49" i="15"/>
  <c r="AC174" i="16"/>
  <c r="AE149" i="16"/>
  <c r="AE157" i="16"/>
  <c r="AE156" i="16"/>
  <c r="AE155" i="16"/>
  <c r="AE154" i="16"/>
  <c r="AE136" i="16"/>
  <c r="AE128" i="16"/>
  <c r="AE151" i="16"/>
  <c r="AE127" i="16"/>
  <c r="AE126" i="16"/>
  <c r="AE125" i="16"/>
  <c r="AE124" i="16"/>
  <c r="AE150" i="16"/>
  <c r="AE123" i="16"/>
  <c r="AE104" i="16"/>
  <c r="AE122" i="16"/>
  <c r="AE103" i="16"/>
  <c r="AE121" i="16"/>
  <c r="AE109" i="16"/>
  <c r="AE152" i="16"/>
  <c r="AE131" i="16"/>
  <c r="AE94" i="16"/>
  <c r="AE75" i="16"/>
  <c r="AE82" i="16"/>
  <c r="AE74" i="16"/>
  <c r="AE73" i="16"/>
  <c r="AE129" i="16"/>
  <c r="AE130" i="16"/>
  <c r="AE102" i="16"/>
  <c r="AE71" i="16"/>
  <c r="AE101" i="16"/>
  <c r="AE100" i="16"/>
  <c r="AE99" i="16"/>
  <c r="AE69" i="16"/>
  <c r="AE50" i="16"/>
  <c r="AE68" i="16"/>
  <c r="AE67" i="16"/>
  <c r="AE48" i="16"/>
  <c r="AE76" i="16"/>
  <c r="AE95" i="16"/>
  <c r="AE98" i="16"/>
  <c r="AE70" i="16"/>
  <c r="AE17" i="16"/>
  <c r="AE44" i="16"/>
  <c r="AE77" i="16"/>
  <c r="AE14" i="16"/>
  <c r="AE23" i="16"/>
  <c r="AE13" i="16"/>
  <c r="AE72" i="16"/>
  <c r="AE19" i="16"/>
  <c r="AE46" i="16"/>
  <c r="AE40" i="16"/>
  <c r="AE21" i="16"/>
  <c r="AD42" i="16"/>
  <c r="AD55" i="16"/>
  <c r="AD101" i="16"/>
  <c r="AD95" i="16"/>
  <c r="AE11" i="17"/>
  <c r="AE12" i="17" s="1"/>
  <c r="AE18" i="17" s="1"/>
  <c r="AD128" i="17"/>
  <c r="AE38" i="16"/>
  <c r="AE39" i="16" s="1"/>
  <c r="AE49" i="16" s="1"/>
  <c r="AD45" i="16"/>
  <c r="AD99" i="16"/>
  <c r="AD109" i="16"/>
  <c r="X178" i="17"/>
  <c r="W179" i="17"/>
  <c r="AD18" i="15"/>
  <c r="AD126" i="17"/>
  <c r="AF118" i="16"/>
  <c r="AF117" i="16"/>
  <c r="AF91" i="16"/>
  <c r="AF90" i="16"/>
  <c r="AF64" i="16"/>
  <c r="AF63" i="16"/>
  <c r="AF66" i="16" s="1"/>
  <c r="AF10" i="16"/>
  <c r="AF9" i="16"/>
  <c r="AG4" i="16"/>
  <c r="AF37" i="16"/>
  <c r="AF5" i="16"/>
  <c r="AF36" i="16"/>
  <c r="AD137" i="16"/>
  <c r="AE92" i="17"/>
  <c r="AE93" i="17" s="1"/>
  <c r="AE99" i="17" s="1"/>
  <c r="AE65" i="15"/>
  <c r="AE74" i="15" s="1"/>
  <c r="AD174" i="17"/>
  <c r="AD110" i="17"/>
  <c r="X178" i="16"/>
  <c r="W179" i="16"/>
  <c r="AD41" i="16"/>
  <c r="AD56" i="16" s="1"/>
  <c r="AD83" i="16"/>
  <c r="AC175" i="17"/>
  <c r="AE38" i="17"/>
  <c r="AE39" i="17" s="1"/>
  <c r="AE49" i="17" s="1"/>
  <c r="AE38" i="15"/>
  <c r="AE39" i="15" s="1"/>
  <c r="AD22" i="15"/>
  <c r="AD29" i="15" s="1"/>
  <c r="AD45" i="15"/>
  <c r="AD56" i="17"/>
  <c r="AD130" i="17"/>
  <c r="AE11" i="16"/>
  <c r="AE12" i="16" s="1"/>
  <c r="AE144" i="16" s="1"/>
  <c r="AE153" i="16" s="1"/>
  <c r="AE119" i="15"/>
  <c r="AE120" i="15" s="1"/>
  <c r="AE130" i="15" s="1"/>
  <c r="AE157" i="15"/>
  <c r="AE156" i="15"/>
  <c r="AE155" i="15"/>
  <c r="AE154" i="15"/>
  <c r="AE152" i="15"/>
  <c r="AE151" i="15"/>
  <c r="AE126" i="15"/>
  <c r="AE125" i="15"/>
  <c r="AE104" i="15"/>
  <c r="AE122" i="15"/>
  <c r="AE121" i="15"/>
  <c r="AE109" i="15"/>
  <c r="AE149" i="15"/>
  <c r="AE131" i="15"/>
  <c r="AE150" i="15"/>
  <c r="AE129" i="15"/>
  <c r="AE103" i="15"/>
  <c r="AE99" i="15"/>
  <c r="AE98" i="15"/>
  <c r="AE97" i="15"/>
  <c r="AE96" i="15"/>
  <c r="AE77" i="15"/>
  <c r="AE95" i="15"/>
  <c r="AE76" i="15"/>
  <c r="AE94" i="15"/>
  <c r="AE75" i="15"/>
  <c r="AE127" i="15"/>
  <c r="AE82" i="15"/>
  <c r="AE128" i="15"/>
  <c r="AE72" i="15"/>
  <c r="AE102" i="15"/>
  <c r="AE40" i="15"/>
  <c r="AE71" i="15"/>
  <c r="AE69" i="15"/>
  <c r="AE50" i="15"/>
  <c r="AE68" i="15"/>
  <c r="AE49" i="15"/>
  <c r="AE67" i="15"/>
  <c r="AE48" i="15"/>
  <c r="AE70" i="15"/>
  <c r="AE55" i="15"/>
  <c r="AE47" i="15"/>
  <c r="AE46" i="15"/>
  <c r="AE45" i="15"/>
  <c r="AE100" i="15"/>
  <c r="AE44" i="15"/>
  <c r="AE101" i="15"/>
  <c r="AE73" i="15"/>
  <c r="AE43" i="15"/>
  <c r="AE17" i="15"/>
  <c r="AE16" i="15"/>
  <c r="AE15" i="15"/>
  <c r="AE14" i="15"/>
  <c r="AE41" i="15"/>
  <c r="AE13" i="15"/>
  <c r="AE42" i="15"/>
  <c r="AE28" i="15"/>
  <c r="AE22" i="15"/>
  <c r="AE21" i="15"/>
  <c r="AE20" i="15"/>
  <c r="AE23" i="15"/>
  <c r="AE19" i="15"/>
  <c r="AE18" i="15"/>
  <c r="AD95" i="15"/>
  <c r="AD110" i="15" s="1"/>
  <c r="AD29" i="17"/>
  <c r="AD83" i="17"/>
  <c r="AD29" i="16"/>
  <c r="AD49" i="16"/>
  <c r="AC175" i="15"/>
  <c r="AC177" i="15" s="1"/>
  <c r="AC174" i="17"/>
  <c r="AE65" i="17"/>
  <c r="AE74" i="17" s="1"/>
  <c r="AF118" i="15"/>
  <c r="AF117" i="15"/>
  <c r="AF91" i="15"/>
  <c r="AF90" i="15"/>
  <c r="AF37" i="15"/>
  <c r="AF38" i="15" s="1"/>
  <c r="AF39" i="15" s="1"/>
  <c r="AF36" i="15"/>
  <c r="AF64" i="15"/>
  <c r="AF63" i="15"/>
  <c r="AF66" i="15" s="1"/>
  <c r="AF10" i="15"/>
  <c r="AF9" i="15"/>
  <c r="AG4" i="15"/>
  <c r="AF5" i="15"/>
  <c r="AD28" i="15"/>
  <c r="AD47" i="15"/>
  <c r="AD137" i="15"/>
  <c r="AD137" i="17"/>
  <c r="Y178" i="15"/>
  <c r="X179" i="15"/>
  <c r="AD144" i="17"/>
  <c r="AD153" i="17" s="1"/>
  <c r="AD158" i="17" s="1"/>
  <c r="AD176" i="17" s="1"/>
  <c r="AE144" i="15"/>
  <c r="AE153" i="15" s="1"/>
  <c r="AF118" i="17"/>
  <c r="AF91" i="17"/>
  <c r="AF90" i="17"/>
  <c r="AF117" i="17"/>
  <c r="AF64" i="17"/>
  <c r="AF63" i="17"/>
  <c r="AF66" i="17" s="1"/>
  <c r="AF37" i="17"/>
  <c r="AF36" i="17"/>
  <c r="AF10" i="17"/>
  <c r="AF9" i="17"/>
  <c r="AG4" i="17"/>
  <c r="AF5" i="17"/>
  <c r="AD43" i="15"/>
  <c r="AD56" i="15" s="1"/>
  <c r="AD158" i="15"/>
  <c r="AD176" i="15" s="1"/>
  <c r="AD158" i="16"/>
  <c r="AD176" i="16" s="1"/>
  <c r="AE136" i="15" l="1"/>
  <c r="AE123" i="15"/>
  <c r="AE20" i="16"/>
  <c r="AE96" i="16"/>
  <c r="AE124" i="17"/>
  <c r="AF92" i="17"/>
  <c r="AF93" i="17" s="1"/>
  <c r="AD110" i="16"/>
  <c r="AC177" i="16"/>
  <c r="AF119" i="17"/>
  <c r="AF120" i="17" s="1"/>
  <c r="AF136" i="17" s="1"/>
  <c r="AE16" i="16"/>
  <c r="AE41" i="17"/>
  <c r="AD175" i="16"/>
  <c r="AE174" i="15"/>
  <c r="AE28" i="16"/>
  <c r="AE16" i="17"/>
  <c r="AE97" i="17"/>
  <c r="AE56" i="15"/>
  <c r="AF157" i="16"/>
  <c r="AF156" i="16"/>
  <c r="AF155" i="16"/>
  <c r="AF154" i="16"/>
  <c r="AF152" i="16"/>
  <c r="AF151" i="16"/>
  <c r="AF127" i="16"/>
  <c r="AF125" i="16"/>
  <c r="AF150" i="16"/>
  <c r="AF104" i="16"/>
  <c r="AF122" i="16"/>
  <c r="AF121" i="16"/>
  <c r="AF149" i="16"/>
  <c r="AF131" i="16"/>
  <c r="AF82" i="16"/>
  <c r="AF73" i="16"/>
  <c r="AF129" i="16"/>
  <c r="AF72" i="16"/>
  <c r="AF102" i="16"/>
  <c r="AF100" i="16"/>
  <c r="AF98" i="16"/>
  <c r="AF77" i="16"/>
  <c r="AF68" i="16"/>
  <c r="AF75" i="16"/>
  <c r="AF67" i="16"/>
  <c r="AF48" i="16"/>
  <c r="AF46" i="16"/>
  <c r="AF76" i="16"/>
  <c r="AF71" i="16"/>
  <c r="AF94" i="16"/>
  <c r="AF44" i="16"/>
  <c r="AF14" i="16"/>
  <c r="AF13" i="16"/>
  <c r="AF45" i="16"/>
  <c r="AF42" i="16"/>
  <c r="AF23" i="16"/>
  <c r="AF40" i="16"/>
  <c r="AF21" i="16"/>
  <c r="AF19" i="16"/>
  <c r="AF50" i="16"/>
  <c r="AF70" i="16"/>
  <c r="AF69" i="16"/>
  <c r="AF17" i="16"/>
  <c r="AF92" i="16"/>
  <c r="AF93" i="16" s="1"/>
  <c r="AF99" i="16" s="1"/>
  <c r="AE22" i="16"/>
  <c r="AE110" i="16"/>
  <c r="AE83" i="17"/>
  <c r="AE103" i="17"/>
  <c r="Y178" i="17"/>
  <c r="X179" i="17"/>
  <c r="AD175" i="15"/>
  <c r="AF157" i="15"/>
  <c r="AF156" i="15"/>
  <c r="AF155" i="15"/>
  <c r="AF154" i="15"/>
  <c r="AF152" i="15"/>
  <c r="AF151" i="15"/>
  <c r="AF150" i="15"/>
  <c r="AF125" i="15"/>
  <c r="AF124" i="15"/>
  <c r="AF123" i="15"/>
  <c r="AF122" i="15"/>
  <c r="AF121" i="15"/>
  <c r="AF149" i="15"/>
  <c r="AF131" i="15"/>
  <c r="AF129" i="15"/>
  <c r="AF98" i="15"/>
  <c r="AF77" i="15"/>
  <c r="AF76" i="15"/>
  <c r="AF104" i="15"/>
  <c r="AF94" i="15"/>
  <c r="AF75" i="15"/>
  <c r="AF127" i="15"/>
  <c r="AF82" i="15"/>
  <c r="AF73" i="15"/>
  <c r="AF102" i="15"/>
  <c r="AF71" i="15"/>
  <c r="AF69" i="15"/>
  <c r="AF50" i="15"/>
  <c r="AF68" i="15"/>
  <c r="AF49" i="15"/>
  <c r="AF67" i="15"/>
  <c r="AF48" i="15"/>
  <c r="AF70" i="15"/>
  <c r="AF55" i="15"/>
  <c r="AF47" i="15"/>
  <c r="AF72" i="15"/>
  <c r="AF46" i="15"/>
  <c r="AF45" i="15"/>
  <c r="AF100" i="15"/>
  <c r="AF44" i="15"/>
  <c r="AF43" i="15"/>
  <c r="AF42" i="15"/>
  <c r="AF16" i="15"/>
  <c r="AF40" i="15"/>
  <c r="AF56" i="15" s="1"/>
  <c r="AF14" i="15"/>
  <c r="AF41" i="15"/>
  <c r="AF13" i="15"/>
  <c r="AF21" i="15"/>
  <c r="AF23" i="15"/>
  <c r="AF19" i="15"/>
  <c r="AF17" i="15"/>
  <c r="AF38" i="17"/>
  <c r="AF39" i="17" s="1"/>
  <c r="AF45" i="17" s="1"/>
  <c r="AG118" i="15"/>
  <c r="AG119" i="15" s="1"/>
  <c r="AG120" i="15" s="1"/>
  <c r="AG117" i="15"/>
  <c r="AG91" i="15"/>
  <c r="AG90" i="15"/>
  <c r="AG37" i="15"/>
  <c r="AG36" i="15"/>
  <c r="AG64" i="15"/>
  <c r="AG63" i="15"/>
  <c r="AG66" i="15" s="1"/>
  <c r="AG10" i="15"/>
  <c r="AG9" i="15"/>
  <c r="AH4" i="15"/>
  <c r="AG5" i="15"/>
  <c r="AE29" i="15"/>
  <c r="AF38" i="16"/>
  <c r="AF39" i="16" s="1"/>
  <c r="AF49" i="16" s="1"/>
  <c r="AE41" i="16"/>
  <c r="AE56" i="16" s="1"/>
  <c r="AE144" i="17"/>
  <c r="AE153" i="17" s="1"/>
  <c r="AE158" i="17" s="1"/>
  <c r="AE176" i="17" s="1"/>
  <c r="AE55" i="17"/>
  <c r="AF11" i="17"/>
  <c r="AF12" i="17" s="1"/>
  <c r="AF18" i="17" s="1"/>
  <c r="AG118" i="16"/>
  <c r="AG117" i="16"/>
  <c r="AG91" i="16"/>
  <c r="AG90" i="16"/>
  <c r="AG64" i="16"/>
  <c r="AG63" i="16"/>
  <c r="AG66" i="16" s="1"/>
  <c r="AG37" i="16"/>
  <c r="AG38" i="16" s="1"/>
  <c r="AG39" i="16" s="1"/>
  <c r="AG36" i="16"/>
  <c r="AG10" i="16"/>
  <c r="AG11" i="16" s="1"/>
  <c r="AG12" i="16" s="1"/>
  <c r="AG9" i="16"/>
  <c r="AH4" i="16"/>
  <c r="AG5" i="16"/>
  <c r="AF119" i="16"/>
  <c r="AF120" i="16" s="1"/>
  <c r="AF126" i="16" s="1"/>
  <c r="AE43" i="16"/>
  <c r="AE28" i="17"/>
  <c r="AE43" i="17"/>
  <c r="AE123" i="17"/>
  <c r="AE137" i="17" s="1"/>
  <c r="AF11" i="15"/>
  <c r="AF12" i="15" s="1"/>
  <c r="AF28" i="15" s="1"/>
  <c r="AD175" i="17"/>
  <c r="Y178" i="16"/>
  <c r="X179" i="16"/>
  <c r="AE42" i="16"/>
  <c r="AE47" i="16"/>
  <c r="AE109" i="17"/>
  <c r="AE15" i="17"/>
  <c r="AF65" i="17"/>
  <c r="AF119" i="15"/>
  <c r="AF120" i="15" s="1"/>
  <c r="AF126" i="15" s="1"/>
  <c r="AE124" i="15"/>
  <c r="AE137" i="15" s="1"/>
  <c r="AF11" i="16"/>
  <c r="AF12" i="16" s="1"/>
  <c r="AF16" i="16" s="1"/>
  <c r="AD174" i="16"/>
  <c r="AE18" i="16"/>
  <c r="AE45" i="16"/>
  <c r="AE55" i="16"/>
  <c r="AE137" i="16"/>
  <c r="AE42" i="17"/>
  <c r="AE101" i="17"/>
  <c r="AE136" i="17"/>
  <c r="AE20" i="17"/>
  <c r="AE45" i="17"/>
  <c r="AE126" i="17"/>
  <c r="AE158" i="15"/>
  <c r="AE176" i="15" s="1"/>
  <c r="AE95" i="17"/>
  <c r="AF92" i="15"/>
  <c r="AF93" i="15" s="1"/>
  <c r="AF95" i="15" s="1"/>
  <c r="AE83" i="15"/>
  <c r="AD177" i="17"/>
  <c r="AE83" i="16"/>
  <c r="AE96" i="17"/>
  <c r="AF155" i="17"/>
  <c r="AF151" i="17"/>
  <c r="AF149" i="17"/>
  <c r="AF154" i="17"/>
  <c r="AF150" i="17"/>
  <c r="AF157" i="17"/>
  <c r="AF127" i="17"/>
  <c r="AF126" i="17"/>
  <c r="AF156" i="17"/>
  <c r="AF125" i="17"/>
  <c r="AF152" i="17"/>
  <c r="AF122" i="17"/>
  <c r="AF121" i="17"/>
  <c r="AF129" i="17"/>
  <c r="AF99" i="17"/>
  <c r="AF98" i="17"/>
  <c r="AF131" i="17"/>
  <c r="AF102" i="17"/>
  <c r="AF101" i="17"/>
  <c r="AF109" i="17"/>
  <c r="AF100" i="17"/>
  <c r="AF104" i="17"/>
  <c r="AF103" i="17"/>
  <c r="AF97" i="17"/>
  <c r="AF95" i="17"/>
  <c r="AF94" i="17"/>
  <c r="AF77" i="17"/>
  <c r="AF76" i="17"/>
  <c r="AF75" i="17"/>
  <c r="AF74" i="17"/>
  <c r="AF73" i="17"/>
  <c r="AF72" i="17"/>
  <c r="AF96" i="17"/>
  <c r="AF82" i="17"/>
  <c r="AF71" i="17"/>
  <c r="AF67" i="17"/>
  <c r="AF68" i="17"/>
  <c r="AF50" i="17"/>
  <c r="AF49" i="17"/>
  <c r="AF46" i="17"/>
  <c r="AF48" i="17"/>
  <c r="AF44" i="17"/>
  <c r="AF13" i="17"/>
  <c r="AF40" i="17"/>
  <c r="AF23" i="17"/>
  <c r="AF21" i="17"/>
  <c r="AF19" i="17"/>
  <c r="AF70" i="17"/>
  <c r="AF69" i="17"/>
  <c r="AF14" i="17"/>
  <c r="AF17" i="17"/>
  <c r="AF16" i="17"/>
  <c r="AE15" i="16"/>
  <c r="AE47" i="17"/>
  <c r="AE128" i="17"/>
  <c r="AE110" i="15"/>
  <c r="AE158" i="16"/>
  <c r="AE176" i="16" s="1"/>
  <c r="AD174" i="15"/>
  <c r="AD177" i="15" s="1"/>
  <c r="Z178" i="15"/>
  <c r="Y179" i="15"/>
  <c r="AF65" i="15"/>
  <c r="AF74" i="15" s="1"/>
  <c r="AG118" i="17"/>
  <c r="AG117" i="17"/>
  <c r="AG90" i="17"/>
  <c r="AG37" i="17"/>
  <c r="AG36" i="17"/>
  <c r="AG64" i="17"/>
  <c r="AG63" i="17"/>
  <c r="AG66" i="17" s="1"/>
  <c r="AG91" i="17"/>
  <c r="AG10" i="17"/>
  <c r="AG9" i="17"/>
  <c r="AH4" i="17"/>
  <c r="AG5" i="17"/>
  <c r="AC177" i="17"/>
  <c r="AF65" i="16"/>
  <c r="AF74" i="16" s="1"/>
  <c r="AE22" i="17"/>
  <c r="AF15" i="15" l="1"/>
  <c r="AF47" i="16"/>
  <c r="AE56" i="17"/>
  <c r="AF130" i="17"/>
  <c r="AF18" i="15"/>
  <c r="AF96" i="15"/>
  <c r="AF109" i="16"/>
  <c r="AF124" i="17"/>
  <c r="AF128" i="17"/>
  <c r="AF103" i="16"/>
  <c r="AF123" i="17"/>
  <c r="AF137" i="17" s="1"/>
  <c r="AE29" i="17"/>
  <c r="AE175" i="17" s="1"/>
  <c r="AG119" i="16"/>
  <c r="AG120" i="16" s="1"/>
  <c r="AF28" i="16"/>
  <c r="AF97" i="16"/>
  <c r="AE110" i="17"/>
  <c r="AF101" i="16"/>
  <c r="AD177" i="16"/>
  <c r="AG65" i="16"/>
  <c r="AF47" i="17"/>
  <c r="AE29" i="16"/>
  <c r="AE175" i="16" s="1"/>
  <c r="AE174" i="16"/>
  <c r="AE177" i="16" s="1"/>
  <c r="AG65" i="15"/>
  <c r="AG74" i="15" s="1"/>
  <c r="AF110" i="17"/>
  <c r="AF97" i="15"/>
  <c r="AF55" i="16"/>
  <c r="AF136" i="16"/>
  <c r="AE174" i="17"/>
  <c r="AF83" i="15"/>
  <c r="AE177" i="15"/>
  <c r="AF22" i="17"/>
  <c r="AF83" i="17"/>
  <c r="AG38" i="15"/>
  <c r="AG39" i="15" s="1"/>
  <c r="AG49" i="15" s="1"/>
  <c r="AF128" i="15"/>
  <c r="AF137" i="15" s="1"/>
  <c r="AF20" i="16"/>
  <c r="AF15" i="16"/>
  <c r="AF83" i="16"/>
  <c r="AF136" i="15"/>
  <c r="AF15" i="17"/>
  <c r="AF29" i="17" s="1"/>
  <c r="AA178" i="15"/>
  <c r="Z179" i="15"/>
  <c r="AF42" i="17"/>
  <c r="AG157" i="16"/>
  <c r="AG156" i="16"/>
  <c r="AG155" i="16"/>
  <c r="AG154" i="16"/>
  <c r="AG152" i="16"/>
  <c r="AG151" i="16"/>
  <c r="AG126" i="16"/>
  <c r="AG125" i="16"/>
  <c r="AG124" i="16"/>
  <c r="AG150" i="16"/>
  <c r="AG123" i="16"/>
  <c r="AG104" i="16"/>
  <c r="AG122" i="16"/>
  <c r="AG103" i="16"/>
  <c r="AG121" i="16"/>
  <c r="AG137" i="16" s="1"/>
  <c r="AG149" i="16"/>
  <c r="AG131" i="16"/>
  <c r="AG130" i="16"/>
  <c r="AG129" i="16"/>
  <c r="AG128" i="16"/>
  <c r="AG73" i="16"/>
  <c r="AG72" i="16"/>
  <c r="AG102" i="16"/>
  <c r="AG71" i="16"/>
  <c r="AG136" i="16"/>
  <c r="AG101" i="16"/>
  <c r="AG100" i="16"/>
  <c r="AG98" i="16"/>
  <c r="AG76" i="16"/>
  <c r="AG75" i="16"/>
  <c r="AG67" i="16"/>
  <c r="AG48" i="16"/>
  <c r="AG55" i="16"/>
  <c r="AG47" i="16"/>
  <c r="AG46" i="16"/>
  <c r="AG77" i="16"/>
  <c r="AG70" i="16"/>
  <c r="AG74" i="16"/>
  <c r="AG69" i="16"/>
  <c r="AG44" i="16"/>
  <c r="AG14" i="16"/>
  <c r="AG13" i="16"/>
  <c r="AG94" i="16"/>
  <c r="AG45" i="16"/>
  <c r="AG42" i="16"/>
  <c r="AG23" i="16"/>
  <c r="AG127" i="16"/>
  <c r="AG41" i="16"/>
  <c r="AG22" i="16"/>
  <c r="AG68" i="16"/>
  <c r="AG40" i="16"/>
  <c r="AG21" i="16"/>
  <c r="AG82" i="16"/>
  <c r="AG50" i="16"/>
  <c r="AG28" i="16"/>
  <c r="AG20" i="16"/>
  <c r="AG49" i="16"/>
  <c r="AG18" i="16"/>
  <c r="AG19" i="16"/>
  <c r="AG17" i="16"/>
  <c r="AG16" i="16"/>
  <c r="AG15" i="16"/>
  <c r="AG43" i="16"/>
  <c r="AE175" i="15"/>
  <c r="AF20" i="15"/>
  <c r="AF103" i="15"/>
  <c r="AF43" i="16"/>
  <c r="AF123" i="16"/>
  <c r="AG38" i="17"/>
  <c r="AG39" i="17" s="1"/>
  <c r="AG45" i="17" s="1"/>
  <c r="AG155" i="17"/>
  <c r="AG151" i="17"/>
  <c r="AG131" i="17"/>
  <c r="AG149" i="17"/>
  <c r="AG154" i="17"/>
  <c r="AG150" i="17"/>
  <c r="AG157" i="17"/>
  <c r="AG127" i="17"/>
  <c r="AG156" i="17"/>
  <c r="AG125" i="17"/>
  <c r="AG152" i="17"/>
  <c r="AG122" i="17"/>
  <c r="AG121" i="17"/>
  <c r="AG129" i="17"/>
  <c r="AG98" i="17"/>
  <c r="AG130" i="17"/>
  <c r="AG104" i="17"/>
  <c r="AG100" i="17"/>
  <c r="AG94" i="17"/>
  <c r="AG76" i="17"/>
  <c r="AG75" i="17"/>
  <c r="AG73" i="17"/>
  <c r="AG72" i="17"/>
  <c r="AG71" i="17"/>
  <c r="AG82" i="17"/>
  <c r="AG102" i="17"/>
  <c r="AG77" i="17"/>
  <c r="AG67" i="17"/>
  <c r="AG68" i="17"/>
  <c r="AG70" i="17"/>
  <c r="AG50" i="17"/>
  <c r="AG46" i="17"/>
  <c r="AG48" i="17"/>
  <c r="AG44" i="17"/>
  <c r="AG40" i="17"/>
  <c r="AG23" i="17"/>
  <c r="AG21" i="17"/>
  <c r="AG20" i="17"/>
  <c r="AG19" i="17"/>
  <c r="AG17" i="17"/>
  <c r="AG69" i="17"/>
  <c r="AG14" i="17"/>
  <c r="AG13" i="17"/>
  <c r="AF43" i="17"/>
  <c r="AF158" i="17"/>
  <c r="AF176" i="17" s="1"/>
  <c r="Z178" i="16"/>
  <c r="Y179" i="16"/>
  <c r="AH118" i="16"/>
  <c r="AH117" i="16"/>
  <c r="AH91" i="16"/>
  <c r="AH90" i="16"/>
  <c r="AH64" i="16"/>
  <c r="AH63" i="16"/>
  <c r="AH66" i="16" s="1"/>
  <c r="AH10" i="16"/>
  <c r="AH9" i="16"/>
  <c r="AI4" i="16"/>
  <c r="AH5" i="16"/>
  <c r="AH37" i="16"/>
  <c r="AH36" i="16"/>
  <c r="AG92" i="16"/>
  <c r="AG93" i="16" s="1"/>
  <c r="AG109" i="16" s="1"/>
  <c r="AG157" i="15"/>
  <c r="AG156" i="15"/>
  <c r="AG155" i="15"/>
  <c r="AG154" i="15"/>
  <c r="AG152" i="15"/>
  <c r="AG151" i="15"/>
  <c r="AG150" i="15"/>
  <c r="AG149" i="15"/>
  <c r="AG124" i="15"/>
  <c r="AG123" i="15"/>
  <c r="AG104" i="15"/>
  <c r="AG122" i="15"/>
  <c r="AG121" i="15"/>
  <c r="AG131" i="15"/>
  <c r="AG130" i="15"/>
  <c r="AG129" i="15"/>
  <c r="AG136" i="15"/>
  <c r="AG128" i="15"/>
  <c r="AG127" i="15"/>
  <c r="AG77" i="15"/>
  <c r="AG125" i="15"/>
  <c r="AG76" i="15"/>
  <c r="AG126" i="15"/>
  <c r="AG94" i="15"/>
  <c r="AG75" i="15"/>
  <c r="AG82" i="15"/>
  <c r="AG73" i="15"/>
  <c r="AG72" i="15"/>
  <c r="AG102" i="15"/>
  <c r="AG100" i="15"/>
  <c r="AG69" i="15"/>
  <c r="AG50" i="15"/>
  <c r="AG71" i="15"/>
  <c r="AG68" i="15"/>
  <c r="AG67" i="15"/>
  <c r="AG48" i="15"/>
  <c r="AG70" i="15"/>
  <c r="AG98" i="15"/>
  <c r="AG46" i="15"/>
  <c r="AG44" i="15"/>
  <c r="AG43" i="15"/>
  <c r="AG40" i="15"/>
  <c r="AG14" i="15"/>
  <c r="AG13" i="15"/>
  <c r="AG21" i="15"/>
  <c r="AG23" i="15"/>
  <c r="AG19" i="15"/>
  <c r="AG17" i="15"/>
  <c r="AG92" i="15"/>
  <c r="AG93" i="15" s="1"/>
  <c r="AG97" i="15" s="1"/>
  <c r="AF130" i="15"/>
  <c r="AF128" i="16"/>
  <c r="AF144" i="17"/>
  <c r="AF153" i="17" s="1"/>
  <c r="Z178" i="17"/>
  <c r="Y179" i="17"/>
  <c r="AH118" i="17"/>
  <c r="AH117" i="17"/>
  <c r="AH90" i="17"/>
  <c r="AH91" i="17"/>
  <c r="AH64" i="17"/>
  <c r="AH63" i="17"/>
  <c r="AH66" i="17" s="1"/>
  <c r="AH36" i="17"/>
  <c r="AH10" i="17"/>
  <c r="AH9" i="17"/>
  <c r="AI4" i="17"/>
  <c r="AH37" i="17"/>
  <c r="AH5" i="17"/>
  <c r="AF28" i="17"/>
  <c r="AF144" i="16"/>
  <c r="AF153" i="16" s="1"/>
  <c r="AF158" i="16" s="1"/>
  <c r="AF176" i="16" s="1"/>
  <c r="AH118" i="15"/>
  <c r="AH117" i="15"/>
  <c r="AH91" i="15"/>
  <c r="AH90" i="15"/>
  <c r="AH37" i="15"/>
  <c r="AH36" i="15"/>
  <c r="AH64" i="15"/>
  <c r="AH63" i="15"/>
  <c r="AH66" i="15" s="1"/>
  <c r="AH10" i="15"/>
  <c r="AH9" i="15"/>
  <c r="AI4" i="15"/>
  <c r="AH5" i="15"/>
  <c r="AF22" i="15"/>
  <c r="AF99" i="15"/>
  <c r="AF124" i="16"/>
  <c r="AG144" i="16"/>
  <c r="AG153" i="16" s="1"/>
  <c r="AF29" i="15"/>
  <c r="AF158" i="15"/>
  <c r="AF176" i="15" s="1"/>
  <c r="AF22" i="16"/>
  <c r="AF96" i="16"/>
  <c r="AG65" i="17"/>
  <c r="AG74" i="17" s="1"/>
  <c r="AF55" i="17"/>
  <c r="AG11" i="17"/>
  <c r="AG12" i="17" s="1"/>
  <c r="AG15" i="17" s="1"/>
  <c r="AG119" i="17"/>
  <c r="AG120" i="17" s="1"/>
  <c r="AG124" i="17" s="1"/>
  <c r="AF144" i="15"/>
  <c r="AF153" i="15" s="1"/>
  <c r="AG11" i="15"/>
  <c r="AG12" i="15" s="1"/>
  <c r="AF101" i="15"/>
  <c r="AF110" i="15" s="1"/>
  <c r="AF41" i="16"/>
  <c r="AF56" i="16" s="1"/>
  <c r="AF95" i="16"/>
  <c r="AF110" i="16" s="1"/>
  <c r="AF130" i="16"/>
  <c r="AF41" i="17"/>
  <c r="AF56" i="17" s="1"/>
  <c r="AG92" i="17"/>
  <c r="AG93" i="17" s="1"/>
  <c r="AG109" i="17" s="1"/>
  <c r="AF20" i="17"/>
  <c r="AF109" i="15"/>
  <c r="AF18" i="16"/>
  <c r="AG99" i="15" l="1"/>
  <c r="AG45" i="15"/>
  <c r="AG144" i="15"/>
  <c r="AG153" i="15" s="1"/>
  <c r="AG95" i="15"/>
  <c r="AG20" i="15"/>
  <c r="AG101" i="17"/>
  <c r="AG47" i="15"/>
  <c r="AG101" i="15"/>
  <c r="AG55" i="15"/>
  <c r="AG96" i="15"/>
  <c r="AF137" i="16"/>
  <c r="AF175" i="16" s="1"/>
  <c r="AE177" i="17"/>
  <c r="AG109" i="15"/>
  <c r="AG126" i="17"/>
  <c r="AH38" i="17"/>
  <c r="AH39" i="17" s="1"/>
  <c r="AH49" i="17" s="1"/>
  <c r="AG41" i="15"/>
  <c r="AF29" i="16"/>
  <c r="AG103" i="15"/>
  <c r="AH11" i="15"/>
  <c r="AH12" i="15" s="1"/>
  <c r="AG42" i="15"/>
  <c r="AG22" i="15"/>
  <c r="AG137" i="15"/>
  <c r="AG22" i="17"/>
  <c r="AG97" i="17"/>
  <c r="AG96" i="16"/>
  <c r="AH65" i="17"/>
  <c r="AH74" i="17" s="1"/>
  <c r="AG28" i="15"/>
  <c r="AH65" i="16"/>
  <c r="AG16" i="17"/>
  <c r="AG55" i="17"/>
  <c r="AG123" i="17"/>
  <c r="AG174" i="16"/>
  <c r="AH119" i="15"/>
  <c r="AH120" i="15" s="1"/>
  <c r="AH136" i="15" s="1"/>
  <c r="AG29" i="16"/>
  <c r="AG83" i="16"/>
  <c r="AG41" i="17"/>
  <c r="AG49" i="17"/>
  <c r="AH38" i="15"/>
  <c r="AH39" i="15" s="1"/>
  <c r="AH55" i="15" s="1"/>
  <c r="AH157" i="17"/>
  <c r="AH155" i="17"/>
  <c r="AH151" i="17"/>
  <c r="AH149" i="17"/>
  <c r="AH154" i="17"/>
  <c r="AH150" i="17"/>
  <c r="AH156" i="17"/>
  <c r="AH152" i="17"/>
  <c r="AH125" i="17"/>
  <c r="AH122" i="17"/>
  <c r="AH121" i="17"/>
  <c r="AH127" i="17"/>
  <c r="AH104" i="17"/>
  <c r="AH131" i="17"/>
  <c r="AH100" i="17"/>
  <c r="AH98" i="17"/>
  <c r="AH94" i="17"/>
  <c r="AH75" i="17"/>
  <c r="AH129" i="17"/>
  <c r="AH73" i="17"/>
  <c r="AH72" i="17"/>
  <c r="AH71" i="17"/>
  <c r="AH70" i="17"/>
  <c r="AH82" i="17"/>
  <c r="AH77" i="17"/>
  <c r="AH67" i="17"/>
  <c r="AH68" i="17"/>
  <c r="AH76" i="17"/>
  <c r="AH69" i="17"/>
  <c r="AH46" i="17"/>
  <c r="AH45" i="17"/>
  <c r="AH48" i="17"/>
  <c r="AH44" i="17"/>
  <c r="AH43" i="17"/>
  <c r="AH102" i="17"/>
  <c r="AH42" i="17"/>
  <c r="AH47" i="17"/>
  <c r="AH41" i="17"/>
  <c r="AH40" i="17"/>
  <c r="AH23" i="17"/>
  <c r="AH21" i="17"/>
  <c r="AH19" i="17"/>
  <c r="AH55" i="17"/>
  <c r="AH50" i="17"/>
  <c r="AH17" i="17"/>
  <c r="AH13" i="17"/>
  <c r="AH14" i="17"/>
  <c r="AG56" i="15"/>
  <c r="AH92" i="16"/>
  <c r="AH93" i="16" s="1"/>
  <c r="AH109" i="16" s="1"/>
  <c r="AG47" i="17"/>
  <c r="AG83" i="17"/>
  <c r="AG136" i="17"/>
  <c r="AF175" i="15"/>
  <c r="AG144" i="17"/>
  <c r="AG153" i="17" s="1"/>
  <c r="AG16" i="15"/>
  <c r="AG15" i="15"/>
  <c r="AG158" i="15"/>
  <c r="AG176" i="15" s="1"/>
  <c r="AH38" i="16"/>
  <c r="AH39" i="16" s="1"/>
  <c r="AH49" i="16" s="1"/>
  <c r="AG42" i="17"/>
  <c r="AG95" i="17"/>
  <c r="AG110" i="17" s="1"/>
  <c r="AG56" i="16"/>
  <c r="AG95" i="16"/>
  <c r="AG110" i="16" s="1"/>
  <c r="AB178" i="15"/>
  <c r="AA179" i="15"/>
  <c r="AA178" i="17"/>
  <c r="Z179" i="17"/>
  <c r="AH92" i="17"/>
  <c r="AH93" i="17" s="1"/>
  <c r="AH99" i="17" s="1"/>
  <c r="AG83" i="15"/>
  <c r="AH157" i="16"/>
  <c r="AH156" i="16"/>
  <c r="AH155" i="16"/>
  <c r="AH154" i="16"/>
  <c r="AH152" i="16"/>
  <c r="AH151" i="16"/>
  <c r="AH150" i="16"/>
  <c r="AH125" i="16"/>
  <c r="AH104" i="16"/>
  <c r="AH122" i="16"/>
  <c r="AH121" i="16"/>
  <c r="AH149" i="16"/>
  <c r="AH131" i="16"/>
  <c r="AH129" i="16"/>
  <c r="AH128" i="16"/>
  <c r="AH72" i="16"/>
  <c r="AH102" i="16"/>
  <c r="AH71" i="16"/>
  <c r="AH70" i="16"/>
  <c r="AH100" i="16"/>
  <c r="AH98" i="16"/>
  <c r="AH77" i="16"/>
  <c r="AH94" i="16"/>
  <c r="AH75" i="16"/>
  <c r="AH47" i="16"/>
  <c r="AH76" i="16"/>
  <c r="AH82" i="16"/>
  <c r="AH74" i="16"/>
  <c r="AH69" i="16"/>
  <c r="AH50" i="16"/>
  <c r="AH127" i="16"/>
  <c r="AH68" i="16"/>
  <c r="AH13" i="16"/>
  <c r="AH23" i="16"/>
  <c r="AH67" i="16"/>
  <c r="AH40" i="16"/>
  <c r="AH21" i="16"/>
  <c r="AH73" i="16"/>
  <c r="AH46" i="16"/>
  <c r="AH19" i="16"/>
  <c r="AH14" i="16"/>
  <c r="AH48" i="16"/>
  <c r="AH17" i="16"/>
  <c r="AH44" i="16"/>
  <c r="AG43" i="17"/>
  <c r="AG99" i="17"/>
  <c r="AG128" i="17"/>
  <c r="AG137" i="17" s="1"/>
  <c r="AG158" i="17"/>
  <c r="AG176" i="17" s="1"/>
  <c r="AG97" i="16"/>
  <c r="AA178" i="16"/>
  <c r="Z179" i="16"/>
  <c r="AF175" i="17"/>
  <c r="AH65" i="15"/>
  <c r="AG18" i="15"/>
  <c r="AI118" i="16"/>
  <c r="AI117" i="16"/>
  <c r="AI64" i="16"/>
  <c r="AI63" i="16"/>
  <c r="AI66" i="16" s="1"/>
  <c r="AI91" i="16"/>
  <c r="AI90" i="16"/>
  <c r="AI37" i="16"/>
  <c r="AI36" i="16"/>
  <c r="AI10" i="16"/>
  <c r="AI9" i="16"/>
  <c r="AJ4" i="16"/>
  <c r="AI5" i="16"/>
  <c r="AH119" i="16"/>
  <c r="AH120" i="16" s="1"/>
  <c r="AH130" i="16" s="1"/>
  <c r="AG18" i="17"/>
  <c r="AG103" i="17"/>
  <c r="AH157" i="15"/>
  <c r="AH156" i="15"/>
  <c r="AH155" i="15"/>
  <c r="AH154" i="15"/>
  <c r="AH152" i="15"/>
  <c r="AH151" i="15"/>
  <c r="AH150" i="15"/>
  <c r="AH149" i="15"/>
  <c r="AH104" i="15"/>
  <c r="AH122" i="15"/>
  <c r="AH121" i="15"/>
  <c r="AH131" i="15"/>
  <c r="AH129" i="15"/>
  <c r="AH127" i="15"/>
  <c r="AH77" i="15"/>
  <c r="AH125" i="15"/>
  <c r="AH76" i="15"/>
  <c r="AH94" i="15"/>
  <c r="AH75" i="15"/>
  <c r="AH82" i="15"/>
  <c r="AH74" i="15"/>
  <c r="AH73" i="15"/>
  <c r="AH72" i="15"/>
  <c r="AH102" i="15"/>
  <c r="AH71" i="15"/>
  <c r="AH100" i="15"/>
  <c r="AH68" i="15"/>
  <c r="AH49" i="15"/>
  <c r="AH67" i="15"/>
  <c r="AH48" i="15"/>
  <c r="AH70" i="15"/>
  <c r="AH98" i="15"/>
  <c r="AH46" i="15"/>
  <c r="AH44" i="15"/>
  <c r="AH42" i="15"/>
  <c r="AH41" i="15"/>
  <c r="AH40" i="15"/>
  <c r="AH14" i="15"/>
  <c r="AH13" i="15"/>
  <c r="AH69" i="15"/>
  <c r="AH28" i="15"/>
  <c r="AH22" i="15"/>
  <c r="AH21" i="15"/>
  <c r="AH20" i="15"/>
  <c r="AH23" i="15"/>
  <c r="AH19" i="15"/>
  <c r="AH50" i="15"/>
  <c r="AH18" i="15"/>
  <c r="AH17" i="15"/>
  <c r="AH16" i="15"/>
  <c r="AH15" i="15"/>
  <c r="AH119" i="17"/>
  <c r="AH120" i="17" s="1"/>
  <c r="AH123" i="17" s="1"/>
  <c r="AI118" i="15"/>
  <c r="AI117" i="15"/>
  <c r="AI91" i="15"/>
  <c r="AI90" i="15"/>
  <c r="AI64" i="15"/>
  <c r="AI63" i="15"/>
  <c r="AI66" i="15" s="1"/>
  <c r="AI10" i="15"/>
  <c r="AI9" i="15"/>
  <c r="AJ4" i="15"/>
  <c r="AI5" i="15"/>
  <c r="AI37" i="15"/>
  <c r="AI36" i="15"/>
  <c r="AH11" i="17"/>
  <c r="AH12" i="17" s="1"/>
  <c r="AG28" i="17"/>
  <c r="AG96" i="17"/>
  <c r="AG99" i="16"/>
  <c r="AG158" i="16"/>
  <c r="AG176" i="16" s="1"/>
  <c r="AF174" i="16"/>
  <c r="AF174" i="17"/>
  <c r="AF177" i="17" s="1"/>
  <c r="AI118" i="17"/>
  <c r="AI117" i="17"/>
  <c r="AI91" i="17"/>
  <c r="AI90" i="17"/>
  <c r="AI64" i="17"/>
  <c r="AI63" i="17"/>
  <c r="AI66" i="17" s="1"/>
  <c r="AI10" i="17"/>
  <c r="AI9" i="17"/>
  <c r="AJ4" i="17"/>
  <c r="AI37" i="17"/>
  <c r="AI5" i="17"/>
  <c r="AI36" i="17"/>
  <c r="AH92" i="15"/>
  <c r="AH93" i="15" s="1"/>
  <c r="AH97" i="15" s="1"/>
  <c r="AG110" i="15"/>
  <c r="AH11" i="16"/>
  <c r="AH12" i="16" s="1"/>
  <c r="AH22" i="16" s="1"/>
  <c r="AF174" i="15"/>
  <c r="AF177" i="15" s="1"/>
  <c r="AI38" i="16" l="1"/>
  <c r="AI39" i="16" s="1"/>
  <c r="AI92" i="16"/>
  <c r="AI93" i="16" s="1"/>
  <c r="AH83" i="16"/>
  <c r="AH109" i="17"/>
  <c r="AH109" i="15"/>
  <c r="AH126" i="16"/>
  <c r="AH103" i="17"/>
  <c r="AI11" i="15"/>
  <c r="AI12" i="15" s="1"/>
  <c r="AI15" i="15" s="1"/>
  <c r="AH103" i="15"/>
  <c r="AG29" i="17"/>
  <c r="AH103" i="16"/>
  <c r="AG29" i="15"/>
  <c r="AG175" i="15" s="1"/>
  <c r="AH101" i="17"/>
  <c r="AH101" i="15"/>
  <c r="AH144" i="17"/>
  <c r="AH153" i="17" s="1"/>
  <c r="AI119" i="17"/>
  <c r="AI120" i="17" s="1"/>
  <c r="AF177" i="16"/>
  <c r="AH101" i="16"/>
  <c r="AH124" i="16"/>
  <c r="AH137" i="16" s="1"/>
  <c r="AH99" i="15"/>
  <c r="AH95" i="15"/>
  <c r="AH110" i="15" s="1"/>
  <c r="AH124" i="17"/>
  <c r="AG56" i="17"/>
  <c r="AG175" i="17"/>
  <c r="AH83" i="15"/>
  <c r="AH43" i="15"/>
  <c r="AI11" i="16"/>
  <c r="AI12" i="16" s="1"/>
  <c r="AI144" i="16" s="1"/>
  <c r="AI119" i="16"/>
  <c r="AI120" i="16" s="1"/>
  <c r="AH42" i="16"/>
  <c r="AH55" i="16"/>
  <c r="AH20" i="17"/>
  <c r="AH126" i="17"/>
  <c r="AH130" i="15"/>
  <c r="AH43" i="16"/>
  <c r="AH45" i="16"/>
  <c r="AJ118" i="17"/>
  <c r="AJ117" i="17"/>
  <c r="AJ91" i="17"/>
  <c r="AJ90" i="17"/>
  <c r="AJ64" i="17"/>
  <c r="AJ63" i="17"/>
  <c r="AJ66" i="17" s="1"/>
  <c r="AJ37" i="17"/>
  <c r="AJ10" i="17"/>
  <c r="AJ9" i="17"/>
  <c r="AK4" i="17"/>
  <c r="AJ5" i="17"/>
  <c r="AJ36" i="17"/>
  <c r="AJ118" i="16"/>
  <c r="AJ117" i="16"/>
  <c r="AJ64" i="16"/>
  <c r="AJ63" i="16"/>
  <c r="AJ66" i="16" s="1"/>
  <c r="AJ91" i="16"/>
  <c r="AJ90" i="16"/>
  <c r="AJ37" i="16"/>
  <c r="AJ36" i="16"/>
  <c r="AK4" i="16"/>
  <c r="AJ5" i="16"/>
  <c r="AJ9" i="16"/>
  <c r="AJ10" i="16"/>
  <c r="AH45" i="15"/>
  <c r="AH123" i="16"/>
  <c r="AH22" i="17"/>
  <c r="AH96" i="17"/>
  <c r="AI11" i="17"/>
  <c r="AI12" i="17" s="1"/>
  <c r="AI15" i="17" s="1"/>
  <c r="AH20" i="16"/>
  <c r="AH16" i="17"/>
  <c r="AH97" i="17"/>
  <c r="AG174" i="17"/>
  <c r="AI65" i="17"/>
  <c r="AI119" i="15"/>
  <c r="AI120" i="15" s="1"/>
  <c r="AI130" i="15" s="1"/>
  <c r="AH96" i="15"/>
  <c r="AH28" i="16"/>
  <c r="AH136" i="16"/>
  <c r="AB178" i="17"/>
  <c r="AA179" i="17"/>
  <c r="AH15" i="17"/>
  <c r="AH56" i="17"/>
  <c r="AH130" i="17"/>
  <c r="AI156" i="15"/>
  <c r="AI155" i="15"/>
  <c r="AI154" i="15"/>
  <c r="AI152" i="15"/>
  <c r="AI151" i="15"/>
  <c r="AI150" i="15"/>
  <c r="AI149" i="15"/>
  <c r="AI122" i="15"/>
  <c r="AI121" i="15"/>
  <c r="AI131" i="15"/>
  <c r="AI129" i="15"/>
  <c r="AI127" i="15"/>
  <c r="AI157" i="15"/>
  <c r="AI125" i="15"/>
  <c r="AI76" i="15"/>
  <c r="AI94" i="15"/>
  <c r="AI75" i="15"/>
  <c r="AI82" i="15"/>
  <c r="AI104" i="15"/>
  <c r="AI73" i="15"/>
  <c r="AI72" i="15"/>
  <c r="AI102" i="15"/>
  <c r="AI71" i="15"/>
  <c r="AI101" i="15"/>
  <c r="AI70" i="15"/>
  <c r="AI100" i="15"/>
  <c r="AI98" i="15"/>
  <c r="AI67" i="15"/>
  <c r="AI48" i="15"/>
  <c r="AI97" i="15"/>
  <c r="AI46" i="15"/>
  <c r="AI45" i="15"/>
  <c r="AI44" i="15"/>
  <c r="AI77" i="15"/>
  <c r="AI40" i="15"/>
  <c r="AI13" i="15"/>
  <c r="AI68" i="15"/>
  <c r="AI69" i="15"/>
  <c r="AI21" i="15"/>
  <c r="AI23" i="15"/>
  <c r="AI19" i="15"/>
  <c r="AI50" i="15"/>
  <c r="AI18" i="15"/>
  <c r="AI17" i="15"/>
  <c r="AI16" i="15"/>
  <c r="AI14" i="15"/>
  <c r="AH47" i="15"/>
  <c r="AH124" i="15"/>
  <c r="AH96" i="16"/>
  <c r="AH136" i="17"/>
  <c r="AH174" i="15"/>
  <c r="AH126" i="15"/>
  <c r="AH123" i="15"/>
  <c r="AH137" i="15" s="1"/>
  <c r="AH15" i="16"/>
  <c r="AH29" i="16" s="1"/>
  <c r="AH97" i="16"/>
  <c r="AC178" i="15"/>
  <c r="AB179" i="15"/>
  <c r="AH83" i="17"/>
  <c r="AH95" i="17"/>
  <c r="AI92" i="15"/>
  <c r="AI93" i="15" s="1"/>
  <c r="AI109" i="15" s="1"/>
  <c r="AH29" i="15"/>
  <c r="AH16" i="16"/>
  <c r="AH158" i="17"/>
  <c r="AH176" i="17" s="1"/>
  <c r="AG175" i="16"/>
  <c r="AG177" i="16" s="1"/>
  <c r="AG174" i="15"/>
  <c r="AJ118" i="15"/>
  <c r="AJ117" i="15"/>
  <c r="AJ91" i="15"/>
  <c r="AJ90" i="15"/>
  <c r="AJ64" i="15"/>
  <c r="AJ63" i="15"/>
  <c r="AJ66" i="15" s="1"/>
  <c r="AJ10" i="15"/>
  <c r="AJ9" i="15"/>
  <c r="AK4" i="15"/>
  <c r="AJ5" i="15"/>
  <c r="AJ37" i="15"/>
  <c r="AJ36" i="15"/>
  <c r="AI157" i="17"/>
  <c r="AI156" i="17"/>
  <c r="AI149" i="17"/>
  <c r="AI154" i="17"/>
  <c r="AI136" i="17"/>
  <c r="AI150" i="17"/>
  <c r="AI125" i="17"/>
  <c r="AI124" i="17"/>
  <c r="AI123" i="17"/>
  <c r="AI155" i="17"/>
  <c r="AI122" i="17"/>
  <c r="AI152" i="17"/>
  <c r="AI151" i="17"/>
  <c r="AI128" i="17"/>
  <c r="AI121" i="17"/>
  <c r="AI127" i="17"/>
  <c r="AI130" i="17"/>
  <c r="AI129" i="17"/>
  <c r="AI131" i="17"/>
  <c r="AI104" i="17"/>
  <c r="AI126" i="17"/>
  <c r="AI102" i="17"/>
  <c r="AI109" i="17"/>
  <c r="AI100" i="17"/>
  <c r="AI98" i="17"/>
  <c r="AI94" i="17"/>
  <c r="AI74" i="17"/>
  <c r="AI73" i="17"/>
  <c r="AI72" i="17"/>
  <c r="AI71" i="17"/>
  <c r="AI70" i="17"/>
  <c r="AI67" i="17"/>
  <c r="AI68" i="17"/>
  <c r="AI50" i="17"/>
  <c r="AI75" i="17"/>
  <c r="AI46" i="17"/>
  <c r="AI48" i="17"/>
  <c r="AI44" i="17"/>
  <c r="AI42" i="17"/>
  <c r="AI77" i="17"/>
  <c r="AI40" i="17"/>
  <c r="AI69" i="17"/>
  <c r="AI82" i="17"/>
  <c r="AI21" i="17"/>
  <c r="AI20" i="17"/>
  <c r="AI19" i="17"/>
  <c r="AI28" i="17"/>
  <c r="AI18" i="17"/>
  <c r="AI17" i="17"/>
  <c r="AI76" i="17"/>
  <c r="AI23" i="17"/>
  <c r="AI14" i="17"/>
  <c r="AI13" i="17"/>
  <c r="AI65" i="15"/>
  <c r="AI74" i="15" s="1"/>
  <c r="AH128" i="15"/>
  <c r="AI65" i="16"/>
  <c r="AI74" i="16" s="1"/>
  <c r="AH99" i="16"/>
  <c r="AH18" i="17"/>
  <c r="AH128" i="17"/>
  <c r="AH137" i="17" s="1"/>
  <c r="AH144" i="15"/>
  <c r="AH153" i="15" s="1"/>
  <c r="AH158" i="15" s="1"/>
  <c r="AH176" i="15" s="1"/>
  <c r="AI38" i="15"/>
  <c r="AI39" i="15" s="1"/>
  <c r="AI43" i="15" s="1"/>
  <c r="AH144" i="16"/>
  <c r="AH153" i="16" s="1"/>
  <c r="AH158" i="16" s="1"/>
  <c r="AH176" i="16" s="1"/>
  <c r="AI92" i="17"/>
  <c r="AI93" i="17" s="1"/>
  <c r="AI99" i="17" s="1"/>
  <c r="AI38" i="17"/>
  <c r="AI39" i="17" s="1"/>
  <c r="AI49" i="17" s="1"/>
  <c r="AI157" i="16"/>
  <c r="AI156" i="16"/>
  <c r="AI155" i="16"/>
  <c r="AI154" i="16"/>
  <c r="AI153" i="16"/>
  <c r="AI152" i="16"/>
  <c r="AI151" i="16"/>
  <c r="AI150" i="16"/>
  <c r="AI149" i="16"/>
  <c r="AI124" i="16"/>
  <c r="AI123" i="16"/>
  <c r="AI104" i="16"/>
  <c r="AI122" i="16"/>
  <c r="AI121" i="16"/>
  <c r="AI102" i="16"/>
  <c r="AI109" i="16"/>
  <c r="AI131" i="16"/>
  <c r="AI130" i="16"/>
  <c r="AI129" i="16"/>
  <c r="AI136" i="16"/>
  <c r="AI128" i="16"/>
  <c r="AI127" i="16"/>
  <c r="AI71" i="16"/>
  <c r="AI101" i="16"/>
  <c r="AI70" i="16"/>
  <c r="AI100" i="16"/>
  <c r="AI99" i="16"/>
  <c r="AI98" i="16"/>
  <c r="AI97" i="16"/>
  <c r="AI96" i="16"/>
  <c r="AI77" i="16"/>
  <c r="AI125" i="16"/>
  <c r="AI95" i="16"/>
  <c r="AI76" i="16"/>
  <c r="AI82" i="16"/>
  <c r="AI126" i="16"/>
  <c r="AI46" i="16"/>
  <c r="AI94" i="16"/>
  <c r="AI72" i="16"/>
  <c r="AI68" i="16"/>
  <c r="AI73" i="16"/>
  <c r="AI67" i="16"/>
  <c r="AI45" i="16"/>
  <c r="AI42" i="16"/>
  <c r="AI23" i="16"/>
  <c r="AI41" i="16"/>
  <c r="AI22" i="16"/>
  <c r="AI40" i="16"/>
  <c r="AI21" i="16"/>
  <c r="AI28" i="16"/>
  <c r="AI20" i="16"/>
  <c r="AI103" i="16"/>
  <c r="AI55" i="16"/>
  <c r="AI50" i="16"/>
  <c r="AI43" i="16"/>
  <c r="AI19" i="16"/>
  <c r="AI69" i="16"/>
  <c r="AI49" i="16"/>
  <c r="AI18" i="16"/>
  <c r="AI48" i="16"/>
  <c r="AI75" i="16"/>
  <c r="AI47" i="16"/>
  <c r="AI14" i="16"/>
  <c r="AI17" i="16"/>
  <c r="AI16" i="16"/>
  <c r="AI15" i="16"/>
  <c r="AI44" i="16"/>
  <c r="AI13" i="16"/>
  <c r="AB178" i="16"/>
  <c r="AA179" i="16"/>
  <c r="AH18" i="16"/>
  <c r="AH41" i="16"/>
  <c r="AH95" i="16"/>
  <c r="AH28" i="17"/>
  <c r="AJ38" i="15" l="1"/>
  <c r="AJ39" i="15" s="1"/>
  <c r="AI124" i="15"/>
  <c r="AI136" i="15"/>
  <c r="AH110" i="16"/>
  <c r="AI126" i="15"/>
  <c r="AG177" i="15"/>
  <c r="AG177" i="17"/>
  <c r="AH29" i="17"/>
  <c r="AI22" i="17"/>
  <c r="AI29" i="17" s="1"/>
  <c r="AI20" i="15"/>
  <c r="AI29" i="15" s="1"/>
  <c r="AI16" i="17"/>
  <c r="AH110" i="17"/>
  <c r="AI22" i="15"/>
  <c r="AH56" i="16"/>
  <c r="AH175" i="16" s="1"/>
  <c r="AJ38" i="17"/>
  <c r="AJ39" i="17" s="1"/>
  <c r="AI28" i="15"/>
  <c r="AH56" i="15"/>
  <c r="AI47" i="17"/>
  <c r="AI95" i="15"/>
  <c r="AI55" i="17"/>
  <c r="AI174" i="17" s="1"/>
  <c r="AI43" i="17"/>
  <c r="AI144" i="15"/>
  <c r="AI153" i="15" s="1"/>
  <c r="AI158" i="15" s="1"/>
  <c r="AI176" i="15" s="1"/>
  <c r="AI47" i="15"/>
  <c r="AI144" i="17"/>
  <c r="AI153" i="17" s="1"/>
  <c r="AJ65" i="16"/>
  <c r="AI103" i="17"/>
  <c r="AJ92" i="15"/>
  <c r="AJ93" i="15" s="1"/>
  <c r="AJ96" i="15" s="1"/>
  <c r="AI55" i="15"/>
  <c r="AC178" i="17"/>
  <c r="AB179" i="17"/>
  <c r="AJ11" i="16"/>
  <c r="AJ12" i="16" s="1"/>
  <c r="AD178" i="15"/>
  <c r="AC179" i="15"/>
  <c r="AI158" i="16"/>
  <c r="AI176" i="16" s="1"/>
  <c r="AI45" i="17"/>
  <c r="AI101" i="17"/>
  <c r="AI96" i="17"/>
  <c r="AJ155" i="15"/>
  <c r="AJ154" i="15"/>
  <c r="AJ152" i="15"/>
  <c r="AJ151" i="15"/>
  <c r="AJ150" i="15"/>
  <c r="AJ149" i="15"/>
  <c r="AJ121" i="15"/>
  <c r="AJ131" i="15"/>
  <c r="AJ129" i="15"/>
  <c r="AJ127" i="15"/>
  <c r="AJ156" i="15"/>
  <c r="AJ157" i="15"/>
  <c r="AJ125" i="15"/>
  <c r="AJ94" i="15"/>
  <c r="AJ75" i="15"/>
  <c r="AJ82" i="15"/>
  <c r="AJ104" i="15"/>
  <c r="AJ73" i="15"/>
  <c r="AJ72" i="15"/>
  <c r="AJ102" i="15"/>
  <c r="AJ71" i="15"/>
  <c r="AJ100" i="15"/>
  <c r="AJ99" i="15"/>
  <c r="AJ122" i="15"/>
  <c r="AJ103" i="15"/>
  <c r="AJ98" i="15"/>
  <c r="AJ97" i="15"/>
  <c r="AJ55" i="15"/>
  <c r="AJ47" i="15"/>
  <c r="AJ70" i="15"/>
  <c r="AJ46" i="15"/>
  <c r="AJ45" i="15"/>
  <c r="AJ44" i="15"/>
  <c r="AJ76" i="15"/>
  <c r="AJ43" i="15"/>
  <c r="AJ77" i="15"/>
  <c r="AJ42" i="15"/>
  <c r="AJ41" i="15"/>
  <c r="AJ40" i="15"/>
  <c r="AJ56" i="15" s="1"/>
  <c r="AJ69" i="15"/>
  <c r="AJ50" i="15"/>
  <c r="AJ67" i="15"/>
  <c r="AJ68" i="15"/>
  <c r="AJ21" i="15"/>
  <c r="AJ48" i="15"/>
  <c r="AJ49" i="15"/>
  <c r="AJ23" i="15"/>
  <c r="AJ19" i="15"/>
  <c r="AJ17" i="15"/>
  <c r="AJ14" i="15"/>
  <c r="AJ13" i="15"/>
  <c r="AH175" i="15"/>
  <c r="AH177" i="15" s="1"/>
  <c r="AH174" i="16"/>
  <c r="AJ156" i="16"/>
  <c r="AJ155" i="16"/>
  <c r="AJ154" i="16"/>
  <c r="AJ152" i="16"/>
  <c r="AJ151" i="16"/>
  <c r="AJ150" i="16"/>
  <c r="AJ149" i="16"/>
  <c r="AJ104" i="16"/>
  <c r="AJ122" i="16"/>
  <c r="AJ121" i="16"/>
  <c r="AJ131" i="16"/>
  <c r="AJ157" i="16"/>
  <c r="AJ129" i="16"/>
  <c r="AJ127" i="16"/>
  <c r="AJ102" i="16"/>
  <c r="AJ70" i="16"/>
  <c r="AJ100" i="16"/>
  <c r="AJ98" i="16"/>
  <c r="AJ125" i="16"/>
  <c r="AJ76" i="16"/>
  <c r="AJ94" i="16"/>
  <c r="AJ75" i="16"/>
  <c r="AJ73" i="16"/>
  <c r="AJ82" i="16"/>
  <c r="AJ77" i="16"/>
  <c r="AJ72" i="16"/>
  <c r="AJ71" i="16"/>
  <c r="AJ69" i="16"/>
  <c r="AJ67" i="16"/>
  <c r="AJ74" i="16"/>
  <c r="AJ42" i="16"/>
  <c r="AJ23" i="16"/>
  <c r="AJ22" i="16"/>
  <c r="AJ40" i="16"/>
  <c r="AJ21" i="16"/>
  <c r="AJ28" i="16"/>
  <c r="AJ20" i="16"/>
  <c r="AJ68" i="16"/>
  <c r="AJ50" i="16"/>
  <c r="AJ19" i="16"/>
  <c r="AJ46" i="16"/>
  <c r="AJ18" i="16"/>
  <c r="AJ44" i="16"/>
  <c r="AJ14" i="16"/>
  <c r="AJ48" i="16"/>
  <c r="AJ17" i="16"/>
  <c r="AJ16" i="16"/>
  <c r="AJ15" i="16"/>
  <c r="AJ13" i="16"/>
  <c r="AJ119" i="16"/>
  <c r="AJ120" i="16" s="1"/>
  <c r="AJ130" i="16" s="1"/>
  <c r="AJ65" i="17"/>
  <c r="AJ74" i="17" s="1"/>
  <c r="AJ11" i="17"/>
  <c r="AJ12" i="17" s="1"/>
  <c r="AI83" i="16"/>
  <c r="AI97" i="17"/>
  <c r="AK118" i="15"/>
  <c r="AK117" i="15"/>
  <c r="AK91" i="15"/>
  <c r="AK90" i="15"/>
  <c r="AK64" i="15"/>
  <c r="AK63" i="15"/>
  <c r="AK66" i="15" s="1"/>
  <c r="AK37" i="15"/>
  <c r="AK10" i="15"/>
  <c r="AK11" i="15" s="1"/>
  <c r="AK12" i="15" s="1"/>
  <c r="AK9" i="15"/>
  <c r="AL4" i="15"/>
  <c r="AK5" i="15"/>
  <c r="AK36" i="15"/>
  <c r="AI83" i="15"/>
  <c r="AI128" i="15"/>
  <c r="AK118" i="16"/>
  <c r="AK119" i="16" s="1"/>
  <c r="AK120" i="16" s="1"/>
  <c r="AK117" i="16"/>
  <c r="AK91" i="16"/>
  <c r="AK90" i="16"/>
  <c r="AK37" i="16"/>
  <c r="AK38" i="16" s="1"/>
  <c r="AK39" i="16" s="1"/>
  <c r="AK36" i="16"/>
  <c r="AK5" i="16"/>
  <c r="AK64" i="16"/>
  <c r="AK63" i="16"/>
  <c r="AK66" i="16" s="1"/>
  <c r="AL4" i="16"/>
  <c r="AK9" i="16"/>
  <c r="AK10" i="16"/>
  <c r="AJ119" i="15"/>
  <c r="AJ120" i="15" s="1"/>
  <c r="AJ126" i="15" s="1"/>
  <c r="AI41" i="15"/>
  <c r="AI56" i="15" s="1"/>
  <c r="AI96" i="15"/>
  <c r="AI95" i="17"/>
  <c r="AJ11" i="15"/>
  <c r="AJ12" i="15" s="1"/>
  <c r="AJ22" i="15" s="1"/>
  <c r="AI42" i="15"/>
  <c r="AI123" i="15"/>
  <c r="AJ38" i="16"/>
  <c r="AJ39" i="16" s="1"/>
  <c r="AJ45" i="16" s="1"/>
  <c r="AJ92" i="17"/>
  <c r="AJ93" i="17" s="1"/>
  <c r="AJ109" i="17" s="1"/>
  <c r="AI56" i="16"/>
  <c r="AI29" i="16"/>
  <c r="AI175" i="16" s="1"/>
  <c r="AH174" i="17"/>
  <c r="AI174" i="16"/>
  <c r="AI110" i="16"/>
  <c r="AI137" i="17"/>
  <c r="AI49" i="15"/>
  <c r="AI103" i="15"/>
  <c r="AJ92" i="16"/>
  <c r="AJ93" i="16" s="1"/>
  <c r="AJ103" i="16" s="1"/>
  <c r="AJ156" i="17"/>
  <c r="AJ155" i="17"/>
  <c r="AJ154" i="17"/>
  <c r="AJ150" i="17"/>
  <c r="AJ157" i="17"/>
  <c r="AJ152" i="17"/>
  <c r="AJ124" i="17"/>
  <c r="AJ123" i="17"/>
  <c r="AJ121" i="17"/>
  <c r="AJ151" i="17"/>
  <c r="AJ149" i="17"/>
  <c r="AJ125" i="17"/>
  <c r="AJ122" i="17"/>
  <c r="AJ127" i="17"/>
  <c r="AJ130" i="17"/>
  <c r="AJ129" i="17"/>
  <c r="AJ126" i="17"/>
  <c r="AJ104" i="17"/>
  <c r="AJ103" i="17"/>
  <c r="AJ131" i="17"/>
  <c r="AJ98" i="17"/>
  <c r="AJ94" i="17"/>
  <c r="AJ102" i="17"/>
  <c r="AJ73" i="17"/>
  <c r="AJ72" i="17"/>
  <c r="AJ71" i="17"/>
  <c r="AJ70" i="17"/>
  <c r="AJ69" i="17"/>
  <c r="AJ82" i="17"/>
  <c r="AJ77" i="17"/>
  <c r="AJ67" i="17"/>
  <c r="AJ68" i="17"/>
  <c r="AJ100" i="17"/>
  <c r="AJ50" i="17"/>
  <c r="AJ75" i="17"/>
  <c r="AJ76" i="17"/>
  <c r="AJ49" i="17"/>
  <c r="AJ46" i="17"/>
  <c r="AJ45" i="17"/>
  <c r="AJ48" i="17"/>
  <c r="AJ44" i="17"/>
  <c r="AJ43" i="17"/>
  <c r="AJ42" i="17"/>
  <c r="AJ47" i="17"/>
  <c r="AJ41" i="17"/>
  <c r="AJ40" i="17"/>
  <c r="AJ21" i="17"/>
  <c r="AJ20" i="17"/>
  <c r="AJ19" i="17"/>
  <c r="AJ55" i="17"/>
  <c r="AJ28" i="17"/>
  <c r="AJ18" i="17"/>
  <c r="AJ17" i="17"/>
  <c r="AJ16" i="17"/>
  <c r="AJ15" i="17"/>
  <c r="AJ22" i="17"/>
  <c r="AJ23" i="17"/>
  <c r="AJ14" i="17"/>
  <c r="AJ13" i="17"/>
  <c r="AC178" i="16"/>
  <c r="AB179" i="16"/>
  <c r="AI137" i="16"/>
  <c r="AI41" i="17"/>
  <c r="AI83" i="17"/>
  <c r="AI158" i="17"/>
  <c r="AI176" i="17" s="1"/>
  <c r="AJ65" i="15"/>
  <c r="AJ74" i="15" s="1"/>
  <c r="AI99" i="15"/>
  <c r="AI110" i="15" s="1"/>
  <c r="AK118" i="17"/>
  <c r="AK117" i="17"/>
  <c r="AK91" i="17"/>
  <c r="AK92" i="17" s="1"/>
  <c r="AK93" i="17" s="1"/>
  <c r="AK90" i="17"/>
  <c r="AK64" i="17"/>
  <c r="AK63" i="17"/>
  <c r="AK66" i="17" s="1"/>
  <c r="AK37" i="17"/>
  <c r="AK36" i="17"/>
  <c r="AL4" i="17"/>
  <c r="AK5" i="17"/>
  <c r="AK9" i="17"/>
  <c r="AK10" i="17"/>
  <c r="AJ119" i="17"/>
  <c r="AJ120" i="17" s="1"/>
  <c r="AJ136" i="17" s="1"/>
  <c r="AH177" i="16" l="1"/>
  <c r="AK119" i="15"/>
  <c r="AK120" i="15" s="1"/>
  <c r="AJ123" i="15"/>
  <c r="AH175" i="17"/>
  <c r="AH177" i="17"/>
  <c r="AI137" i="15"/>
  <c r="AI175" i="15" s="1"/>
  <c r="AJ49" i="16"/>
  <c r="AJ96" i="17"/>
  <c r="AI56" i="17"/>
  <c r="AI110" i="17"/>
  <c r="AK11" i="17"/>
  <c r="AK12" i="17" s="1"/>
  <c r="AK144" i="17" s="1"/>
  <c r="AK153" i="17" s="1"/>
  <c r="AJ136" i="15"/>
  <c r="AJ126" i="16"/>
  <c r="AJ56" i="17"/>
  <c r="AK92" i="15"/>
  <c r="AK93" i="15" s="1"/>
  <c r="AJ47" i="16"/>
  <c r="AJ43" i="16"/>
  <c r="AJ95" i="16"/>
  <c r="AJ123" i="16"/>
  <c r="AJ130" i="15"/>
  <c r="AD178" i="17"/>
  <c r="AC179" i="17"/>
  <c r="AJ29" i="16"/>
  <c r="AJ83" i="16"/>
  <c r="AJ128" i="16"/>
  <c r="AJ20" i="15"/>
  <c r="AK155" i="17"/>
  <c r="AK154" i="17"/>
  <c r="AK150" i="17"/>
  <c r="AK157" i="17"/>
  <c r="AK152" i="17"/>
  <c r="AK151" i="17"/>
  <c r="AK156" i="17"/>
  <c r="AK122" i="17"/>
  <c r="AK125" i="17"/>
  <c r="AK127" i="17"/>
  <c r="AK129" i="17"/>
  <c r="AK131" i="17"/>
  <c r="AK121" i="17"/>
  <c r="AK104" i="17"/>
  <c r="AK103" i="17"/>
  <c r="AK109" i="17"/>
  <c r="AK100" i="17"/>
  <c r="AK98" i="17"/>
  <c r="AK99" i="17"/>
  <c r="AK95" i="17"/>
  <c r="AK94" i="17"/>
  <c r="AK97" i="17"/>
  <c r="AK149" i="17"/>
  <c r="AK102" i="17"/>
  <c r="AK101" i="17"/>
  <c r="AK96" i="17"/>
  <c r="AK72" i="17"/>
  <c r="AK71" i="17"/>
  <c r="AK70" i="17"/>
  <c r="AK69" i="17"/>
  <c r="AK82" i="17"/>
  <c r="AK68" i="17"/>
  <c r="AK77" i="17"/>
  <c r="AK76" i="17"/>
  <c r="AK50" i="17"/>
  <c r="AK75" i="17"/>
  <c r="AK73" i="17"/>
  <c r="AK48" i="17"/>
  <c r="AK44" i="17"/>
  <c r="AK40" i="17"/>
  <c r="AK67" i="17"/>
  <c r="AK19" i="17"/>
  <c r="AK17" i="17"/>
  <c r="AK46" i="17"/>
  <c r="AK23" i="17"/>
  <c r="AK21" i="17"/>
  <c r="AK14" i="17"/>
  <c r="AK13" i="17"/>
  <c r="AJ97" i="17"/>
  <c r="AI177" i="16"/>
  <c r="AK11" i="16"/>
  <c r="AK12" i="16" s="1"/>
  <c r="AK92" i="16"/>
  <c r="AK93" i="16" s="1"/>
  <c r="AK96" i="16" s="1"/>
  <c r="AK154" i="15"/>
  <c r="AK152" i="15"/>
  <c r="AK151" i="15"/>
  <c r="AK150" i="15"/>
  <c r="AK149" i="15"/>
  <c r="AK157" i="15"/>
  <c r="AK109" i="15"/>
  <c r="AK131" i="15"/>
  <c r="AK130" i="15"/>
  <c r="AK129" i="15"/>
  <c r="AK136" i="15"/>
  <c r="AK128" i="15"/>
  <c r="AK155" i="15"/>
  <c r="AK127" i="15"/>
  <c r="AK156" i="15"/>
  <c r="AK126" i="15"/>
  <c r="AK125" i="15"/>
  <c r="AK124" i="15"/>
  <c r="AK123" i="15"/>
  <c r="AK82" i="15"/>
  <c r="AK104" i="15"/>
  <c r="AK73" i="15"/>
  <c r="AK72" i="15"/>
  <c r="AK102" i="15"/>
  <c r="AK71" i="15"/>
  <c r="AK101" i="15"/>
  <c r="AK70" i="15"/>
  <c r="AK100" i="15"/>
  <c r="AK121" i="15"/>
  <c r="AK99" i="15"/>
  <c r="AK122" i="15"/>
  <c r="AK103" i="15"/>
  <c r="AK98" i="15"/>
  <c r="AK97" i="15"/>
  <c r="AK96" i="15"/>
  <c r="AK77" i="15"/>
  <c r="AK46" i="15"/>
  <c r="AK44" i="15"/>
  <c r="AK76" i="15"/>
  <c r="AK75" i="15"/>
  <c r="AK40" i="15"/>
  <c r="AK94" i="15"/>
  <c r="AK69" i="15"/>
  <c r="AK50" i="15"/>
  <c r="AK95" i="15"/>
  <c r="AK68" i="15"/>
  <c r="AK28" i="15"/>
  <c r="AK22" i="15"/>
  <c r="AK21" i="15"/>
  <c r="AK48" i="15"/>
  <c r="AK20" i="15"/>
  <c r="AK23" i="15"/>
  <c r="AK19" i="15"/>
  <c r="AK18" i="15"/>
  <c r="AK17" i="15"/>
  <c r="AK16" i="15"/>
  <c r="AK15" i="15"/>
  <c r="AK14" i="15"/>
  <c r="AK13" i="15"/>
  <c r="AK67" i="15"/>
  <c r="AJ55" i="16"/>
  <c r="AJ96" i="16"/>
  <c r="AJ136" i="16"/>
  <c r="AJ109" i="15"/>
  <c r="AI175" i="17"/>
  <c r="AI177" i="17" s="1"/>
  <c r="AK38" i="17"/>
  <c r="AK39" i="17" s="1"/>
  <c r="AK55" i="17" s="1"/>
  <c r="AL118" i="15"/>
  <c r="AL117" i="15"/>
  <c r="AL91" i="15"/>
  <c r="AL90" i="15"/>
  <c r="AL64" i="15"/>
  <c r="AL63" i="15"/>
  <c r="AL66" i="15" s="1"/>
  <c r="AL37" i="15"/>
  <c r="AL36" i="15"/>
  <c r="AL10" i="15"/>
  <c r="AL9" i="15"/>
  <c r="AM4" i="15"/>
  <c r="AL5" i="15"/>
  <c r="AJ124" i="16"/>
  <c r="AJ124" i="15"/>
  <c r="AJ83" i="17"/>
  <c r="AJ95" i="17"/>
  <c r="AL118" i="16"/>
  <c r="AL117" i="16"/>
  <c r="AL91" i="16"/>
  <c r="AL90" i="16"/>
  <c r="AL64" i="16"/>
  <c r="AL63" i="16"/>
  <c r="AL66" i="16" s="1"/>
  <c r="AL37" i="16"/>
  <c r="AL36" i="16"/>
  <c r="AL10" i="16"/>
  <c r="AL9" i="16"/>
  <c r="AM4" i="16"/>
  <c r="AL5" i="16"/>
  <c r="AJ97" i="16"/>
  <c r="AJ15" i="15"/>
  <c r="AD178" i="16"/>
  <c r="AC179" i="16"/>
  <c r="AJ99" i="17"/>
  <c r="AJ144" i="15"/>
  <c r="AJ153" i="15" s="1"/>
  <c r="AJ158" i="15" s="1"/>
  <c r="AJ176" i="15" s="1"/>
  <c r="AJ16" i="15"/>
  <c r="AJ28" i="15"/>
  <c r="AJ101" i="15"/>
  <c r="AK65" i="16"/>
  <c r="AK38" i="15"/>
  <c r="AK39" i="15" s="1"/>
  <c r="AK49" i="15" s="1"/>
  <c r="AJ99" i="16"/>
  <c r="AK119" i="17"/>
  <c r="AK120" i="17" s="1"/>
  <c r="AK123" i="17" s="1"/>
  <c r="AK65" i="17"/>
  <c r="AK74" i="17" s="1"/>
  <c r="AJ174" i="17"/>
  <c r="AJ128" i="17"/>
  <c r="AK155" i="16"/>
  <c r="AK154" i="16"/>
  <c r="AK152" i="16"/>
  <c r="AK151" i="16"/>
  <c r="AK150" i="16"/>
  <c r="AK149" i="16"/>
  <c r="AK122" i="16"/>
  <c r="AK121" i="16"/>
  <c r="AK102" i="16"/>
  <c r="AK109" i="16"/>
  <c r="AK131" i="16"/>
  <c r="AK157" i="16"/>
  <c r="AK130" i="16"/>
  <c r="AK129" i="16"/>
  <c r="AK136" i="16"/>
  <c r="AK128" i="16"/>
  <c r="AK127" i="16"/>
  <c r="AK156" i="16"/>
  <c r="AK126" i="16"/>
  <c r="AK125" i="16"/>
  <c r="AK100" i="16"/>
  <c r="AK99" i="16"/>
  <c r="AK98" i="16"/>
  <c r="AK123" i="16"/>
  <c r="AK97" i="16"/>
  <c r="AK124" i="16"/>
  <c r="AK104" i="16"/>
  <c r="AK77" i="16"/>
  <c r="AK95" i="16"/>
  <c r="AK94" i="16"/>
  <c r="AK75" i="16"/>
  <c r="AK82" i="16"/>
  <c r="AK103" i="16"/>
  <c r="AK44" i="16"/>
  <c r="AK76" i="16"/>
  <c r="AK72" i="16"/>
  <c r="AK71" i="16"/>
  <c r="AK70" i="16"/>
  <c r="AK69" i="16"/>
  <c r="AK50" i="16"/>
  <c r="AK74" i="16"/>
  <c r="AK68" i="16"/>
  <c r="AK101" i="16"/>
  <c r="AK73" i="16"/>
  <c r="AK55" i="16"/>
  <c r="AK42" i="16"/>
  <c r="AK23" i="16"/>
  <c r="AK45" i="16"/>
  <c r="AK41" i="16"/>
  <c r="AK22" i="16"/>
  <c r="AK40" i="16"/>
  <c r="AK21" i="16"/>
  <c r="AK67" i="16"/>
  <c r="AK28" i="16"/>
  <c r="AK20" i="16"/>
  <c r="AK43" i="16"/>
  <c r="AK19" i="16"/>
  <c r="AK49" i="16"/>
  <c r="AK46" i="16"/>
  <c r="AK18" i="16"/>
  <c r="AK17" i="16"/>
  <c r="AK48" i="16"/>
  <c r="AK47" i="16"/>
  <c r="AK16" i="16"/>
  <c r="AK15" i="16"/>
  <c r="AK13" i="16"/>
  <c r="AK14" i="16"/>
  <c r="AJ109" i="16"/>
  <c r="AJ95" i="15"/>
  <c r="AJ110" i="15" s="1"/>
  <c r="AJ83" i="15"/>
  <c r="AE178" i="15"/>
  <c r="AD179" i="15"/>
  <c r="AI174" i="15"/>
  <c r="AJ29" i="17"/>
  <c r="AJ101" i="17"/>
  <c r="AJ18" i="15"/>
  <c r="AJ144" i="16"/>
  <c r="AJ153" i="16" s="1"/>
  <c r="AJ158" i="16" s="1"/>
  <c r="AJ176" i="16" s="1"/>
  <c r="AL118" i="17"/>
  <c r="AL117" i="17"/>
  <c r="AL91" i="17"/>
  <c r="AL90" i="17"/>
  <c r="AL64" i="17"/>
  <c r="AL63" i="17"/>
  <c r="AL66" i="17" s="1"/>
  <c r="AL37" i="17"/>
  <c r="AL36" i="17"/>
  <c r="AL5" i="17"/>
  <c r="AM4" i="17"/>
  <c r="AL9" i="17"/>
  <c r="AL10" i="17"/>
  <c r="AJ137" i="17"/>
  <c r="AK65" i="15"/>
  <c r="AK74" i="15" s="1"/>
  <c r="AJ144" i="17"/>
  <c r="AJ153" i="17" s="1"/>
  <c r="AJ158" i="17" s="1"/>
  <c r="AJ176" i="17" s="1"/>
  <c r="AJ41" i="16"/>
  <c r="AJ56" i="16" s="1"/>
  <c r="AJ101" i="16"/>
  <c r="AJ128" i="15"/>
  <c r="AJ137" i="15" s="1"/>
  <c r="AK41" i="17" l="1"/>
  <c r="AK47" i="17"/>
  <c r="AJ110" i="16"/>
  <c r="AK42" i="17"/>
  <c r="AK22" i="17"/>
  <c r="AK45" i="15"/>
  <c r="AK15" i="17"/>
  <c r="AL92" i="17"/>
  <c r="AL93" i="17" s="1"/>
  <c r="AL95" i="17" s="1"/>
  <c r="AJ29" i="15"/>
  <c r="AJ175" i="15" s="1"/>
  <c r="AK16" i="17"/>
  <c r="AL38" i="16"/>
  <c r="AL39" i="16" s="1"/>
  <c r="AL55" i="16" s="1"/>
  <c r="AI177" i="15"/>
  <c r="AJ110" i="17"/>
  <c r="AK18" i="17"/>
  <c r="AK28" i="17"/>
  <c r="AK20" i="17"/>
  <c r="AJ137" i="16"/>
  <c r="AL119" i="17"/>
  <c r="AL120" i="17" s="1"/>
  <c r="AL124" i="17" s="1"/>
  <c r="AE178" i="16"/>
  <c r="AD179" i="16"/>
  <c r="AL65" i="16"/>
  <c r="AL74" i="16" s="1"/>
  <c r="AL65" i="15"/>
  <c r="AL74" i="15" s="1"/>
  <c r="AK110" i="17"/>
  <c r="AK124" i="17"/>
  <c r="AF178" i="15"/>
  <c r="AE179" i="15"/>
  <c r="AK55" i="15"/>
  <c r="AE178" i="17"/>
  <c r="AD179" i="17"/>
  <c r="AL92" i="16"/>
  <c r="AL93" i="16" s="1"/>
  <c r="AL97" i="16" s="1"/>
  <c r="AK110" i="15"/>
  <c r="AK43" i="17"/>
  <c r="AK130" i="17"/>
  <c r="AK137" i="16"/>
  <c r="AL92" i="15"/>
  <c r="AL93" i="15" s="1"/>
  <c r="AL99" i="15" s="1"/>
  <c r="AK144" i="16"/>
  <c r="AK153" i="16" s="1"/>
  <c r="AK158" i="16" s="1"/>
  <c r="AK176" i="16" s="1"/>
  <c r="AL154" i="17"/>
  <c r="AL150" i="17"/>
  <c r="AL157" i="17"/>
  <c r="AL152" i="17"/>
  <c r="AL156" i="17"/>
  <c r="AL149" i="17"/>
  <c r="AL122" i="17"/>
  <c r="AL155" i="17"/>
  <c r="AL151" i="17"/>
  <c r="AL130" i="17"/>
  <c r="AL131" i="17"/>
  <c r="AL125" i="17"/>
  <c r="AL127" i="17"/>
  <c r="AL121" i="17"/>
  <c r="AL129" i="17"/>
  <c r="AL128" i="17"/>
  <c r="AL104" i="17"/>
  <c r="AL103" i="17"/>
  <c r="AL102" i="17"/>
  <c r="AL109" i="17"/>
  <c r="AL99" i="17"/>
  <c r="AL98" i="17"/>
  <c r="AL94" i="17"/>
  <c r="AL71" i="17"/>
  <c r="AL70" i="17"/>
  <c r="AL82" i="17"/>
  <c r="AL67" i="17"/>
  <c r="AL76" i="17"/>
  <c r="AL75" i="17"/>
  <c r="AL68" i="17"/>
  <c r="AL50" i="17"/>
  <c r="AL100" i="17"/>
  <c r="AL69" i="17"/>
  <c r="AL48" i="17"/>
  <c r="AL44" i="17"/>
  <c r="AL73" i="17"/>
  <c r="AL40" i="17"/>
  <c r="AL77" i="17"/>
  <c r="AL19" i="17"/>
  <c r="AL72" i="17"/>
  <c r="AL17" i="17"/>
  <c r="AL46" i="17"/>
  <c r="AL14" i="17"/>
  <c r="AL23" i="17"/>
  <c r="AL21" i="17"/>
  <c r="AL13" i="17"/>
  <c r="AK174" i="16"/>
  <c r="AK110" i="16"/>
  <c r="AJ174" i="15"/>
  <c r="AL154" i="16"/>
  <c r="AL152" i="16"/>
  <c r="AL151" i="16"/>
  <c r="AL150" i="16"/>
  <c r="AL149" i="16"/>
  <c r="AL121" i="16"/>
  <c r="AL131" i="16"/>
  <c r="AL157" i="16"/>
  <c r="AL129" i="16"/>
  <c r="AL127" i="16"/>
  <c r="AL156" i="16"/>
  <c r="AL125" i="16"/>
  <c r="AL122" i="16"/>
  <c r="AL98" i="16"/>
  <c r="AL104" i="16"/>
  <c r="AL77" i="16"/>
  <c r="AL76" i="16"/>
  <c r="AL94" i="16"/>
  <c r="AL82" i="16"/>
  <c r="AL155" i="16"/>
  <c r="AL100" i="16"/>
  <c r="AL72" i="16"/>
  <c r="AL71" i="16"/>
  <c r="AL70" i="16"/>
  <c r="AL69" i="16"/>
  <c r="AL50" i="16"/>
  <c r="AL102" i="16"/>
  <c r="AL68" i="16"/>
  <c r="AL67" i="16"/>
  <c r="AL75" i="16"/>
  <c r="AL40" i="16"/>
  <c r="AL21" i="16"/>
  <c r="AL19" i="16"/>
  <c r="AL46" i="16"/>
  <c r="AL73" i="16"/>
  <c r="AL17" i="16"/>
  <c r="AL48" i="16"/>
  <c r="AL23" i="16"/>
  <c r="AL44" i="16"/>
  <c r="AL13" i="16"/>
  <c r="AL14" i="16"/>
  <c r="AL152" i="15"/>
  <c r="AL151" i="15"/>
  <c r="AL150" i="15"/>
  <c r="AL149" i="15"/>
  <c r="AL157" i="15"/>
  <c r="AL156" i="15"/>
  <c r="AL131" i="15"/>
  <c r="AL129" i="15"/>
  <c r="AL154" i="15"/>
  <c r="AL128" i="15"/>
  <c r="AL155" i="15"/>
  <c r="AL127" i="15"/>
  <c r="AL125" i="15"/>
  <c r="AL122" i="15"/>
  <c r="AL104" i="15"/>
  <c r="AL73" i="15"/>
  <c r="AL72" i="15"/>
  <c r="AL102" i="15"/>
  <c r="AL71" i="15"/>
  <c r="AL70" i="15"/>
  <c r="AL100" i="15"/>
  <c r="AL121" i="15"/>
  <c r="AL98" i="15"/>
  <c r="AL77" i="15"/>
  <c r="AL76" i="15"/>
  <c r="AL44" i="15"/>
  <c r="AL82" i="15"/>
  <c r="AL75" i="15"/>
  <c r="AL40" i="15"/>
  <c r="AL94" i="15"/>
  <c r="AL69" i="15"/>
  <c r="AL50" i="15"/>
  <c r="AL68" i="15"/>
  <c r="AL67" i="15"/>
  <c r="AL48" i="15"/>
  <c r="AL46" i="15"/>
  <c r="AL21" i="15"/>
  <c r="AL23" i="15"/>
  <c r="AL19" i="15"/>
  <c r="AL17" i="15"/>
  <c r="AL14" i="15"/>
  <c r="AL13" i="15"/>
  <c r="AK41" i="15"/>
  <c r="AK49" i="17"/>
  <c r="AK128" i="17"/>
  <c r="AK137" i="17" s="1"/>
  <c r="AK158" i="17"/>
  <c r="AK176" i="17" s="1"/>
  <c r="AM118" i="16"/>
  <c r="AM117" i="16"/>
  <c r="AM91" i="16"/>
  <c r="AM90" i="16"/>
  <c r="AM64" i="16"/>
  <c r="AM63" i="16"/>
  <c r="AM66" i="16" s="1"/>
  <c r="AM37" i="16"/>
  <c r="AM36" i="16"/>
  <c r="AM10" i="16"/>
  <c r="AM9" i="16"/>
  <c r="AN4" i="16"/>
  <c r="AM5" i="16"/>
  <c r="AM118" i="15"/>
  <c r="AM117" i="15"/>
  <c r="AM91" i="15"/>
  <c r="AM90" i="15"/>
  <c r="AM37" i="15"/>
  <c r="AM36" i="15"/>
  <c r="AN4" i="15"/>
  <c r="AM5" i="15"/>
  <c r="AM63" i="15"/>
  <c r="AM66" i="15" s="1"/>
  <c r="AM64" i="15"/>
  <c r="AM65" i="15" s="1"/>
  <c r="AM9" i="15"/>
  <c r="AM10" i="15"/>
  <c r="AK83" i="15"/>
  <c r="AK42" i="15"/>
  <c r="AK45" i="17"/>
  <c r="AK56" i="17" s="1"/>
  <c r="AK136" i="17"/>
  <c r="AL65" i="17"/>
  <c r="AL74" i="17" s="1"/>
  <c r="AL119" i="15"/>
  <c r="AL120" i="15" s="1"/>
  <c r="AL126" i="15" s="1"/>
  <c r="AK29" i="15"/>
  <c r="AK47" i="15"/>
  <c r="AL38" i="17"/>
  <c r="AL39" i="17" s="1"/>
  <c r="AL45" i="17" s="1"/>
  <c r="AJ175" i="17"/>
  <c r="AJ177" i="17" s="1"/>
  <c r="AK56" i="16"/>
  <c r="AJ174" i="16"/>
  <c r="AL11" i="16"/>
  <c r="AL12" i="16" s="1"/>
  <c r="AL15" i="16" s="1"/>
  <c r="AL119" i="16"/>
  <c r="AL120" i="16" s="1"/>
  <c r="AL136" i="16" s="1"/>
  <c r="AL11" i="15"/>
  <c r="AL12" i="15" s="1"/>
  <c r="AK43" i="15"/>
  <c r="AK137" i="15"/>
  <c r="AK29" i="17"/>
  <c r="AK126" i="17"/>
  <c r="AM118" i="17"/>
  <c r="AM117" i="17"/>
  <c r="AM91" i="17"/>
  <c r="AM90" i="17"/>
  <c r="AM64" i="17"/>
  <c r="AM63" i="17"/>
  <c r="AM66" i="17" s="1"/>
  <c r="AM37" i="17"/>
  <c r="AM36" i="17"/>
  <c r="AM10" i="17"/>
  <c r="AM9" i="17"/>
  <c r="AN4" i="17"/>
  <c r="AM5" i="17"/>
  <c r="AK29" i="16"/>
  <c r="AK83" i="16"/>
  <c r="AK144" i="15"/>
  <c r="AK153" i="15" s="1"/>
  <c r="AK158" i="15" s="1"/>
  <c r="AK176" i="15" s="1"/>
  <c r="AK174" i="15"/>
  <c r="AJ175" i="16"/>
  <c r="AL11" i="17"/>
  <c r="AL12" i="17" s="1"/>
  <c r="AL144" i="17" s="1"/>
  <c r="AL153" i="17" s="1"/>
  <c r="AL38" i="15"/>
  <c r="AL39" i="15" s="1"/>
  <c r="AL45" i="15" s="1"/>
  <c r="AK83" i="17"/>
  <c r="AL41" i="16" l="1"/>
  <c r="AL43" i="16"/>
  <c r="AJ177" i="15"/>
  <c r="AL47" i="16"/>
  <c r="AL101" i="15"/>
  <c r="AL45" i="16"/>
  <c r="AM92" i="15"/>
  <c r="AM93" i="15" s="1"/>
  <c r="AL95" i="15"/>
  <c r="AL42" i="16"/>
  <c r="AL130" i="16"/>
  <c r="AL42" i="17"/>
  <c r="AL96" i="15"/>
  <c r="AL110" i="15" s="1"/>
  <c r="AL49" i="16"/>
  <c r="AL109" i="15"/>
  <c r="AL96" i="17"/>
  <c r="AL126" i="17"/>
  <c r="AK56" i="15"/>
  <c r="AL97" i="15"/>
  <c r="AL101" i="17"/>
  <c r="AL97" i="17"/>
  <c r="AJ177" i="16"/>
  <c r="AM38" i="16"/>
  <c r="AM39" i="16" s="1"/>
  <c r="AM45" i="16" s="1"/>
  <c r="AL103" i="15"/>
  <c r="AL123" i="16"/>
  <c r="AL15" i="17"/>
  <c r="AL144" i="15"/>
  <c r="AL153" i="15" s="1"/>
  <c r="AL16" i="17"/>
  <c r="AM119" i="15"/>
  <c r="AM120" i="15" s="1"/>
  <c r="AM136" i="15" s="1"/>
  <c r="AM65" i="16"/>
  <c r="AM74" i="16" s="1"/>
  <c r="AL20" i="15"/>
  <c r="AL136" i="15"/>
  <c r="AL18" i="16"/>
  <c r="AL83" i="16"/>
  <c r="AL43" i="17"/>
  <c r="AF178" i="16"/>
  <c r="AE179" i="16"/>
  <c r="AL103" i="16"/>
  <c r="AL99" i="16"/>
  <c r="AL109" i="16"/>
  <c r="AF178" i="17"/>
  <c r="AE179" i="17"/>
  <c r="AK175" i="16"/>
  <c r="AK177" i="16" s="1"/>
  <c r="AM152" i="17"/>
  <c r="AM154" i="17"/>
  <c r="AM150" i="17"/>
  <c r="AM157" i="17"/>
  <c r="AM156" i="17"/>
  <c r="AM151" i="17"/>
  <c r="AM155" i="17"/>
  <c r="AM121" i="17"/>
  <c r="AM149" i="17"/>
  <c r="AM127" i="17"/>
  <c r="AM122" i="17"/>
  <c r="AM129" i="17"/>
  <c r="AM131" i="17"/>
  <c r="AM123" i="17"/>
  <c r="AM104" i="17"/>
  <c r="AM102" i="17"/>
  <c r="AM125" i="17"/>
  <c r="AM98" i="17"/>
  <c r="AM77" i="17"/>
  <c r="AM94" i="17"/>
  <c r="AM100" i="17"/>
  <c r="AM70" i="17"/>
  <c r="AM69" i="17"/>
  <c r="AM82" i="17"/>
  <c r="AM75" i="17"/>
  <c r="AM71" i="17"/>
  <c r="AM68" i="17"/>
  <c r="AM50" i="17"/>
  <c r="AM49" i="17"/>
  <c r="AM76" i="17"/>
  <c r="AM73" i="17"/>
  <c r="AM72" i="17"/>
  <c r="AM40" i="17"/>
  <c r="AM67" i="17"/>
  <c r="AM44" i="17"/>
  <c r="AM18" i="17"/>
  <c r="AM17" i="17"/>
  <c r="AM48" i="17"/>
  <c r="AM46" i="17"/>
  <c r="AM14" i="17"/>
  <c r="AM13" i="17"/>
  <c r="AM23" i="17"/>
  <c r="AM21" i="17"/>
  <c r="AM19" i="17"/>
  <c r="AM152" i="15"/>
  <c r="AM151" i="15"/>
  <c r="AM150" i="15"/>
  <c r="AM149" i="15"/>
  <c r="AM157" i="15"/>
  <c r="AM156" i="15"/>
  <c r="AM155" i="15"/>
  <c r="AM130" i="15"/>
  <c r="AM129" i="15"/>
  <c r="AM154" i="15"/>
  <c r="AM127" i="15"/>
  <c r="AM125" i="15"/>
  <c r="AM124" i="15"/>
  <c r="AM123" i="15"/>
  <c r="AM104" i="15"/>
  <c r="AM122" i="15"/>
  <c r="AM121" i="15"/>
  <c r="AM131" i="15"/>
  <c r="AM72" i="15"/>
  <c r="AM102" i="15"/>
  <c r="AM71" i="15"/>
  <c r="AM101" i="15"/>
  <c r="AM70" i="15"/>
  <c r="AM100" i="15"/>
  <c r="AM99" i="15"/>
  <c r="AM103" i="15"/>
  <c r="AM98" i="15"/>
  <c r="AM97" i="15"/>
  <c r="AM109" i="15"/>
  <c r="AM96" i="15"/>
  <c r="AM77" i="15"/>
  <c r="AM95" i="15"/>
  <c r="AM76" i="15"/>
  <c r="AM94" i="15"/>
  <c r="AM44" i="15"/>
  <c r="AM82" i="15"/>
  <c r="AM75" i="15"/>
  <c r="AM40" i="15"/>
  <c r="AM69" i="15"/>
  <c r="AM50" i="15"/>
  <c r="AM68" i="15"/>
  <c r="AM73" i="15"/>
  <c r="AM67" i="15"/>
  <c r="AM48" i="15"/>
  <c r="AM21" i="15"/>
  <c r="AM23" i="15"/>
  <c r="AM19" i="15"/>
  <c r="AM74" i="15"/>
  <c r="AM17" i="15"/>
  <c r="AM14" i="15"/>
  <c r="AM13" i="15"/>
  <c r="AM46" i="15"/>
  <c r="AL47" i="15"/>
  <c r="AL41" i="15"/>
  <c r="AL124" i="16"/>
  <c r="AL20" i="17"/>
  <c r="AL18" i="17"/>
  <c r="AL123" i="17"/>
  <c r="AL136" i="17"/>
  <c r="AN118" i="15"/>
  <c r="AN90" i="15"/>
  <c r="AN91" i="15"/>
  <c r="AN92" i="15" s="1"/>
  <c r="AN93" i="15" s="1"/>
  <c r="AN37" i="15"/>
  <c r="AN36" i="15"/>
  <c r="AN5" i="15"/>
  <c r="AN63" i="15"/>
  <c r="AN66" i="15" s="1"/>
  <c r="AN64" i="15"/>
  <c r="AN65" i="15" s="1"/>
  <c r="AN117" i="15"/>
  <c r="AO4" i="15"/>
  <c r="AN9" i="15"/>
  <c r="AN10" i="15"/>
  <c r="AN11" i="15" s="1"/>
  <c r="AN12" i="15" s="1"/>
  <c r="AM92" i="16"/>
  <c r="AM93" i="16" s="1"/>
  <c r="AM96" i="16" s="1"/>
  <c r="AL22" i="15"/>
  <c r="AL42" i="15"/>
  <c r="AL130" i="15"/>
  <c r="AL158" i="16"/>
  <c r="AL176" i="16" s="1"/>
  <c r="AL29" i="17"/>
  <c r="AL28" i="17"/>
  <c r="AM152" i="16"/>
  <c r="AM151" i="16"/>
  <c r="AM150" i="16"/>
  <c r="AM149" i="16"/>
  <c r="AM157" i="16"/>
  <c r="AM131" i="16"/>
  <c r="AM154" i="16"/>
  <c r="AM129" i="16"/>
  <c r="AM127" i="16"/>
  <c r="AM156" i="16"/>
  <c r="AM125" i="16"/>
  <c r="AM122" i="16"/>
  <c r="AM98" i="16"/>
  <c r="AM104" i="16"/>
  <c r="AM77" i="16"/>
  <c r="AM76" i="16"/>
  <c r="AM94" i="16"/>
  <c r="AM75" i="16"/>
  <c r="AM73" i="16"/>
  <c r="AM155" i="16"/>
  <c r="AM103" i="16"/>
  <c r="AM121" i="16"/>
  <c r="AM72" i="16"/>
  <c r="AM71" i="16"/>
  <c r="AM70" i="16"/>
  <c r="AM69" i="16"/>
  <c r="AM50" i="16"/>
  <c r="AM102" i="16"/>
  <c r="AM82" i="16"/>
  <c r="AM68" i="16"/>
  <c r="AM49" i="16"/>
  <c r="AM67" i="16"/>
  <c r="AM48" i="16"/>
  <c r="AM40" i="16"/>
  <c r="AM21" i="16"/>
  <c r="AM100" i="16"/>
  <c r="AM19" i="16"/>
  <c r="AM46" i="16"/>
  <c r="AM43" i="16"/>
  <c r="AM17" i="16"/>
  <c r="AM44" i="16"/>
  <c r="AM23" i="16"/>
  <c r="AM13" i="16"/>
  <c r="AM14" i="16"/>
  <c r="AL28" i="15"/>
  <c r="AL20" i="16"/>
  <c r="AL126" i="16"/>
  <c r="AL55" i="17"/>
  <c r="AL158" i="17"/>
  <c r="AL176" i="17" s="1"/>
  <c r="AL144" i="16"/>
  <c r="AL153" i="16" s="1"/>
  <c r="AM38" i="15"/>
  <c r="AM39" i="15" s="1"/>
  <c r="AM49" i="15" s="1"/>
  <c r="AN118" i="16"/>
  <c r="AN117" i="16"/>
  <c r="AN91" i="16"/>
  <c r="AN92" i="16" s="1"/>
  <c r="AN93" i="16" s="1"/>
  <c r="AN90" i="16"/>
  <c r="AN37" i="16"/>
  <c r="AN36" i="16"/>
  <c r="AN63" i="16"/>
  <c r="AN66" i="16" s="1"/>
  <c r="AN64" i="16"/>
  <c r="AN10" i="16"/>
  <c r="AN9" i="16"/>
  <c r="D56" i="14" s="1"/>
  <c r="AO4" i="16"/>
  <c r="AN5" i="16"/>
  <c r="AL15" i="15"/>
  <c r="AL123" i="15"/>
  <c r="AL28" i="16"/>
  <c r="AL95" i="16"/>
  <c r="AL22" i="17"/>
  <c r="AL49" i="17"/>
  <c r="AM65" i="17"/>
  <c r="AM74" i="17" s="1"/>
  <c r="AM92" i="17"/>
  <c r="AM93" i="17" s="1"/>
  <c r="AM103" i="17" s="1"/>
  <c r="AN118" i="17"/>
  <c r="AN117" i="17"/>
  <c r="AN91" i="17"/>
  <c r="AN90" i="17"/>
  <c r="AN64" i="17"/>
  <c r="AN63" i="17"/>
  <c r="AN66" i="17" s="1"/>
  <c r="AN37" i="17"/>
  <c r="AN36" i="17"/>
  <c r="AN10" i="17"/>
  <c r="AN9" i="17"/>
  <c r="AO4" i="17"/>
  <c r="AN5" i="17"/>
  <c r="AM119" i="17"/>
  <c r="AM120" i="17" s="1"/>
  <c r="AM136" i="17" s="1"/>
  <c r="AM119" i="16"/>
  <c r="AM120" i="16" s="1"/>
  <c r="AM136" i="16" s="1"/>
  <c r="AL16" i="15"/>
  <c r="AL43" i="15"/>
  <c r="AL124" i="15"/>
  <c r="AL137" i="15" s="1"/>
  <c r="AL110" i="17"/>
  <c r="AG178" i="15"/>
  <c r="AF179" i="15"/>
  <c r="AM11" i="17"/>
  <c r="AM12" i="17" s="1"/>
  <c r="AM15" i="17" s="1"/>
  <c r="AM11" i="16"/>
  <c r="AM12" i="16" s="1"/>
  <c r="AM16" i="16" s="1"/>
  <c r="AL83" i="15"/>
  <c r="AL158" i="15"/>
  <c r="AL176" i="15" s="1"/>
  <c r="AL101" i="16"/>
  <c r="AL56" i="16"/>
  <c r="AL96" i="16"/>
  <c r="AL128" i="16"/>
  <c r="AL137" i="17"/>
  <c r="AM38" i="17"/>
  <c r="AM39" i="17" s="1"/>
  <c r="AM43" i="17" s="1"/>
  <c r="AL55" i="15"/>
  <c r="AL49" i="15"/>
  <c r="AL16" i="16"/>
  <c r="AL22" i="16"/>
  <c r="AL41" i="17"/>
  <c r="AL56" i="17" s="1"/>
  <c r="AL83" i="17"/>
  <c r="AK175" i="15"/>
  <c r="AK177" i="15" s="1"/>
  <c r="AK175" i="17"/>
  <c r="AK174" i="17"/>
  <c r="AK177" i="17" s="1"/>
  <c r="AM11" i="15"/>
  <c r="AM12" i="15" s="1"/>
  <c r="AM144" i="15" s="1"/>
  <c r="AM153" i="15" s="1"/>
  <c r="AL18" i="15"/>
  <c r="AL47" i="17"/>
  <c r="AL137" i="16" l="1"/>
  <c r="AM18" i="16"/>
  <c r="AL56" i="15"/>
  <c r="AM55" i="16"/>
  <c r="AM130" i="16"/>
  <c r="AM28" i="17"/>
  <c r="AL29" i="16"/>
  <c r="AL110" i="16"/>
  <c r="AL175" i="16" s="1"/>
  <c r="AM95" i="16"/>
  <c r="AM41" i="16"/>
  <c r="AL29" i="15"/>
  <c r="AL175" i="15" s="1"/>
  <c r="AN119" i="16"/>
  <c r="AN120" i="16" s="1"/>
  <c r="AN123" i="16" s="1"/>
  <c r="AM97" i="16"/>
  <c r="AM42" i="16"/>
  <c r="AM109" i="16"/>
  <c r="AM47" i="16"/>
  <c r="AM101" i="16"/>
  <c r="AM55" i="17"/>
  <c r="AN11" i="16"/>
  <c r="AN151" i="15"/>
  <c r="AN150" i="15"/>
  <c r="AN149" i="15"/>
  <c r="AN157" i="15"/>
  <c r="AN156" i="15"/>
  <c r="AN155" i="15"/>
  <c r="AN154" i="15"/>
  <c r="AN129" i="15"/>
  <c r="AN127" i="15"/>
  <c r="AN125" i="15"/>
  <c r="AN104" i="15"/>
  <c r="AN122" i="15"/>
  <c r="AN121" i="15"/>
  <c r="AN102" i="15"/>
  <c r="AN71" i="15"/>
  <c r="AN101" i="15"/>
  <c r="AN70" i="15"/>
  <c r="AN100" i="15"/>
  <c r="AN99" i="15"/>
  <c r="AN103" i="15"/>
  <c r="AN98" i="15"/>
  <c r="AN97" i="15"/>
  <c r="AN109" i="15"/>
  <c r="AN96" i="15"/>
  <c r="AN77" i="15"/>
  <c r="AN152" i="15"/>
  <c r="AN95" i="15"/>
  <c r="AN76" i="15"/>
  <c r="AN94" i="15"/>
  <c r="AN75" i="15"/>
  <c r="AN82" i="15"/>
  <c r="AN40" i="15"/>
  <c r="AN72" i="15"/>
  <c r="AN69" i="15"/>
  <c r="AN50" i="15"/>
  <c r="AN68" i="15"/>
  <c r="AN49" i="15"/>
  <c r="AN73" i="15"/>
  <c r="AN67" i="15"/>
  <c r="AN48" i="15"/>
  <c r="AN46" i="15"/>
  <c r="AN20" i="15"/>
  <c r="AN23" i="15"/>
  <c r="AN19" i="15"/>
  <c r="AN18" i="15"/>
  <c r="AN74" i="15"/>
  <c r="AN17" i="15"/>
  <c r="AN16" i="15"/>
  <c r="AN131" i="15"/>
  <c r="AN15" i="15"/>
  <c r="AN14" i="15"/>
  <c r="AN13" i="15"/>
  <c r="AN44" i="15"/>
  <c r="AN28" i="15"/>
  <c r="AN22" i="15"/>
  <c r="AN21" i="15"/>
  <c r="AM22" i="15"/>
  <c r="AM22" i="17"/>
  <c r="AM99" i="17"/>
  <c r="AM126" i="17"/>
  <c r="AM123" i="16"/>
  <c r="AM137" i="16" s="1"/>
  <c r="AM28" i="15"/>
  <c r="AM20" i="15"/>
  <c r="AM41" i="15"/>
  <c r="AM45" i="17"/>
  <c r="AM83" i="17"/>
  <c r="AM95" i="17"/>
  <c r="AN65" i="17"/>
  <c r="AN74" i="17" s="1"/>
  <c r="AN65" i="16"/>
  <c r="AM22" i="16"/>
  <c r="AM124" i="16"/>
  <c r="AM42" i="15"/>
  <c r="AM124" i="17"/>
  <c r="AM18" i="15"/>
  <c r="AM20" i="16"/>
  <c r="AN38" i="15"/>
  <c r="AN39" i="15" s="1"/>
  <c r="AN43" i="15" s="1"/>
  <c r="AM45" i="15"/>
  <c r="AM47" i="15"/>
  <c r="AM41" i="17"/>
  <c r="AG178" i="16"/>
  <c r="AF179" i="16"/>
  <c r="AL174" i="15"/>
  <c r="AM28" i="16"/>
  <c r="AM126" i="16"/>
  <c r="AM55" i="15"/>
  <c r="AM47" i="17"/>
  <c r="AM128" i="17"/>
  <c r="AN152" i="17"/>
  <c r="AN151" i="17"/>
  <c r="AN157" i="17"/>
  <c r="AN156" i="17"/>
  <c r="AN149" i="17"/>
  <c r="AN155" i="17"/>
  <c r="AN154" i="17"/>
  <c r="AN129" i="17"/>
  <c r="AN131" i="17"/>
  <c r="AN150" i="17"/>
  <c r="AN127" i="17"/>
  <c r="AN122" i="17"/>
  <c r="AN121" i="17"/>
  <c r="AN102" i="17"/>
  <c r="AN125" i="17"/>
  <c r="AN100" i="17"/>
  <c r="AN94" i="17"/>
  <c r="AN104" i="17"/>
  <c r="AN69" i="17"/>
  <c r="AN98" i="17"/>
  <c r="AN82" i="17"/>
  <c r="AN68" i="17"/>
  <c r="AN77" i="17"/>
  <c r="AN76" i="17"/>
  <c r="AN73" i="17"/>
  <c r="AN48" i="17"/>
  <c r="AN75" i="17"/>
  <c r="AN70" i="17"/>
  <c r="AN67" i="17"/>
  <c r="AN42" i="17"/>
  <c r="AN47" i="17"/>
  <c r="AN41" i="17"/>
  <c r="AN40" i="17"/>
  <c r="AN71" i="17"/>
  <c r="AN72" i="17"/>
  <c r="AN46" i="17"/>
  <c r="AN17" i="17"/>
  <c r="AN14" i="17"/>
  <c r="AN13" i="17"/>
  <c r="AN50" i="17"/>
  <c r="AN23" i="17"/>
  <c r="AN21" i="17"/>
  <c r="AN44" i="17"/>
  <c r="AN19" i="17"/>
  <c r="AN92" i="17"/>
  <c r="AN93" i="17" s="1"/>
  <c r="AN95" i="17" s="1"/>
  <c r="AL174" i="16"/>
  <c r="AM43" i="15"/>
  <c r="AM158" i="15"/>
  <c r="AM176" i="15" s="1"/>
  <c r="AM42" i="17"/>
  <c r="AH178" i="15"/>
  <c r="AG179" i="15"/>
  <c r="AN38" i="17"/>
  <c r="AN39" i="17" s="1"/>
  <c r="AN45" i="17" s="1"/>
  <c r="AM15" i="15"/>
  <c r="AM83" i="15"/>
  <c r="AM126" i="15"/>
  <c r="AM137" i="15" s="1"/>
  <c r="AM101" i="17"/>
  <c r="AM110" i="17" s="1"/>
  <c r="AL175" i="17"/>
  <c r="AM97" i="17"/>
  <c r="AN119" i="17"/>
  <c r="AN120" i="17" s="1"/>
  <c r="AN136" i="17" s="1"/>
  <c r="AN38" i="16"/>
  <c r="AN39" i="16" s="1"/>
  <c r="AM15" i="16"/>
  <c r="AM29" i="16" s="1"/>
  <c r="AM56" i="16"/>
  <c r="AM128" i="16"/>
  <c r="AM16" i="15"/>
  <c r="AM110" i="15"/>
  <c r="AM109" i="17"/>
  <c r="AM130" i="17"/>
  <c r="AO118" i="16"/>
  <c r="AO117" i="16"/>
  <c r="AO91" i="16"/>
  <c r="AO90" i="16"/>
  <c r="AO64" i="16"/>
  <c r="AO63" i="16"/>
  <c r="AO66" i="16" s="1"/>
  <c r="AO37" i="16"/>
  <c r="AO36" i="16"/>
  <c r="AO10" i="16"/>
  <c r="AO9" i="16"/>
  <c r="AP4" i="16"/>
  <c r="AO5" i="16"/>
  <c r="AO118" i="17"/>
  <c r="AO117" i="17"/>
  <c r="AO91" i="17"/>
  <c r="AO90" i="17"/>
  <c r="AO64" i="17"/>
  <c r="AO63" i="17"/>
  <c r="AO66" i="17" s="1"/>
  <c r="AO37" i="17"/>
  <c r="AO36" i="17"/>
  <c r="AO10" i="17"/>
  <c r="AO9" i="17"/>
  <c r="AP4" i="17"/>
  <c r="AO5" i="17"/>
  <c r="AM144" i="17"/>
  <c r="AM153" i="17" s="1"/>
  <c r="AM158" i="17" s="1"/>
  <c r="AM176" i="17" s="1"/>
  <c r="AN11" i="17"/>
  <c r="AN12" i="17" s="1"/>
  <c r="AN28" i="17" s="1"/>
  <c r="AM99" i="16"/>
  <c r="AM110" i="16" s="1"/>
  <c r="AO117" i="15"/>
  <c r="AO91" i="15"/>
  <c r="AO37" i="15"/>
  <c r="AO36" i="15"/>
  <c r="AO118" i="15"/>
  <c r="AO64" i="15"/>
  <c r="AO63" i="15"/>
  <c r="AO66" i="15" s="1"/>
  <c r="AO90" i="15"/>
  <c r="AO10" i="15"/>
  <c r="AO9" i="15"/>
  <c r="AO5" i="15"/>
  <c r="AP4" i="15"/>
  <c r="AM128" i="15"/>
  <c r="AM16" i="17"/>
  <c r="AG178" i="17"/>
  <c r="AF179" i="17"/>
  <c r="AM144" i="16"/>
  <c r="AM153" i="16" s="1"/>
  <c r="AM158" i="16" s="1"/>
  <c r="AM176" i="16" s="1"/>
  <c r="AN152" i="16"/>
  <c r="AN151" i="16"/>
  <c r="AN150" i="16"/>
  <c r="AN149" i="16"/>
  <c r="AN157" i="16"/>
  <c r="AN156" i="16"/>
  <c r="AN131" i="16"/>
  <c r="AN154" i="16"/>
  <c r="AN129" i="16"/>
  <c r="AN127" i="16"/>
  <c r="AN125" i="16"/>
  <c r="AN155" i="16"/>
  <c r="AN122" i="16"/>
  <c r="AN97" i="16"/>
  <c r="AN104" i="16"/>
  <c r="AN96" i="16"/>
  <c r="AN77" i="16"/>
  <c r="AN95" i="16"/>
  <c r="AN76" i="16"/>
  <c r="AN94" i="16"/>
  <c r="AN75" i="16"/>
  <c r="AN82" i="16"/>
  <c r="AN74" i="16"/>
  <c r="AN109" i="16"/>
  <c r="AN103" i="16"/>
  <c r="AN72" i="16"/>
  <c r="AN102" i="16"/>
  <c r="AN100" i="16"/>
  <c r="AN121" i="16"/>
  <c r="AN99" i="16"/>
  <c r="AN71" i="16"/>
  <c r="AN70" i="16"/>
  <c r="AN69" i="16"/>
  <c r="AN50" i="16"/>
  <c r="AN68" i="16"/>
  <c r="AN49" i="16"/>
  <c r="AN67" i="16"/>
  <c r="AN48" i="16"/>
  <c r="AN98" i="16"/>
  <c r="AN55" i="16"/>
  <c r="AN47" i="16"/>
  <c r="AN101" i="16"/>
  <c r="AN73" i="16"/>
  <c r="AN19" i="16"/>
  <c r="AN46" i="16"/>
  <c r="AN43" i="16"/>
  <c r="AN17" i="16"/>
  <c r="AN44" i="16"/>
  <c r="AN23" i="16"/>
  <c r="AN41" i="16"/>
  <c r="AN45" i="16"/>
  <c r="AN40" i="16"/>
  <c r="AN13" i="16"/>
  <c r="AN21" i="16"/>
  <c r="AN14" i="16"/>
  <c r="AN42" i="16"/>
  <c r="AM83" i="16"/>
  <c r="AL174" i="17"/>
  <c r="AN119" i="15"/>
  <c r="AN120" i="15" s="1"/>
  <c r="AN126" i="15" s="1"/>
  <c r="AM20" i="17"/>
  <c r="AM96" i="17"/>
  <c r="AL177" i="17" l="1"/>
  <c r="AN124" i="16"/>
  <c r="AM137" i="17"/>
  <c r="AN126" i="16"/>
  <c r="AL177" i="15"/>
  <c r="AO11" i="16"/>
  <c r="AO12" i="16" s="1"/>
  <c r="AM29" i="15"/>
  <c r="AN128" i="15"/>
  <c r="AN136" i="16"/>
  <c r="AO38" i="17"/>
  <c r="AO39" i="17" s="1"/>
  <c r="AO42" i="17" s="1"/>
  <c r="AM56" i="17"/>
  <c r="AM175" i="17" s="1"/>
  <c r="AL177" i="16"/>
  <c r="AO38" i="16"/>
  <c r="AO39" i="16" s="1"/>
  <c r="AN130" i="16"/>
  <c r="AM29" i="17"/>
  <c r="AO92" i="15"/>
  <c r="AO93" i="15" s="1"/>
  <c r="AO65" i="17"/>
  <c r="AN128" i="16"/>
  <c r="AM56" i="15"/>
  <c r="AO92" i="17"/>
  <c r="AO93" i="17" s="1"/>
  <c r="AO109" i="17" s="1"/>
  <c r="AO92" i="16"/>
  <c r="AO93" i="16" s="1"/>
  <c r="AM175" i="15"/>
  <c r="AP118" i="17"/>
  <c r="AP117" i="17"/>
  <c r="AP91" i="17"/>
  <c r="AP90" i="17"/>
  <c r="AP64" i="17"/>
  <c r="AP63" i="17"/>
  <c r="AP66" i="17" s="1"/>
  <c r="AP37" i="17"/>
  <c r="AP36" i="17"/>
  <c r="AP10" i="17"/>
  <c r="AP9" i="17"/>
  <c r="AQ4" i="17"/>
  <c r="AP5" i="17"/>
  <c r="AN29" i="17"/>
  <c r="AN101" i="17"/>
  <c r="AH178" i="16"/>
  <c r="AG179" i="16"/>
  <c r="AM174" i="15"/>
  <c r="AN136" i="15"/>
  <c r="AO11" i="17"/>
  <c r="AO12" i="17" s="1"/>
  <c r="AO22" i="17" s="1"/>
  <c r="AO119" i="17"/>
  <c r="AO120" i="17" s="1"/>
  <c r="AO136" i="17" s="1"/>
  <c r="AO65" i="16"/>
  <c r="AN83" i="17"/>
  <c r="AN109" i="17"/>
  <c r="AO151" i="17"/>
  <c r="AO157" i="17"/>
  <c r="AO156" i="17"/>
  <c r="AO152" i="17"/>
  <c r="AO149" i="17"/>
  <c r="AO155" i="17"/>
  <c r="AO154" i="17"/>
  <c r="AO129" i="17"/>
  <c r="AO131" i="17"/>
  <c r="AO128" i="17"/>
  <c r="AO150" i="17"/>
  <c r="AO122" i="17"/>
  <c r="AO121" i="17"/>
  <c r="AO125" i="17"/>
  <c r="AO102" i="17"/>
  <c r="AO127" i="17"/>
  <c r="AO94" i="17"/>
  <c r="AO97" i="17"/>
  <c r="AO104" i="17"/>
  <c r="AO96" i="17"/>
  <c r="AO103" i="17"/>
  <c r="AO100" i="17"/>
  <c r="AO98" i="17"/>
  <c r="AO82" i="17"/>
  <c r="AO68" i="17"/>
  <c r="AO67" i="17"/>
  <c r="AO95" i="17"/>
  <c r="AO77" i="17"/>
  <c r="AO76" i="17"/>
  <c r="AO75" i="17"/>
  <c r="AO73" i="17"/>
  <c r="AO48" i="17"/>
  <c r="AO55" i="17"/>
  <c r="AO47" i="17"/>
  <c r="AO70" i="17"/>
  <c r="AO69" i="17"/>
  <c r="AO72" i="17"/>
  <c r="AO40" i="17"/>
  <c r="AO71" i="17"/>
  <c r="AO46" i="17"/>
  <c r="AO45" i="17"/>
  <c r="AO49" i="17"/>
  <c r="AO43" i="17"/>
  <c r="AO14" i="17"/>
  <c r="AO50" i="17"/>
  <c r="AO23" i="17"/>
  <c r="AO21" i="17"/>
  <c r="AO19" i="17"/>
  <c r="AO74" i="17"/>
  <c r="AO17" i="17"/>
  <c r="AO18" i="17"/>
  <c r="AO44" i="17"/>
  <c r="AO13" i="17"/>
  <c r="AN110" i="15"/>
  <c r="AN110" i="16"/>
  <c r="AN43" i="17"/>
  <c r="AO150" i="15"/>
  <c r="AO149" i="15"/>
  <c r="AO157" i="15"/>
  <c r="AO156" i="15"/>
  <c r="AO155" i="15"/>
  <c r="AO154" i="15"/>
  <c r="AO127" i="15"/>
  <c r="AO125" i="15"/>
  <c r="AO122" i="15"/>
  <c r="AO103" i="15"/>
  <c r="AO121" i="15"/>
  <c r="AO109" i="15"/>
  <c r="AO151" i="15"/>
  <c r="AO131" i="15"/>
  <c r="AO101" i="15"/>
  <c r="AO70" i="15"/>
  <c r="AO100" i="15"/>
  <c r="AO99" i="15"/>
  <c r="AO98" i="15"/>
  <c r="AO97" i="15"/>
  <c r="AO96" i="15"/>
  <c r="AO77" i="15"/>
  <c r="AO152" i="15"/>
  <c r="AO95" i="15"/>
  <c r="AO76" i="15"/>
  <c r="AO94" i="15"/>
  <c r="AO129" i="15"/>
  <c r="AO82" i="15"/>
  <c r="AO71" i="15"/>
  <c r="AO23" i="15"/>
  <c r="AO75" i="15"/>
  <c r="AO40" i="15"/>
  <c r="AO72" i="15"/>
  <c r="AO69" i="15"/>
  <c r="AO50" i="15"/>
  <c r="AO68" i="15"/>
  <c r="AO104" i="15"/>
  <c r="AO73" i="15"/>
  <c r="AO67" i="15"/>
  <c r="AO48" i="15"/>
  <c r="AO46" i="15"/>
  <c r="AO19" i="15"/>
  <c r="AO17" i="15"/>
  <c r="AO14" i="15"/>
  <c r="AO13" i="15"/>
  <c r="AO102" i="15"/>
  <c r="AO44" i="15"/>
  <c r="AO21" i="15"/>
  <c r="AO11" i="15"/>
  <c r="AO12" i="15" s="1"/>
  <c r="AN144" i="15"/>
  <c r="AN153" i="15" s="1"/>
  <c r="AN15" i="17"/>
  <c r="AN55" i="17"/>
  <c r="AN96" i="17"/>
  <c r="AN110" i="17" s="1"/>
  <c r="AN103" i="17"/>
  <c r="AN130" i="17"/>
  <c r="AO151" i="16"/>
  <c r="AO150" i="16"/>
  <c r="AO149" i="16"/>
  <c r="AO157" i="16"/>
  <c r="AO156" i="16"/>
  <c r="AO155" i="16"/>
  <c r="AO154" i="16"/>
  <c r="AO129" i="16"/>
  <c r="AO127" i="16"/>
  <c r="AO125" i="16"/>
  <c r="AO152" i="16"/>
  <c r="AO122" i="16"/>
  <c r="AO121" i="16"/>
  <c r="AO104" i="16"/>
  <c r="AO96" i="16"/>
  <c r="AO77" i="16"/>
  <c r="AO95" i="16"/>
  <c r="AO76" i="16"/>
  <c r="AO94" i="16"/>
  <c r="AO75" i="16"/>
  <c r="AO82" i="16"/>
  <c r="AO74" i="16"/>
  <c r="AO73" i="16"/>
  <c r="AO131" i="16"/>
  <c r="AO109" i="16"/>
  <c r="AO103" i="16"/>
  <c r="AO71" i="16"/>
  <c r="AO101" i="16"/>
  <c r="AO99" i="16"/>
  <c r="AO72" i="16"/>
  <c r="AO70" i="16"/>
  <c r="AO69" i="16"/>
  <c r="AO50" i="16"/>
  <c r="AO68" i="16"/>
  <c r="AO49" i="16"/>
  <c r="AO102" i="16"/>
  <c r="AO67" i="16"/>
  <c r="AO48" i="16"/>
  <c r="AO98" i="16"/>
  <c r="AO55" i="16"/>
  <c r="AO47" i="16"/>
  <c r="AO97" i="16"/>
  <c r="AO100" i="16"/>
  <c r="AO19" i="16"/>
  <c r="AO46" i="16"/>
  <c r="AO43" i="16"/>
  <c r="AO18" i="16"/>
  <c r="AO17" i="16"/>
  <c r="AO16" i="16"/>
  <c r="AO44" i="16"/>
  <c r="AO45" i="16"/>
  <c r="AO42" i="16"/>
  <c r="AO41" i="16"/>
  <c r="AO22" i="16"/>
  <c r="AO23" i="16"/>
  <c r="AO15" i="16"/>
  <c r="AO28" i="16"/>
  <c r="AO40" i="16"/>
  <c r="AO13" i="16"/>
  <c r="AO21" i="16"/>
  <c r="AO14" i="16"/>
  <c r="AO20" i="16"/>
  <c r="AN18" i="17"/>
  <c r="AN16" i="17"/>
  <c r="AN128" i="17"/>
  <c r="AN45" i="15"/>
  <c r="AN12" i="16"/>
  <c r="B56" i="14"/>
  <c r="C12" i="14" s="1"/>
  <c r="AN20" i="16"/>
  <c r="AP117" i="16"/>
  <c r="AP91" i="16"/>
  <c r="AP90" i="16"/>
  <c r="AP118" i="16"/>
  <c r="AP119" i="16" s="1"/>
  <c r="AP120" i="16" s="1"/>
  <c r="AP64" i="16"/>
  <c r="AP63" i="16"/>
  <c r="AP66" i="16" s="1"/>
  <c r="AP37" i="16"/>
  <c r="AP36" i="16"/>
  <c r="AP10" i="16"/>
  <c r="AP9" i="16"/>
  <c r="AQ4" i="16"/>
  <c r="AP5" i="16"/>
  <c r="AN97" i="17"/>
  <c r="AN126" i="17"/>
  <c r="AN41" i="15"/>
  <c r="AN56" i="15" s="1"/>
  <c r="AO38" i="15"/>
  <c r="AO39" i="15" s="1"/>
  <c r="AO49" i="15" s="1"/>
  <c r="AI178" i="15"/>
  <c r="AH179" i="15"/>
  <c r="AN20" i="17"/>
  <c r="AN49" i="17"/>
  <c r="AN123" i="17"/>
  <c r="AN124" i="17"/>
  <c r="AN29" i="15"/>
  <c r="AN47" i="15"/>
  <c r="AN42" i="15"/>
  <c r="AN123" i="15"/>
  <c r="AN137" i="15" s="1"/>
  <c r="AP118" i="15"/>
  <c r="AP117" i="15"/>
  <c r="AP91" i="15"/>
  <c r="AP90" i="15"/>
  <c r="AP37" i="15"/>
  <c r="AP36" i="15"/>
  <c r="AP64" i="15"/>
  <c r="AP63" i="15"/>
  <c r="AP66" i="15" s="1"/>
  <c r="AP10" i="15"/>
  <c r="AP9" i="15"/>
  <c r="AQ4" i="15"/>
  <c r="AP5" i="15"/>
  <c r="AN144" i="17"/>
  <c r="AN153" i="17" s="1"/>
  <c r="AN158" i="17" s="1"/>
  <c r="AN176" i="17" s="1"/>
  <c r="AN55" i="15"/>
  <c r="AN174" i="15" s="1"/>
  <c r="AN124" i="15"/>
  <c r="AN158" i="15"/>
  <c r="AN176" i="15" s="1"/>
  <c r="AN56" i="16"/>
  <c r="AH178" i="17"/>
  <c r="AG179" i="17"/>
  <c r="AO65" i="15"/>
  <c r="AO74" i="15" s="1"/>
  <c r="AO119" i="16"/>
  <c r="AO120" i="16" s="1"/>
  <c r="AO124" i="16" s="1"/>
  <c r="AN22" i="17"/>
  <c r="AN99" i="17"/>
  <c r="AM174" i="16"/>
  <c r="AN130" i="15"/>
  <c r="AM175" i="16"/>
  <c r="AN137" i="16"/>
  <c r="AN83" i="16"/>
  <c r="AO119" i="15"/>
  <c r="AO120" i="15" s="1"/>
  <c r="AO126" i="15" s="1"/>
  <c r="AM174" i="17"/>
  <c r="AN83" i="15"/>
  <c r="AO128" i="15" l="1"/>
  <c r="AO126" i="16"/>
  <c r="AM177" i="17"/>
  <c r="AO99" i="17"/>
  <c r="AO130" i="17"/>
  <c r="AN137" i="17"/>
  <c r="AO41" i="17"/>
  <c r="AO56" i="17" s="1"/>
  <c r="AO101" i="17"/>
  <c r="AM177" i="15"/>
  <c r="AP38" i="16"/>
  <c r="AP39" i="16" s="1"/>
  <c r="AP49" i="16" s="1"/>
  <c r="AO144" i="15"/>
  <c r="AO153" i="15" s="1"/>
  <c r="AO158" i="15" s="1"/>
  <c r="AO176" i="15" s="1"/>
  <c r="AM177" i="16"/>
  <c r="AO144" i="16"/>
  <c r="AO153" i="16" s="1"/>
  <c r="AP65" i="16"/>
  <c r="AN56" i="17"/>
  <c r="AO110" i="15"/>
  <c r="AO136" i="15"/>
  <c r="AO83" i="17"/>
  <c r="AP150" i="17"/>
  <c r="AP157" i="17"/>
  <c r="AP156" i="17"/>
  <c r="AP152" i="17"/>
  <c r="AP149" i="17"/>
  <c r="AP155" i="17"/>
  <c r="AP151" i="17"/>
  <c r="AP154" i="17"/>
  <c r="AP129" i="17"/>
  <c r="AP131" i="17"/>
  <c r="AP127" i="17"/>
  <c r="AP121" i="17"/>
  <c r="AP100" i="17"/>
  <c r="AP125" i="17"/>
  <c r="AP99" i="17"/>
  <c r="AP97" i="17"/>
  <c r="AP82" i="17"/>
  <c r="AP104" i="17"/>
  <c r="AP122" i="17"/>
  <c r="AP102" i="17"/>
  <c r="AP98" i="17"/>
  <c r="AP67" i="17"/>
  <c r="AP94" i="17"/>
  <c r="AP95" i="17"/>
  <c r="AP77" i="17"/>
  <c r="AP76" i="17"/>
  <c r="AP75" i="17"/>
  <c r="AP72" i="17"/>
  <c r="AP70" i="17"/>
  <c r="AP69" i="17"/>
  <c r="AP73" i="17"/>
  <c r="AP71" i="17"/>
  <c r="AP40" i="17"/>
  <c r="AP46" i="17"/>
  <c r="AP68" i="17"/>
  <c r="AP50" i="17"/>
  <c r="AP44" i="17"/>
  <c r="AP14" i="17"/>
  <c r="AP48" i="17"/>
  <c r="AP23" i="17"/>
  <c r="AP21" i="17"/>
  <c r="AP19" i="17"/>
  <c r="AP17" i="17"/>
  <c r="AP13" i="17"/>
  <c r="AP92" i="17"/>
  <c r="AP93" i="17" s="1"/>
  <c r="AP96" i="17" s="1"/>
  <c r="AO22" i="15"/>
  <c r="AO45" i="15"/>
  <c r="AQ117" i="17"/>
  <c r="AQ91" i="17"/>
  <c r="AQ90" i="17"/>
  <c r="AQ118" i="17"/>
  <c r="AQ119" i="17" s="1"/>
  <c r="AQ120" i="17" s="1"/>
  <c r="AQ64" i="17"/>
  <c r="AQ63" i="17"/>
  <c r="AQ66" i="17" s="1"/>
  <c r="AQ37" i="17"/>
  <c r="AQ36" i="17"/>
  <c r="AQ10" i="17"/>
  <c r="AQ9" i="17"/>
  <c r="AR4" i="17"/>
  <c r="AQ5" i="17"/>
  <c r="AN175" i="15"/>
  <c r="C180" i="15" s="1"/>
  <c r="AP38" i="15"/>
  <c r="AP39" i="15" s="1"/>
  <c r="AO18" i="15"/>
  <c r="AP150" i="16"/>
  <c r="AP149" i="16"/>
  <c r="AP157" i="16"/>
  <c r="AP156" i="16"/>
  <c r="AP155" i="16"/>
  <c r="AP154" i="16"/>
  <c r="AP129" i="16"/>
  <c r="AP136" i="16"/>
  <c r="AP128" i="16"/>
  <c r="AP127" i="16"/>
  <c r="AP126" i="16"/>
  <c r="AP125" i="16"/>
  <c r="AP124" i="16"/>
  <c r="AP123" i="16"/>
  <c r="AP104" i="16"/>
  <c r="AP152" i="16"/>
  <c r="AP122" i="16"/>
  <c r="AP121" i="16"/>
  <c r="AP76" i="16"/>
  <c r="AP94" i="16"/>
  <c r="AP75" i="16"/>
  <c r="AP82" i="16"/>
  <c r="AP74" i="16"/>
  <c r="AP130" i="16"/>
  <c r="AP73" i="16"/>
  <c r="AP131" i="16"/>
  <c r="AP72" i="16"/>
  <c r="AP151" i="16"/>
  <c r="AP70" i="16"/>
  <c r="AP102" i="16"/>
  <c r="AP100" i="16"/>
  <c r="AP98" i="16"/>
  <c r="AP99" i="16"/>
  <c r="AP71" i="16"/>
  <c r="AP69" i="16"/>
  <c r="AP50" i="16"/>
  <c r="AP68" i="16"/>
  <c r="AP67" i="16"/>
  <c r="AP48" i="16"/>
  <c r="AP47" i="16"/>
  <c r="AP77" i="16"/>
  <c r="AP46" i="16"/>
  <c r="AP43" i="16"/>
  <c r="AP17" i="16"/>
  <c r="AP44" i="16"/>
  <c r="AP23" i="16"/>
  <c r="AP40" i="16"/>
  <c r="AP21" i="16"/>
  <c r="AP19" i="16"/>
  <c r="AP45" i="16"/>
  <c r="AP13" i="16"/>
  <c r="AP14" i="16"/>
  <c r="AP42" i="16"/>
  <c r="AO128" i="16"/>
  <c r="AO28" i="15"/>
  <c r="AO110" i="16"/>
  <c r="AQ117" i="16"/>
  <c r="AQ91" i="16"/>
  <c r="AQ90" i="16"/>
  <c r="AQ118" i="16"/>
  <c r="AQ119" i="16" s="1"/>
  <c r="AQ120" i="16" s="1"/>
  <c r="AQ64" i="16"/>
  <c r="AQ63" i="16"/>
  <c r="AQ66" i="16" s="1"/>
  <c r="AQ37" i="16"/>
  <c r="AQ10" i="16"/>
  <c r="AQ9" i="16"/>
  <c r="AR4" i="16"/>
  <c r="AQ36" i="16"/>
  <c r="AQ5" i="16"/>
  <c r="AP92" i="16"/>
  <c r="AP93" i="16" s="1"/>
  <c r="AP103" i="16" s="1"/>
  <c r="AO136" i="16"/>
  <c r="AO47" i="15"/>
  <c r="AO41" i="15"/>
  <c r="AO144" i="17"/>
  <c r="AO153" i="17" s="1"/>
  <c r="AP11" i="17"/>
  <c r="AP12" i="17" s="1"/>
  <c r="AP15" i="17" s="1"/>
  <c r="AP119" i="17"/>
  <c r="AP120" i="17" s="1"/>
  <c r="AP136" i="17" s="1"/>
  <c r="AN175" i="17"/>
  <c r="C180" i="17" s="1"/>
  <c r="AP119" i="15"/>
  <c r="AP120" i="15" s="1"/>
  <c r="AP130" i="15" s="1"/>
  <c r="AO55" i="15"/>
  <c r="AO123" i="17"/>
  <c r="AJ178" i="15"/>
  <c r="AI179" i="15"/>
  <c r="AO83" i="16"/>
  <c r="AO130" i="16"/>
  <c r="AO126" i="17"/>
  <c r="AO158" i="17"/>
  <c r="AO176" i="17" s="1"/>
  <c r="AI178" i="17"/>
  <c r="AH179" i="17"/>
  <c r="AP11" i="16"/>
  <c r="AP12" i="16" s="1"/>
  <c r="AP28" i="16" s="1"/>
  <c r="AO43" i="15"/>
  <c r="AO83" i="15"/>
  <c r="AO42" i="15"/>
  <c r="AO123" i="15"/>
  <c r="AO15" i="17"/>
  <c r="AO29" i="17" s="1"/>
  <c r="AO124" i="17"/>
  <c r="AP38" i="17"/>
  <c r="AP39" i="17" s="1"/>
  <c r="AP45" i="17" s="1"/>
  <c r="AO158" i="16"/>
  <c r="AO176" i="16" s="1"/>
  <c r="AO29" i="16"/>
  <c r="AO124" i="15"/>
  <c r="AO28" i="17"/>
  <c r="AO16" i="17"/>
  <c r="AN174" i="17"/>
  <c r="AO20" i="15"/>
  <c r="AP92" i="15"/>
  <c r="AP93" i="15" s="1"/>
  <c r="AP109" i="15" s="1"/>
  <c r="AQ118" i="15"/>
  <c r="AQ117" i="15"/>
  <c r="AQ91" i="15"/>
  <c r="AQ90" i="15"/>
  <c r="AQ37" i="15"/>
  <c r="AQ36" i="15"/>
  <c r="AQ64" i="15"/>
  <c r="AQ63" i="15"/>
  <c r="AQ66" i="15" s="1"/>
  <c r="AQ10" i="15"/>
  <c r="AQ9" i="15"/>
  <c r="AR4" i="15"/>
  <c r="AQ5" i="15"/>
  <c r="AP11" i="15"/>
  <c r="AP12" i="15" s="1"/>
  <c r="AP65" i="15"/>
  <c r="AO56" i="16"/>
  <c r="AO123" i="16"/>
  <c r="AO15" i="15"/>
  <c r="AO130" i="15"/>
  <c r="AO137" i="17"/>
  <c r="AI178" i="16"/>
  <c r="AH179" i="16"/>
  <c r="AP149" i="15"/>
  <c r="AP157" i="15"/>
  <c r="AP156" i="15"/>
  <c r="AP155" i="15"/>
  <c r="AP154" i="15"/>
  <c r="AP152" i="15"/>
  <c r="AP127" i="15"/>
  <c r="AP125" i="15"/>
  <c r="AP124" i="15"/>
  <c r="AP123" i="15"/>
  <c r="AP122" i="15"/>
  <c r="AP121" i="15"/>
  <c r="AP150" i="15"/>
  <c r="AP151" i="15"/>
  <c r="AP131" i="15"/>
  <c r="AP100" i="15"/>
  <c r="AP98" i="15"/>
  <c r="AP103" i="15"/>
  <c r="AP97" i="15"/>
  <c r="AP96" i="15"/>
  <c r="AP77" i="15"/>
  <c r="AP95" i="15"/>
  <c r="AP76" i="15"/>
  <c r="AP94" i="15"/>
  <c r="AP75" i="15"/>
  <c r="AP129" i="15"/>
  <c r="AP82" i="15"/>
  <c r="AP73" i="15"/>
  <c r="AP70" i="15"/>
  <c r="AP41" i="15"/>
  <c r="AP40" i="15"/>
  <c r="AP72" i="15"/>
  <c r="AP69" i="15"/>
  <c r="AP50" i="15"/>
  <c r="AP68" i="15"/>
  <c r="AP49" i="15"/>
  <c r="AP104" i="15"/>
  <c r="AP67" i="15"/>
  <c r="AP48" i="15"/>
  <c r="AP55" i="15"/>
  <c r="AP47" i="15"/>
  <c r="AP46" i="15"/>
  <c r="AP101" i="15"/>
  <c r="AP45" i="15"/>
  <c r="AP102" i="15"/>
  <c r="AP74" i="15"/>
  <c r="AP44" i="15"/>
  <c r="AP23" i="15"/>
  <c r="AP17" i="15"/>
  <c r="AP71" i="15"/>
  <c r="AP42" i="15"/>
  <c r="AP14" i="15"/>
  <c r="AP43" i="15"/>
  <c r="AP13" i="15"/>
  <c r="AP21" i="15"/>
  <c r="AP19" i="15"/>
  <c r="AN144" i="16"/>
  <c r="AN153" i="16" s="1"/>
  <c r="AN158" i="16" s="1"/>
  <c r="AN176" i="16" s="1"/>
  <c r="AN18" i="16"/>
  <c r="AN16" i="16"/>
  <c r="AN15" i="16"/>
  <c r="AN28" i="16"/>
  <c r="AN22" i="16"/>
  <c r="AO174" i="16"/>
  <c r="AO16" i="15"/>
  <c r="AO20" i="17"/>
  <c r="AO110" i="17"/>
  <c r="AP65" i="17"/>
  <c r="AP74" i="17" s="1"/>
  <c r="AO175" i="17" l="1"/>
  <c r="AP18" i="16"/>
  <c r="AP126" i="15"/>
  <c r="AO56" i="15"/>
  <c r="AP22" i="16"/>
  <c r="AP128" i="17"/>
  <c r="AP99" i="15"/>
  <c r="AP55" i="16"/>
  <c r="AO29" i="15"/>
  <c r="AO175" i="15" s="1"/>
  <c r="AP136" i="15"/>
  <c r="AO137" i="16"/>
  <c r="AO175" i="16" s="1"/>
  <c r="AO177" i="16" s="1"/>
  <c r="AN29" i="16"/>
  <c r="AN175" i="16" s="1"/>
  <c r="C180" i="16" s="1"/>
  <c r="J63" i="9" s="1"/>
  <c r="B21" i="2" s="1"/>
  <c r="AP144" i="15"/>
  <c r="AP153" i="15" s="1"/>
  <c r="AP41" i="16"/>
  <c r="AO137" i="15"/>
  <c r="AP128" i="15"/>
  <c r="AP22" i="17"/>
  <c r="AQ92" i="15"/>
  <c r="AQ93" i="15" s="1"/>
  <c r="AQ38" i="17"/>
  <c r="AQ39" i="17" s="1"/>
  <c r="AP158" i="15"/>
  <c r="AP176" i="15" s="1"/>
  <c r="AR118" i="15"/>
  <c r="AR117" i="15"/>
  <c r="AR91" i="15"/>
  <c r="AR90" i="15"/>
  <c r="AR37" i="15"/>
  <c r="AR36" i="15"/>
  <c r="AR64" i="15"/>
  <c r="AR63" i="15"/>
  <c r="AR66" i="15" s="1"/>
  <c r="AR10" i="15"/>
  <c r="AR9" i="15"/>
  <c r="AS4" i="15"/>
  <c r="AR5" i="15"/>
  <c r="AP144" i="16"/>
  <c r="AP153" i="16" s="1"/>
  <c r="AP158" i="16" s="1"/>
  <c r="AP176" i="16" s="1"/>
  <c r="AK178" i="15"/>
  <c r="AJ179" i="15"/>
  <c r="AP96" i="16"/>
  <c r="AP42" i="17"/>
  <c r="AP28" i="17"/>
  <c r="AP56" i="15"/>
  <c r="AO174" i="15"/>
  <c r="AP137" i="15"/>
  <c r="AQ11" i="15"/>
  <c r="AQ12" i="15" s="1"/>
  <c r="AQ16" i="15" s="1"/>
  <c r="AQ119" i="15"/>
  <c r="AQ120" i="15" s="1"/>
  <c r="AQ130" i="15" s="1"/>
  <c r="AJ178" i="17"/>
  <c r="AI179" i="17"/>
  <c r="AQ149" i="16"/>
  <c r="AQ157" i="16"/>
  <c r="AQ156" i="16"/>
  <c r="AQ155" i="16"/>
  <c r="AQ154" i="16"/>
  <c r="AQ136" i="16"/>
  <c r="AQ128" i="16"/>
  <c r="AQ127" i="16"/>
  <c r="AQ150" i="16"/>
  <c r="AQ126" i="16"/>
  <c r="AQ125" i="16"/>
  <c r="AQ124" i="16"/>
  <c r="AQ123" i="16"/>
  <c r="AQ104" i="16"/>
  <c r="AQ152" i="16"/>
  <c r="AQ122" i="16"/>
  <c r="AQ121" i="16"/>
  <c r="AQ131" i="16"/>
  <c r="AQ94" i="16"/>
  <c r="AQ75" i="16"/>
  <c r="AQ129" i="16"/>
  <c r="AQ82" i="16"/>
  <c r="AQ130" i="16"/>
  <c r="AQ73" i="16"/>
  <c r="AQ71" i="16"/>
  <c r="AQ151" i="16"/>
  <c r="AQ102" i="16"/>
  <c r="AQ100" i="16"/>
  <c r="AQ69" i="16"/>
  <c r="AQ50" i="16"/>
  <c r="AQ76" i="16"/>
  <c r="AQ72" i="16"/>
  <c r="AQ70" i="16"/>
  <c r="AQ68" i="16"/>
  <c r="AQ67" i="16"/>
  <c r="AQ48" i="16"/>
  <c r="AQ98" i="16"/>
  <c r="AQ77" i="16"/>
  <c r="AQ46" i="16"/>
  <c r="AQ17" i="16"/>
  <c r="AQ44" i="16"/>
  <c r="AQ14" i="16"/>
  <c r="AQ23" i="16"/>
  <c r="AQ45" i="16"/>
  <c r="AQ19" i="16"/>
  <c r="AQ13" i="16"/>
  <c r="AQ40" i="16"/>
  <c r="AQ21" i="16"/>
  <c r="AP97" i="16"/>
  <c r="AQ65" i="17"/>
  <c r="AP130" i="17"/>
  <c r="AP15" i="15"/>
  <c r="AJ178" i="16"/>
  <c r="AI179" i="16"/>
  <c r="AQ92" i="16"/>
  <c r="AQ93" i="16" s="1"/>
  <c r="AQ97" i="16" s="1"/>
  <c r="AP16" i="17"/>
  <c r="AP83" i="17"/>
  <c r="AN177" i="15"/>
  <c r="AN174" i="16"/>
  <c r="AO174" i="17"/>
  <c r="AO177" i="17" s="1"/>
  <c r="AQ157" i="15"/>
  <c r="AQ156" i="15"/>
  <c r="AQ155" i="15"/>
  <c r="AQ154" i="15"/>
  <c r="AQ152" i="15"/>
  <c r="AQ151" i="15"/>
  <c r="AQ125" i="15"/>
  <c r="AQ104" i="15"/>
  <c r="AQ122" i="15"/>
  <c r="AQ149" i="15"/>
  <c r="AQ121" i="15"/>
  <c r="AQ150" i="15"/>
  <c r="AQ109" i="15"/>
  <c r="AQ131" i="15"/>
  <c r="AQ129" i="15"/>
  <c r="AQ99" i="15"/>
  <c r="AQ98" i="15"/>
  <c r="AQ103" i="15"/>
  <c r="AQ97" i="15"/>
  <c r="AQ96" i="15"/>
  <c r="AQ77" i="15"/>
  <c r="AQ127" i="15"/>
  <c r="AQ95" i="15"/>
  <c r="AQ76" i="15"/>
  <c r="AQ94" i="15"/>
  <c r="AQ75" i="15"/>
  <c r="AQ82" i="15"/>
  <c r="AQ72" i="15"/>
  <c r="AQ102" i="15"/>
  <c r="AQ40" i="15"/>
  <c r="AQ69" i="15"/>
  <c r="AQ50" i="15"/>
  <c r="AQ68" i="15"/>
  <c r="AQ67" i="15"/>
  <c r="AQ48" i="15"/>
  <c r="AQ73" i="15"/>
  <c r="AQ100" i="15"/>
  <c r="AQ46" i="15"/>
  <c r="AQ101" i="15"/>
  <c r="AQ44" i="15"/>
  <c r="AQ17" i="15"/>
  <c r="AQ71" i="15"/>
  <c r="AQ14" i="15"/>
  <c r="AQ13" i="15"/>
  <c r="AQ70" i="15"/>
  <c r="AQ21" i="15"/>
  <c r="AQ19" i="15"/>
  <c r="AQ23" i="15"/>
  <c r="AQ65" i="16"/>
  <c r="AQ74" i="16" s="1"/>
  <c r="AR118" i="16"/>
  <c r="AR117" i="16"/>
  <c r="AR91" i="16"/>
  <c r="AR90" i="16"/>
  <c r="AR64" i="16"/>
  <c r="AR63" i="16"/>
  <c r="AR66" i="16" s="1"/>
  <c r="AR37" i="16"/>
  <c r="AR10" i="16"/>
  <c r="AR9" i="16"/>
  <c r="AS4" i="16"/>
  <c r="AR36" i="16"/>
  <c r="AR5" i="16"/>
  <c r="AP56" i="16"/>
  <c r="AP43" i="17"/>
  <c r="AP101" i="17"/>
  <c r="AP20" i="15"/>
  <c r="AP20" i="16"/>
  <c r="AP83" i="16"/>
  <c r="AP101" i="16"/>
  <c r="AP95" i="16"/>
  <c r="AP110" i="16" s="1"/>
  <c r="AP49" i="17"/>
  <c r="AP109" i="17"/>
  <c r="AP18" i="15"/>
  <c r="AQ65" i="15"/>
  <c r="AQ74" i="15" s="1"/>
  <c r="AQ11" i="16"/>
  <c r="AQ12" i="16" s="1"/>
  <c r="AQ16" i="16" s="1"/>
  <c r="AP109" i="16"/>
  <c r="AQ149" i="17"/>
  <c r="AQ156" i="17"/>
  <c r="AQ152" i="17"/>
  <c r="AQ131" i="17"/>
  <c r="AQ155" i="17"/>
  <c r="AQ151" i="17"/>
  <c r="AQ150" i="17"/>
  <c r="AQ157" i="17"/>
  <c r="AQ129" i="17"/>
  <c r="AQ154" i="17"/>
  <c r="AQ128" i="17"/>
  <c r="AQ127" i="17"/>
  <c r="AQ126" i="17"/>
  <c r="AQ136" i="17"/>
  <c r="AQ124" i="17"/>
  <c r="AQ130" i="17"/>
  <c r="AQ123" i="17"/>
  <c r="AQ125" i="17"/>
  <c r="AQ121" i="17"/>
  <c r="AQ100" i="17"/>
  <c r="AQ122" i="17"/>
  <c r="AQ104" i="17"/>
  <c r="AQ102" i="17"/>
  <c r="AQ101" i="17"/>
  <c r="AQ98" i="17"/>
  <c r="AQ94" i="17"/>
  <c r="AQ77" i="17"/>
  <c r="AQ76" i="17"/>
  <c r="AQ75" i="17"/>
  <c r="AQ74" i="17"/>
  <c r="AQ73" i="17"/>
  <c r="AQ70" i="17"/>
  <c r="AQ69" i="17"/>
  <c r="AQ72" i="17"/>
  <c r="AQ97" i="17"/>
  <c r="AQ47" i="17"/>
  <c r="AQ71" i="17"/>
  <c r="AQ67" i="17"/>
  <c r="AQ46" i="17"/>
  <c r="AQ68" i="17"/>
  <c r="AQ45" i="17"/>
  <c r="AQ50" i="17"/>
  <c r="AQ44" i="17"/>
  <c r="AQ55" i="17"/>
  <c r="AQ49" i="17"/>
  <c r="AQ43" i="17"/>
  <c r="AQ82" i="17"/>
  <c r="AQ40" i="17"/>
  <c r="AQ56" i="17" s="1"/>
  <c r="AQ14" i="17"/>
  <c r="AQ48" i="17"/>
  <c r="AQ13" i="17"/>
  <c r="AQ23" i="17"/>
  <c r="AQ42" i="17"/>
  <c r="AQ21" i="17"/>
  <c r="AQ19" i="17"/>
  <c r="AQ41" i="17"/>
  <c r="AQ17" i="17"/>
  <c r="AQ92" i="17"/>
  <c r="AQ93" i="17" s="1"/>
  <c r="AQ99" i="17" s="1"/>
  <c r="AP18" i="17"/>
  <c r="AP47" i="17"/>
  <c r="AP103" i="17"/>
  <c r="AP123" i="17"/>
  <c r="AP22" i="15"/>
  <c r="AP110" i="15"/>
  <c r="AP144" i="17"/>
  <c r="AP153" i="17" s="1"/>
  <c r="AP158" i="17" s="1"/>
  <c r="AP176" i="17" s="1"/>
  <c r="AQ38" i="16"/>
  <c r="AQ39" i="16" s="1"/>
  <c r="AQ49" i="16" s="1"/>
  <c r="AP15" i="16"/>
  <c r="AP137" i="16"/>
  <c r="AR117" i="17"/>
  <c r="AR91" i="17"/>
  <c r="AR90" i="17"/>
  <c r="AR118" i="17"/>
  <c r="AR119" i="17" s="1"/>
  <c r="AR120" i="17" s="1"/>
  <c r="AR64" i="17"/>
  <c r="AR65" i="17" s="1"/>
  <c r="AR63" i="17"/>
  <c r="AR66" i="17" s="1"/>
  <c r="AR37" i="17"/>
  <c r="AR36" i="17"/>
  <c r="AR10" i="17"/>
  <c r="AR9" i="17"/>
  <c r="AS4" i="17"/>
  <c r="AR5" i="17"/>
  <c r="AP41" i="17"/>
  <c r="AP55" i="17"/>
  <c r="AP126" i="17"/>
  <c r="AP83" i="15"/>
  <c r="AP28" i="15"/>
  <c r="AN177" i="17"/>
  <c r="AP16" i="16"/>
  <c r="AP124" i="17"/>
  <c r="AP16" i="15"/>
  <c r="AQ38" i="15"/>
  <c r="AQ39" i="15" s="1"/>
  <c r="AQ43" i="15" s="1"/>
  <c r="AQ11" i="17"/>
  <c r="AQ12" i="17" s="1"/>
  <c r="AP20" i="17"/>
  <c r="AQ95" i="17" l="1"/>
  <c r="AQ42" i="16"/>
  <c r="AP56" i="17"/>
  <c r="AQ45" i="15"/>
  <c r="AO177" i="15"/>
  <c r="AQ144" i="17"/>
  <c r="AQ153" i="17" s="1"/>
  <c r="AQ109" i="17"/>
  <c r="AQ99" i="16"/>
  <c r="AQ43" i="16"/>
  <c r="AP29" i="17"/>
  <c r="AP175" i="17" s="1"/>
  <c r="AP29" i="16"/>
  <c r="AP175" i="16" s="1"/>
  <c r="AQ28" i="15"/>
  <c r="AQ174" i="15" s="1"/>
  <c r="AN177" i="16"/>
  <c r="AR11" i="17"/>
  <c r="AR12" i="17" s="1"/>
  <c r="AP29" i="15"/>
  <c r="AP175" i="15" s="1"/>
  <c r="AQ55" i="16"/>
  <c r="AP110" i="17"/>
  <c r="AP137" i="17"/>
  <c r="AR119" i="16"/>
  <c r="AR120" i="16" s="1"/>
  <c r="AR126" i="16" s="1"/>
  <c r="AQ109" i="16"/>
  <c r="AR65" i="15"/>
  <c r="AR74" i="15" s="1"/>
  <c r="AR156" i="17"/>
  <c r="AR152" i="17"/>
  <c r="AR155" i="17"/>
  <c r="AR151" i="17"/>
  <c r="AR149" i="17"/>
  <c r="AR154" i="17"/>
  <c r="AR128" i="17"/>
  <c r="AR131" i="17"/>
  <c r="AR127" i="17"/>
  <c r="AR126" i="17"/>
  <c r="AR125" i="17"/>
  <c r="AR150" i="17"/>
  <c r="AR130" i="17"/>
  <c r="AR129" i="17"/>
  <c r="AR123" i="17"/>
  <c r="AR157" i="17"/>
  <c r="AR122" i="17"/>
  <c r="AR121" i="17"/>
  <c r="AR99" i="17"/>
  <c r="AR124" i="17"/>
  <c r="AR98" i="17"/>
  <c r="AR136" i="17"/>
  <c r="AR104" i="17"/>
  <c r="AR102" i="17"/>
  <c r="AR100" i="17"/>
  <c r="AR94" i="17"/>
  <c r="AR77" i="17"/>
  <c r="AR76" i="17"/>
  <c r="AR75" i="17"/>
  <c r="AR74" i="17"/>
  <c r="AR73" i="17"/>
  <c r="AR72" i="17"/>
  <c r="AR70" i="17"/>
  <c r="AR69" i="17"/>
  <c r="AR71" i="17"/>
  <c r="AR67" i="17"/>
  <c r="AR82" i="17"/>
  <c r="AR68" i="17"/>
  <c r="AR46" i="17"/>
  <c r="AR50" i="17"/>
  <c r="AR44" i="17"/>
  <c r="AR48" i="17"/>
  <c r="AR13" i="17"/>
  <c r="AR23" i="17"/>
  <c r="AR22" i="17"/>
  <c r="AR21" i="17"/>
  <c r="AR20" i="17"/>
  <c r="AR19" i="17"/>
  <c r="AR18" i="17"/>
  <c r="AR28" i="17"/>
  <c r="AR17" i="17"/>
  <c r="AR15" i="17"/>
  <c r="AR16" i="17"/>
  <c r="AR40" i="17"/>
  <c r="AR14" i="17"/>
  <c r="AR11" i="16"/>
  <c r="AR12" i="16" s="1"/>
  <c r="AQ18" i="16"/>
  <c r="AQ83" i="16"/>
  <c r="AQ101" i="16"/>
  <c r="AQ137" i="16"/>
  <c r="AP174" i="17"/>
  <c r="AS117" i="17"/>
  <c r="AS118" i="17"/>
  <c r="AS90" i="17"/>
  <c r="AS91" i="17"/>
  <c r="AS92" i="17" s="1"/>
  <c r="AS93" i="17" s="1"/>
  <c r="AS37" i="17"/>
  <c r="AS36" i="17"/>
  <c r="AS64" i="17"/>
  <c r="AS63" i="17"/>
  <c r="AS66" i="17" s="1"/>
  <c r="AS10" i="17"/>
  <c r="AS9" i="17"/>
  <c r="AT4" i="17"/>
  <c r="AS5" i="17"/>
  <c r="AR92" i="17"/>
  <c r="AR93" i="17" s="1"/>
  <c r="AR109" i="17" s="1"/>
  <c r="AR38" i="16"/>
  <c r="AR39" i="16" s="1"/>
  <c r="AQ42" i="15"/>
  <c r="AQ47" i="15"/>
  <c r="AQ136" i="15"/>
  <c r="AQ123" i="15"/>
  <c r="AQ137" i="15" s="1"/>
  <c r="AK178" i="16"/>
  <c r="AJ179" i="16"/>
  <c r="AQ103" i="16"/>
  <c r="AQ20" i="17"/>
  <c r="AQ103" i="17"/>
  <c r="AQ15" i="15"/>
  <c r="AQ55" i="15"/>
  <c r="AQ124" i="15"/>
  <c r="AQ15" i="16"/>
  <c r="AR38" i="15"/>
  <c r="AR39" i="15" s="1"/>
  <c r="AR45" i="15" s="1"/>
  <c r="AQ96" i="17"/>
  <c r="AQ110" i="17" s="1"/>
  <c r="AQ158" i="17"/>
  <c r="AQ176" i="17" s="1"/>
  <c r="AQ18" i="15"/>
  <c r="AQ29" i="15" s="1"/>
  <c r="AQ41" i="15"/>
  <c r="AL178" i="15"/>
  <c r="AK179" i="15"/>
  <c r="AQ126" i="15"/>
  <c r="AQ96" i="16"/>
  <c r="AQ95" i="16"/>
  <c r="AQ18" i="17"/>
  <c r="AR65" i="16"/>
  <c r="AQ83" i="15"/>
  <c r="AQ110" i="15"/>
  <c r="AP174" i="16"/>
  <c r="AQ20" i="16"/>
  <c r="AR157" i="15"/>
  <c r="AR156" i="15"/>
  <c r="AR155" i="15"/>
  <c r="AR154" i="15"/>
  <c r="AR152" i="15"/>
  <c r="AR151" i="15"/>
  <c r="AR150" i="15"/>
  <c r="AR125" i="15"/>
  <c r="AR122" i="15"/>
  <c r="AR149" i="15"/>
  <c r="AR121" i="15"/>
  <c r="AR131" i="15"/>
  <c r="AR129" i="15"/>
  <c r="AR98" i="15"/>
  <c r="AR77" i="15"/>
  <c r="AR127" i="15"/>
  <c r="AR76" i="15"/>
  <c r="AR94" i="15"/>
  <c r="AR75" i="15"/>
  <c r="AR82" i="15"/>
  <c r="AR73" i="15"/>
  <c r="AR102" i="15"/>
  <c r="AR71" i="15"/>
  <c r="AR104" i="15"/>
  <c r="AR72" i="15"/>
  <c r="AR69" i="15"/>
  <c r="AR50" i="15"/>
  <c r="AR68" i="15"/>
  <c r="AR67" i="15"/>
  <c r="AR48" i="15"/>
  <c r="AR100" i="15"/>
  <c r="AR46" i="15"/>
  <c r="AR44" i="15"/>
  <c r="AR40" i="15"/>
  <c r="AR14" i="15"/>
  <c r="AR13" i="15"/>
  <c r="AR70" i="15"/>
  <c r="AR21" i="15"/>
  <c r="AR19" i="15"/>
  <c r="AR23" i="15"/>
  <c r="AR17" i="15"/>
  <c r="AR92" i="15"/>
  <c r="AR93" i="15" s="1"/>
  <c r="AR95" i="15" s="1"/>
  <c r="AQ28" i="17"/>
  <c r="AP174" i="15"/>
  <c r="AP177" i="15" s="1"/>
  <c r="AR38" i="17"/>
  <c r="AR39" i="17" s="1"/>
  <c r="AR45" i="17" s="1"/>
  <c r="AQ144" i="16"/>
  <c r="AQ153" i="16" s="1"/>
  <c r="AQ20" i="15"/>
  <c r="AQ49" i="15"/>
  <c r="AQ128" i="15"/>
  <c r="AQ28" i="16"/>
  <c r="AQ158" i="16"/>
  <c r="AQ176" i="16" s="1"/>
  <c r="AS118" i="15"/>
  <c r="AS117" i="15"/>
  <c r="AS91" i="15"/>
  <c r="AS90" i="15"/>
  <c r="AS37" i="15"/>
  <c r="AS36" i="15"/>
  <c r="AS64" i="15"/>
  <c r="AS65" i="15" s="1"/>
  <c r="AS63" i="15"/>
  <c r="AS66" i="15" s="1"/>
  <c r="AS10" i="15"/>
  <c r="AS9" i="15"/>
  <c r="AT4" i="15"/>
  <c r="AS5" i="15"/>
  <c r="AQ144" i="15"/>
  <c r="AQ153" i="15" s="1"/>
  <c r="AQ158" i="15" s="1"/>
  <c r="AQ176" i="15" s="1"/>
  <c r="AQ16" i="17"/>
  <c r="AQ22" i="16"/>
  <c r="AS118" i="16"/>
  <c r="AS117" i="16"/>
  <c r="AS91" i="16"/>
  <c r="AS90" i="16"/>
  <c r="AS64" i="16"/>
  <c r="AS63" i="16"/>
  <c r="AS66" i="16" s="1"/>
  <c r="AS37" i="16"/>
  <c r="AS36" i="16"/>
  <c r="AS10" i="16"/>
  <c r="AS9" i="16"/>
  <c r="AT4" i="16"/>
  <c r="AS5" i="16"/>
  <c r="AQ22" i="17"/>
  <c r="AQ15" i="17"/>
  <c r="AQ83" i="17"/>
  <c r="AQ137" i="17"/>
  <c r="AR157" i="16"/>
  <c r="AR156" i="16"/>
  <c r="AR155" i="16"/>
  <c r="AR154" i="16"/>
  <c r="AR152" i="16"/>
  <c r="AR127" i="16"/>
  <c r="AR150" i="16"/>
  <c r="AR125" i="16"/>
  <c r="AR104" i="16"/>
  <c r="AR149" i="16"/>
  <c r="AR122" i="16"/>
  <c r="AR121" i="16"/>
  <c r="AR131" i="16"/>
  <c r="AR151" i="16"/>
  <c r="AR129" i="16"/>
  <c r="AR82" i="16"/>
  <c r="AR74" i="16"/>
  <c r="AR73" i="16"/>
  <c r="AR72" i="16"/>
  <c r="AR101" i="16"/>
  <c r="AR102" i="16"/>
  <c r="AR100" i="16"/>
  <c r="AR98" i="16"/>
  <c r="AR77" i="16"/>
  <c r="AR76" i="16"/>
  <c r="AR71" i="16"/>
  <c r="AR70" i="16"/>
  <c r="AR68" i="16"/>
  <c r="AR49" i="16"/>
  <c r="AR67" i="16"/>
  <c r="AR48" i="16"/>
  <c r="AR55" i="16"/>
  <c r="AR47" i="16"/>
  <c r="AR46" i="16"/>
  <c r="AR94" i="16"/>
  <c r="AR75" i="16"/>
  <c r="AR16" i="16"/>
  <c r="AR15" i="16"/>
  <c r="AR44" i="16"/>
  <c r="AR14" i="16"/>
  <c r="AR13" i="16"/>
  <c r="AR128" i="16"/>
  <c r="AR50" i="16"/>
  <c r="AR23" i="16"/>
  <c r="AR69" i="16"/>
  <c r="AR45" i="16"/>
  <c r="AR42" i="16"/>
  <c r="AR41" i="16"/>
  <c r="AR22" i="16"/>
  <c r="AR40" i="16"/>
  <c r="AR21" i="16"/>
  <c r="AR19" i="16"/>
  <c r="AR28" i="16"/>
  <c r="AR17" i="16"/>
  <c r="AR18" i="16"/>
  <c r="AR43" i="16"/>
  <c r="AR20" i="16"/>
  <c r="AR92" i="16"/>
  <c r="AR93" i="16" s="1"/>
  <c r="AR97" i="16" s="1"/>
  <c r="AQ22" i="15"/>
  <c r="AQ41" i="16"/>
  <c r="AQ47" i="16"/>
  <c r="AK178" i="17"/>
  <c r="AJ179" i="17"/>
  <c r="AR11" i="15"/>
  <c r="AR12" i="15" s="1"/>
  <c r="AR18" i="15" s="1"/>
  <c r="AR119" i="15"/>
  <c r="AR120" i="15" s="1"/>
  <c r="AR130" i="15" s="1"/>
  <c r="AS11" i="17" l="1"/>
  <c r="AS12" i="17" s="1"/>
  <c r="AR109" i="15"/>
  <c r="AQ29" i="16"/>
  <c r="AS92" i="15"/>
  <c r="AS93" i="15" s="1"/>
  <c r="AP177" i="16"/>
  <c r="AQ56" i="15"/>
  <c r="AR96" i="16"/>
  <c r="AS38" i="16"/>
  <c r="AS39" i="16" s="1"/>
  <c r="AR22" i="15"/>
  <c r="AQ29" i="17"/>
  <c r="AQ175" i="17" s="1"/>
  <c r="AR109" i="16"/>
  <c r="AQ110" i="16"/>
  <c r="AQ175" i="16" s="1"/>
  <c r="AQ56" i="16"/>
  <c r="AR99" i="16"/>
  <c r="AS65" i="16"/>
  <c r="AR28" i="15"/>
  <c r="AP177" i="17"/>
  <c r="AR95" i="17"/>
  <c r="AR95" i="16"/>
  <c r="AR103" i="16"/>
  <c r="AR101" i="15"/>
  <c r="AR83" i="16"/>
  <c r="AS11" i="16"/>
  <c r="AS12" i="16" s="1"/>
  <c r="AS144" i="16" s="1"/>
  <c r="AS153" i="16" s="1"/>
  <c r="AS11" i="15"/>
  <c r="AS12" i="15" s="1"/>
  <c r="AS119" i="15"/>
  <c r="AS120" i="15" s="1"/>
  <c r="AS130" i="15" s="1"/>
  <c r="AR47" i="15"/>
  <c r="AR96" i="15"/>
  <c r="AR29" i="17"/>
  <c r="AR83" i="17"/>
  <c r="AR137" i="17"/>
  <c r="AT118" i="15"/>
  <c r="AT117" i="15"/>
  <c r="AT91" i="15"/>
  <c r="AT90" i="15"/>
  <c r="AT37" i="15"/>
  <c r="AT36" i="15"/>
  <c r="AT64" i="15"/>
  <c r="AT63" i="15"/>
  <c r="AT66" i="15" s="1"/>
  <c r="AT10" i="15"/>
  <c r="AT9" i="15"/>
  <c r="AU4" i="15"/>
  <c r="AT5" i="15"/>
  <c r="AL178" i="16"/>
  <c r="AK179" i="16"/>
  <c r="AQ174" i="17"/>
  <c r="AQ177" i="17" s="1"/>
  <c r="AR55" i="15"/>
  <c r="AR174" i="15" s="1"/>
  <c r="AR126" i="15"/>
  <c r="AS65" i="17"/>
  <c r="AS74" i="17" s="1"/>
  <c r="AR42" i="17"/>
  <c r="AQ175" i="15"/>
  <c r="AQ177" i="15" s="1"/>
  <c r="AR29" i="16"/>
  <c r="AR15" i="15"/>
  <c r="AR99" i="15"/>
  <c r="AR97" i="15"/>
  <c r="AR123" i="15"/>
  <c r="AR41" i="15"/>
  <c r="AR103" i="15"/>
  <c r="AR110" i="15" s="1"/>
  <c r="AR124" i="15"/>
  <c r="AR137" i="15" s="1"/>
  <c r="AM178" i="15"/>
  <c r="AL179" i="15"/>
  <c r="AS38" i="17"/>
  <c r="AS39" i="17" s="1"/>
  <c r="AR43" i="17"/>
  <c r="AR101" i="17"/>
  <c r="AR47" i="17"/>
  <c r="AR123" i="16"/>
  <c r="AR16" i="15"/>
  <c r="AR83" i="15"/>
  <c r="AR49" i="17"/>
  <c r="AR97" i="17"/>
  <c r="AR56" i="16"/>
  <c r="AR136" i="16"/>
  <c r="AR124" i="16"/>
  <c r="AQ174" i="16"/>
  <c r="AR49" i="15"/>
  <c r="AR128" i="15"/>
  <c r="AR41" i="17"/>
  <c r="AR55" i="17"/>
  <c r="AR174" i="17" s="1"/>
  <c r="AR103" i="17"/>
  <c r="AL178" i="17"/>
  <c r="AK179" i="17"/>
  <c r="AR110" i="16"/>
  <c r="AR144" i="17"/>
  <c r="AR153" i="17" s="1"/>
  <c r="AR158" i="17" s="1"/>
  <c r="AR176" i="17" s="1"/>
  <c r="AS38" i="15"/>
  <c r="AS39" i="15" s="1"/>
  <c r="AS45" i="15" s="1"/>
  <c r="AR42" i="15"/>
  <c r="AR136" i="15"/>
  <c r="AR96" i="17"/>
  <c r="AS119" i="16"/>
  <c r="AS120" i="16" s="1"/>
  <c r="AR144" i="15"/>
  <c r="AR153" i="15" s="1"/>
  <c r="AR158" i="15" s="1"/>
  <c r="AR176" i="15" s="1"/>
  <c r="AR130" i="16"/>
  <c r="AR43" i="15"/>
  <c r="AS156" i="17"/>
  <c r="AS152" i="17"/>
  <c r="AS131" i="17"/>
  <c r="AS155" i="17"/>
  <c r="AS151" i="17"/>
  <c r="AS149" i="17"/>
  <c r="AS154" i="17"/>
  <c r="AS150" i="17"/>
  <c r="AS157" i="17"/>
  <c r="AS127" i="17"/>
  <c r="AS125" i="17"/>
  <c r="AS129" i="17"/>
  <c r="AS98" i="17"/>
  <c r="AS97" i="17"/>
  <c r="AS104" i="17"/>
  <c r="AS96" i="17"/>
  <c r="AS103" i="17"/>
  <c r="AS122" i="17"/>
  <c r="AS102" i="17"/>
  <c r="AS101" i="17"/>
  <c r="AS100" i="17"/>
  <c r="AS95" i="17"/>
  <c r="AS121" i="17"/>
  <c r="AS94" i="17"/>
  <c r="AS109" i="17"/>
  <c r="AS77" i="17"/>
  <c r="AS76" i="17"/>
  <c r="AS75" i="17"/>
  <c r="AS73" i="17"/>
  <c r="AS72" i="17"/>
  <c r="AS99" i="17"/>
  <c r="AS71" i="17"/>
  <c r="AS70" i="17"/>
  <c r="AS69" i="17"/>
  <c r="AS67" i="17"/>
  <c r="AS46" i="17"/>
  <c r="AS45" i="17"/>
  <c r="AS68" i="17"/>
  <c r="AS50" i="17"/>
  <c r="AS44" i="17"/>
  <c r="AS55" i="17"/>
  <c r="AS49" i="17"/>
  <c r="AS43" i="17"/>
  <c r="AS48" i="17"/>
  <c r="AS42" i="17"/>
  <c r="AS82" i="17"/>
  <c r="AS41" i="17"/>
  <c r="AS23" i="17"/>
  <c r="AS47" i="17"/>
  <c r="AS22" i="17"/>
  <c r="AS21" i="17"/>
  <c r="AS20" i="17"/>
  <c r="AS19" i="17"/>
  <c r="AS18" i="17"/>
  <c r="AS28" i="17"/>
  <c r="AS17" i="17"/>
  <c r="AS16" i="17"/>
  <c r="AS40" i="17"/>
  <c r="AS13" i="17"/>
  <c r="AS14" i="17"/>
  <c r="AS15" i="17"/>
  <c r="AS92" i="16"/>
  <c r="AS93" i="16" s="1"/>
  <c r="AS103" i="16" s="1"/>
  <c r="AR20" i="15"/>
  <c r="AT118" i="17"/>
  <c r="AT117" i="17"/>
  <c r="AT90" i="17"/>
  <c r="AT91" i="17"/>
  <c r="AT64" i="17"/>
  <c r="AT63" i="17"/>
  <c r="AT66" i="17" s="1"/>
  <c r="AT37" i="17"/>
  <c r="AT38" i="17" s="1"/>
  <c r="AT39" i="17" s="1"/>
  <c r="AT36" i="17"/>
  <c r="AT10" i="17"/>
  <c r="AT9" i="17"/>
  <c r="AU4" i="17"/>
  <c r="AT5" i="17"/>
  <c r="AT118" i="16"/>
  <c r="AT117" i="16"/>
  <c r="AT91" i="16"/>
  <c r="AT92" i="16" s="1"/>
  <c r="AT93" i="16" s="1"/>
  <c r="AT90" i="16"/>
  <c r="AT64" i="16"/>
  <c r="AT63" i="16"/>
  <c r="AT66" i="16" s="1"/>
  <c r="AT37" i="16"/>
  <c r="AT10" i="16"/>
  <c r="AT9" i="16"/>
  <c r="AU4" i="16"/>
  <c r="AT5" i="16"/>
  <c r="AT36" i="16"/>
  <c r="AS157" i="16"/>
  <c r="AS156" i="16"/>
  <c r="AS155" i="16"/>
  <c r="AS154" i="16"/>
  <c r="AS152" i="16"/>
  <c r="AS151" i="16"/>
  <c r="AS150" i="16"/>
  <c r="AS126" i="16"/>
  <c r="AS125" i="16"/>
  <c r="AS124" i="16"/>
  <c r="AS123" i="16"/>
  <c r="AS104" i="16"/>
  <c r="AS149" i="16"/>
  <c r="AS122" i="16"/>
  <c r="AS121" i="16"/>
  <c r="AS102" i="16"/>
  <c r="AS109" i="16"/>
  <c r="AS131" i="16"/>
  <c r="AS130" i="16"/>
  <c r="AS129" i="16"/>
  <c r="AS73" i="16"/>
  <c r="AS136" i="16"/>
  <c r="AS72" i="16"/>
  <c r="AS71" i="16"/>
  <c r="AS100" i="16"/>
  <c r="AS99" i="16"/>
  <c r="AS98" i="16"/>
  <c r="AS97" i="16"/>
  <c r="AS127" i="16"/>
  <c r="AS95" i="16"/>
  <c r="AS76" i="16"/>
  <c r="AS67" i="16"/>
  <c r="AS48" i="16"/>
  <c r="AS55" i="16"/>
  <c r="AS47" i="16"/>
  <c r="AS46" i="16"/>
  <c r="AS77" i="16"/>
  <c r="AS82" i="16"/>
  <c r="AS94" i="16"/>
  <c r="AS74" i="16"/>
  <c r="AS128" i="16"/>
  <c r="AS96" i="16"/>
  <c r="AS69" i="16"/>
  <c r="AS44" i="16"/>
  <c r="AS14" i="16"/>
  <c r="AS13" i="16"/>
  <c r="AS50" i="16"/>
  <c r="AS68" i="16"/>
  <c r="AS49" i="16"/>
  <c r="AS23" i="16"/>
  <c r="AS45" i="16"/>
  <c r="AS42" i="16"/>
  <c r="AS41" i="16"/>
  <c r="AS40" i="16"/>
  <c r="AS21" i="16"/>
  <c r="AS75" i="16"/>
  <c r="AS43" i="16"/>
  <c r="AS70" i="16"/>
  <c r="AS19" i="16"/>
  <c r="AS17" i="16"/>
  <c r="AS157" i="15"/>
  <c r="AS156" i="15"/>
  <c r="AS155" i="15"/>
  <c r="AS154" i="15"/>
  <c r="AS152" i="15"/>
  <c r="AS151" i="15"/>
  <c r="AS150" i="15"/>
  <c r="AS149" i="15"/>
  <c r="AS124" i="15"/>
  <c r="AS104" i="15"/>
  <c r="AS122" i="15"/>
  <c r="AS121" i="15"/>
  <c r="AS109" i="15"/>
  <c r="AS131" i="15"/>
  <c r="AS129" i="15"/>
  <c r="AS127" i="15"/>
  <c r="AS125" i="15"/>
  <c r="AS103" i="15"/>
  <c r="AS97" i="15"/>
  <c r="AS126" i="15"/>
  <c r="AS96" i="15"/>
  <c r="AS77" i="15"/>
  <c r="AS95" i="15"/>
  <c r="AS76" i="15"/>
  <c r="AS94" i="15"/>
  <c r="AS75" i="15"/>
  <c r="AS82" i="15"/>
  <c r="AS74" i="15"/>
  <c r="AS73" i="15"/>
  <c r="AS72" i="15"/>
  <c r="AS102" i="15"/>
  <c r="AS101" i="15"/>
  <c r="AS100" i="15"/>
  <c r="AS69" i="15"/>
  <c r="AS50" i="15"/>
  <c r="AS68" i="15"/>
  <c r="AS98" i="15"/>
  <c r="AS67" i="15"/>
  <c r="AS48" i="15"/>
  <c r="AS99" i="15"/>
  <c r="AS47" i="15"/>
  <c r="AS46" i="15"/>
  <c r="AS44" i="15"/>
  <c r="AS71" i="15"/>
  <c r="AS70" i="15"/>
  <c r="AS15" i="15"/>
  <c r="AS14" i="15"/>
  <c r="AS13" i="15"/>
  <c r="AS22" i="15"/>
  <c r="AS28" i="15"/>
  <c r="AS21" i="15"/>
  <c r="AS20" i="15"/>
  <c r="AS19" i="15"/>
  <c r="AS23" i="15"/>
  <c r="AS18" i="15"/>
  <c r="AS17" i="15"/>
  <c r="AS40" i="15"/>
  <c r="AS16" i="15"/>
  <c r="AS119" i="17"/>
  <c r="AS120" i="17" s="1"/>
  <c r="AS144" i="17" s="1"/>
  <c r="AS153" i="17" s="1"/>
  <c r="AR144" i="16"/>
  <c r="AR153" i="16" s="1"/>
  <c r="AR158" i="16" s="1"/>
  <c r="AR176" i="16" s="1"/>
  <c r="AT11" i="16" l="1"/>
  <c r="AT12" i="16" s="1"/>
  <c r="AS130" i="17"/>
  <c r="AT92" i="15"/>
  <c r="AT93" i="15" s="1"/>
  <c r="AS124" i="17"/>
  <c r="AT65" i="16"/>
  <c r="AR29" i="15"/>
  <c r="AT119" i="15"/>
  <c r="AT120" i="15" s="1"/>
  <c r="AT92" i="17"/>
  <c r="AT93" i="17" s="1"/>
  <c r="AS126" i="17"/>
  <c r="AR137" i="16"/>
  <c r="AR56" i="17"/>
  <c r="AS22" i="16"/>
  <c r="AS56" i="16"/>
  <c r="AS16" i="16"/>
  <c r="AS15" i="16"/>
  <c r="AT119" i="16"/>
  <c r="AT120" i="16" s="1"/>
  <c r="AR110" i="17"/>
  <c r="AQ177" i="16"/>
  <c r="AR56" i="15"/>
  <c r="AR174" i="16"/>
  <c r="AR175" i="15"/>
  <c r="AS29" i="15"/>
  <c r="AS55" i="15"/>
  <c r="AS123" i="15"/>
  <c r="AT157" i="16"/>
  <c r="AT156" i="16"/>
  <c r="AT155" i="16"/>
  <c r="AT154" i="16"/>
  <c r="AT152" i="16"/>
  <c r="AT151" i="16"/>
  <c r="AT150" i="16"/>
  <c r="AT125" i="16"/>
  <c r="AT124" i="16"/>
  <c r="AT123" i="16"/>
  <c r="AT104" i="16"/>
  <c r="AT149" i="16"/>
  <c r="AT122" i="16"/>
  <c r="AT103" i="16"/>
  <c r="AT121" i="16"/>
  <c r="AT109" i="16"/>
  <c r="AT131" i="16"/>
  <c r="AT130" i="16"/>
  <c r="AT129" i="16"/>
  <c r="AT136" i="16"/>
  <c r="AT128" i="16"/>
  <c r="AT72" i="16"/>
  <c r="AT71" i="16"/>
  <c r="AT101" i="16"/>
  <c r="AT70" i="16"/>
  <c r="AT100" i="16"/>
  <c r="AT102" i="16"/>
  <c r="AT99" i="16"/>
  <c r="AT98" i="16"/>
  <c r="AT97" i="16"/>
  <c r="AT126" i="16"/>
  <c r="AT96" i="16"/>
  <c r="AT77" i="16"/>
  <c r="AT94" i="16"/>
  <c r="AT75" i="16"/>
  <c r="AT95" i="16"/>
  <c r="AT46" i="16"/>
  <c r="AT82" i="16"/>
  <c r="AT74" i="16"/>
  <c r="AT73" i="16"/>
  <c r="AT127" i="16"/>
  <c r="AT69" i="16"/>
  <c r="AT50" i="16"/>
  <c r="AT68" i="16"/>
  <c r="AT44" i="16"/>
  <c r="AT13" i="16"/>
  <c r="AT67" i="16"/>
  <c r="AT23" i="16"/>
  <c r="AT22" i="16"/>
  <c r="AT48" i="16"/>
  <c r="AT40" i="16"/>
  <c r="AT21" i="16"/>
  <c r="AT76" i="16"/>
  <c r="AT28" i="16"/>
  <c r="AT20" i="16"/>
  <c r="AT19" i="16"/>
  <c r="AT15" i="16"/>
  <c r="AT17" i="16"/>
  <c r="AT18" i="16"/>
  <c r="AT16" i="16"/>
  <c r="AT14" i="16"/>
  <c r="AT11" i="15"/>
  <c r="AT12" i="15" s="1"/>
  <c r="AS144" i="15"/>
  <c r="AS153" i="15" s="1"/>
  <c r="AS158" i="15" s="1"/>
  <c r="AS176" i="15" s="1"/>
  <c r="AT65" i="17"/>
  <c r="AS83" i="15"/>
  <c r="AM178" i="17"/>
  <c r="AL179" i="17"/>
  <c r="AS136" i="15"/>
  <c r="AS18" i="16"/>
  <c r="AT38" i="16"/>
  <c r="AT39" i="16" s="1"/>
  <c r="AT55" i="16" s="1"/>
  <c r="AR177" i="15"/>
  <c r="AT65" i="15"/>
  <c r="AT74" i="15" s="1"/>
  <c r="AS137" i="16"/>
  <c r="AS110" i="15"/>
  <c r="AS101" i="16"/>
  <c r="AS110" i="16" s="1"/>
  <c r="AT157" i="17"/>
  <c r="AT155" i="17"/>
  <c r="AT151" i="17"/>
  <c r="AT149" i="17"/>
  <c r="AT154" i="17"/>
  <c r="AT150" i="17"/>
  <c r="AT156" i="17"/>
  <c r="AT131" i="17"/>
  <c r="AT125" i="17"/>
  <c r="AT152" i="17"/>
  <c r="AT129" i="17"/>
  <c r="AT122" i="17"/>
  <c r="AT121" i="17"/>
  <c r="AT97" i="17"/>
  <c r="AT96" i="17"/>
  <c r="AT104" i="17"/>
  <c r="AT127" i="17"/>
  <c r="AT103" i="17"/>
  <c r="AT102" i="17"/>
  <c r="AT101" i="17"/>
  <c r="AT100" i="17"/>
  <c r="AT95" i="17"/>
  <c r="AT98" i="17"/>
  <c r="AT94" i="17"/>
  <c r="AT109" i="17"/>
  <c r="AT75" i="17"/>
  <c r="AT74" i="17"/>
  <c r="AT73" i="17"/>
  <c r="AT72" i="17"/>
  <c r="AT99" i="17"/>
  <c r="AT71" i="17"/>
  <c r="AT70" i="17"/>
  <c r="AT82" i="17"/>
  <c r="AT69" i="17"/>
  <c r="AT76" i="17"/>
  <c r="AT67" i="17"/>
  <c r="AT50" i="17"/>
  <c r="AT68" i="17"/>
  <c r="AT77" i="17"/>
  <c r="AT46" i="17"/>
  <c r="AT45" i="17"/>
  <c r="AT44" i="17"/>
  <c r="AT55" i="17"/>
  <c r="AT49" i="17"/>
  <c r="AT43" i="17"/>
  <c r="AT48" i="17"/>
  <c r="AT42" i="17"/>
  <c r="AT41" i="17"/>
  <c r="AT40" i="17"/>
  <c r="AT23" i="17"/>
  <c r="AT47" i="17"/>
  <c r="AT21" i="17"/>
  <c r="AT19" i="17"/>
  <c r="AT17" i="17"/>
  <c r="AT13" i="17"/>
  <c r="AT14" i="17"/>
  <c r="AS49" i="15"/>
  <c r="AS158" i="16"/>
  <c r="AS176" i="16" s="1"/>
  <c r="AU117" i="17"/>
  <c r="AU118" i="17"/>
  <c r="AU91" i="17"/>
  <c r="AU90" i="17"/>
  <c r="AU64" i="17"/>
  <c r="AU63" i="17"/>
  <c r="AU66" i="17" s="1"/>
  <c r="AU37" i="17"/>
  <c r="AU36" i="17"/>
  <c r="AU10" i="17"/>
  <c r="AU9" i="17"/>
  <c r="AV4" i="17"/>
  <c r="AU5" i="17"/>
  <c r="AR175" i="17"/>
  <c r="AR177" i="17" s="1"/>
  <c r="AS29" i="17"/>
  <c r="AS83" i="17"/>
  <c r="AS110" i="17"/>
  <c r="AS128" i="17"/>
  <c r="AS136" i="17"/>
  <c r="AS174" i="17" s="1"/>
  <c r="AT38" i="15"/>
  <c r="AT39" i="15" s="1"/>
  <c r="AU118" i="15"/>
  <c r="AU117" i="15"/>
  <c r="AU91" i="15"/>
  <c r="AU90" i="15"/>
  <c r="AU64" i="15"/>
  <c r="AU63" i="15"/>
  <c r="AU66" i="15" s="1"/>
  <c r="AU10" i="15"/>
  <c r="AU9" i="15"/>
  <c r="AV4" i="15"/>
  <c r="AU5" i="15"/>
  <c r="AU37" i="15"/>
  <c r="AU36" i="15"/>
  <c r="AU118" i="16"/>
  <c r="AU117" i="16"/>
  <c r="AU64" i="16"/>
  <c r="AU63" i="16"/>
  <c r="AU66" i="16" s="1"/>
  <c r="AU91" i="16"/>
  <c r="AU90" i="16"/>
  <c r="AU37" i="16"/>
  <c r="AU36" i="16"/>
  <c r="AU10" i="16"/>
  <c r="AU9" i="16"/>
  <c r="AV4" i="16"/>
  <c r="AU5" i="16"/>
  <c r="AS128" i="15"/>
  <c r="AS42" i="15"/>
  <c r="AS43" i="15"/>
  <c r="AS20" i="16"/>
  <c r="AS29" i="16" s="1"/>
  <c r="AS28" i="16"/>
  <c r="AT11" i="17"/>
  <c r="AT12" i="17" s="1"/>
  <c r="AT144" i="17" s="1"/>
  <c r="AT153" i="17" s="1"/>
  <c r="AT119" i="17"/>
  <c r="AT120" i="17" s="1"/>
  <c r="AT126" i="17" s="1"/>
  <c r="AS56" i="17"/>
  <c r="AS123" i="17"/>
  <c r="AS137" i="17" s="1"/>
  <c r="AS158" i="17"/>
  <c r="AS176" i="17" s="1"/>
  <c r="AN178" i="15"/>
  <c r="AM179" i="15"/>
  <c r="AM178" i="16"/>
  <c r="AL179" i="16"/>
  <c r="AS41" i="15"/>
  <c r="AS83" i="16"/>
  <c r="AR175" i="16"/>
  <c r="AR177" i="16" s="1"/>
  <c r="AT157" i="15"/>
  <c r="AT156" i="15"/>
  <c r="AT155" i="15"/>
  <c r="AT154" i="15"/>
  <c r="AT152" i="15"/>
  <c r="AT151" i="15"/>
  <c r="AT150" i="15"/>
  <c r="AT149" i="15"/>
  <c r="AT123" i="15"/>
  <c r="AT104" i="15"/>
  <c r="AT122" i="15"/>
  <c r="AT103" i="15"/>
  <c r="AT121" i="15"/>
  <c r="AT109" i="15"/>
  <c r="AT131" i="15"/>
  <c r="AT130" i="15"/>
  <c r="AT129" i="15"/>
  <c r="AT136" i="15"/>
  <c r="AT128" i="15"/>
  <c r="AT127" i="15"/>
  <c r="AT126" i="15"/>
  <c r="AT96" i="15"/>
  <c r="AT77" i="15"/>
  <c r="AT95" i="15"/>
  <c r="AT76" i="15"/>
  <c r="AT94" i="15"/>
  <c r="AT75" i="15"/>
  <c r="AT82" i="15"/>
  <c r="AT73" i="15"/>
  <c r="AT72" i="15"/>
  <c r="AT102" i="15"/>
  <c r="AT71" i="15"/>
  <c r="AT101" i="15"/>
  <c r="AT100" i="15"/>
  <c r="AT99" i="15"/>
  <c r="AT97" i="15"/>
  <c r="AT68" i="15"/>
  <c r="AT49" i="15"/>
  <c r="AT98" i="15"/>
  <c r="AT67" i="15"/>
  <c r="AT48" i="15"/>
  <c r="AT55" i="15"/>
  <c r="AT47" i="15"/>
  <c r="AT46" i="15"/>
  <c r="AT45" i="15"/>
  <c r="AT44" i="15"/>
  <c r="AT43" i="15"/>
  <c r="AT42" i="15"/>
  <c r="AT70" i="15"/>
  <c r="AT41" i="15"/>
  <c r="AT125" i="15"/>
  <c r="AT40" i="15"/>
  <c r="AT14" i="15"/>
  <c r="AT13" i="15"/>
  <c r="AT69" i="15"/>
  <c r="AT21" i="15"/>
  <c r="AT124" i="15"/>
  <c r="AT50" i="15"/>
  <c r="AT19" i="15"/>
  <c r="AT23" i="15"/>
  <c r="AT18" i="15"/>
  <c r="AT17" i="15"/>
  <c r="AU38" i="17" l="1"/>
  <c r="AU39" i="17" s="1"/>
  <c r="AT28" i="17"/>
  <c r="AT110" i="16"/>
  <c r="AU38" i="16"/>
  <c r="AU39" i="16" s="1"/>
  <c r="AU11" i="15"/>
  <c r="AU12" i="15" s="1"/>
  <c r="AT136" i="17"/>
  <c r="AS56" i="15"/>
  <c r="AS175" i="15" s="1"/>
  <c r="AU65" i="16"/>
  <c r="AT130" i="17"/>
  <c r="AS137" i="15"/>
  <c r="AT144" i="15"/>
  <c r="AT153" i="15" s="1"/>
  <c r="AU11" i="17"/>
  <c r="AU12" i="17" s="1"/>
  <c r="AU18" i="17" s="1"/>
  <c r="AS175" i="16"/>
  <c r="AU156" i="15"/>
  <c r="AU155" i="15"/>
  <c r="AU154" i="15"/>
  <c r="AU152" i="15"/>
  <c r="AU151" i="15"/>
  <c r="AU150" i="15"/>
  <c r="AU149" i="15"/>
  <c r="AU122" i="15"/>
  <c r="AU121" i="15"/>
  <c r="AU131" i="15"/>
  <c r="AU129" i="15"/>
  <c r="AU157" i="15"/>
  <c r="AU127" i="15"/>
  <c r="AU125" i="15"/>
  <c r="AU76" i="15"/>
  <c r="AU94" i="15"/>
  <c r="AU75" i="15"/>
  <c r="AU82" i="15"/>
  <c r="AU73" i="15"/>
  <c r="AU72" i="15"/>
  <c r="AU102" i="15"/>
  <c r="AU71" i="15"/>
  <c r="AU70" i="15"/>
  <c r="AU100" i="15"/>
  <c r="AU104" i="15"/>
  <c r="AU98" i="15"/>
  <c r="AU67" i="15"/>
  <c r="AU48" i="15"/>
  <c r="AU55" i="15"/>
  <c r="AU46" i="15"/>
  <c r="AU77" i="15"/>
  <c r="AU44" i="15"/>
  <c r="AU40" i="15"/>
  <c r="AU68" i="15"/>
  <c r="AU13" i="15"/>
  <c r="AU69" i="15"/>
  <c r="AU22" i="15"/>
  <c r="AU28" i="15"/>
  <c r="AU21" i="15"/>
  <c r="AU50" i="15"/>
  <c r="AU20" i="15"/>
  <c r="AU19" i="15"/>
  <c r="AU23" i="15"/>
  <c r="AU18" i="15"/>
  <c r="AU17" i="15"/>
  <c r="AU16" i="15"/>
  <c r="AU15" i="15"/>
  <c r="AU14" i="15"/>
  <c r="AT18" i="17"/>
  <c r="AT123" i="17"/>
  <c r="AT43" i="16"/>
  <c r="AT110" i="15"/>
  <c r="AU119" i="15"/>
  <c r="AU120" i="15" s="1"/>
  <c r="AU126" i="15" s="1"/>
  <c r="AU65" i="17"/>
  <c r="AT20" i="17"/>
  <c r="AT124" i="17"/>
  <c r="AT41" i="16"/>
  <c r="AS174" i="16"/>
  <c r="AS177" i="16" s="1"/>
  <c r="AT83" i="15"/>
  <c r="AT174" i="17"/>
  <c r="AV118" i="15"/>
  <c r="AV117" i="15"/>
  <c r="AV91" i="15"/>
  <c r="AV90" i="15"/>
  <c r="AV64" i="15"/>
  <c r="AV63" i="15"/>
  <c r="AV66" i="15" s="1"/>
  <c r="AV10" i="15"/>
  <c r="AV9" i="15"/>
  <c r="AW4" i="15"/>
  <c r="AV5" i="15"/>
  <c r="AV37" i="15"/>
  <c r="AV36" i="15"/>
  <c r="AT42" i="16"/>
  <c r="AU92" i="15"/>
  <c r="AU93" i="15" s="1"/>
  <c r="AU97" i="15" s="1"/>
  <c r="AT158" i="17"/>
  <c r="AT176" i="17" s="1"/>
  <c r="AU157" i="16"/>
  <c r="AU156" i="16"/>
  <c r="AU155" i="16"/>
  <c r="AU154" i="16"/>
  <c r="AU152" i="16"/>
  <c r="AU151" i="16"/>
  <c r="AU150" i="16"/>
  <c r="AU149" i="16"/>
  <c r="AU104" i="16"/>
  <c r="AU122" i="16"/>
  <c r="AU121" i="16"/>
  <c r="AU102" i="16"/>
  <c r="AU131" i="16"/>
  <c r="AU129" i="16"/>
  <c r="AU127" i="16"/>
  <c r="AU71" i="16"/>
  <c r="AU70" i="16"/>
  <c r="AU100" i="16"/>
  <c r="AU98" i="16"/>
  <c r="AU125" i="16"/>
  <c r="AU77" i="16"/>
  <c r="AU95" i="16"/>
  <c r="AU76" i="16"/>
  <c r="AU82" i="16"/>
  <c r="AU74" i="16"/>
  <c r="AU72" i="16"/>
  <c r="AU46" i="16"/>
  <c r="AU94" i="16"/>
  <c r="AU73" i="16"/>
  <c r="AU75" i="16"/>
  <c r="AU68" i="16"/>
  <c r="AU67" i="16"/>
  <c r="AU55" i="16"/>
  <c r="AU50" i="16"/>
  <c r="AU49" i="16"/>
  <c r="AU23" i="16"/>
  <c r="AU45" i="16"/>
  <c r="AU42" i="16"/>
  <c r="AU41" i="16"/>
  <c r="AU48" i="16"/>
  <c r="AU40" i="16"/>
  <c r="AU21" i="16"/>
  <c r="AU69" i="16"/>
  <c r="AU20" i="16"/>
  <c r="AU47" i="16"/>
  <c r="AU19" i="16"/>
  <c r="AU43" i="16"/>
  <c r="AU17" i="16"/>
  <c r="AU13" i="16"/>
  <c r="AU14" i="16"/>
  <c r="AU44" i="16"/>
  <c r="AS174" i="15"/>
  <c r="AT22" i="17"/>
  <c r="AN178" i="17"/>
  <c r="AM179" i="17"/>
  <c r="AT45" i="16"/>
  <c r="AU92" i="16"/>
  <c r="AU93" i="16" s="1"/>
  <c r="AU103" i="16" s="1"/>
  <c r="AV118" i="16"/>
  <c r="AV117" i="16"/>
  <c r="AV64" i="16"/>
  <c r="AV65" i="16" s="1"/>
  <c r="AV63" i="16"/>
  <c r="AV66" i="16" s="1"/>
  <c r="AV91" i="16"/>
  <c r="AV90" i="16"/>
  <c r="AV37" i="16"/>
  <c r="AV36" i="16"/>
  <c r="AW4" i="16"/>
  <c r="AV5" i="16"/>
  <c r="AV9" i="16"/>
  <c r="AV10" i="16"/>
  <c r="AV11" i="16" s="1"/>
  <c r="AV12" i="16" s="1"/>
  <c r="AU157" i="17"/>
  <c r="AU156" i="17"/>
  <c r="AU155" i="17"/>
  <c r="AU151" i="17"/>
  <c r="AU149" i="17"/>
  <c r="AU154" i="17"/>
  <c r="AU150" i="17"/>
  <c r="AU125" i="17"/>
  <c r="AU152" i="17"/>
  <c r="AU122" i="17"/>
  <c r="AU131" i="17"/>
  <c r="AU121" i="17"/>
  <c r="AU127" i="17"/>
  <c r="AU104" i="17"/>
  <c r="AU102" i="17"/>
  <c r="AU100" i="17"/>
  <c r="AU98" i="17"/>
  <c r="AU94" i="17"/>
  <c r="AU74" i="17"/>
  <c r="AU129" i="17"/>
  <c r="AU73" i="17"/>
  <c r="AU72" i="17"/>
  <c r="AU71" i="17"/>
  <c r="AU70" i="17"/>
  <c r="AU82" i="17"/>
  <c r="AU69" i="17"/>
  <c r="AU75" i="17"/>
  <c r="AU76" i="17"/>
  <c r="AU67" i="17"/>
  <c r="AU50" i="17"/>
  <c r="AU68" i="17"/>
  <c r="AU55" i="17"/>
  <c r="AU46" i="17"/>
  <c r="AU45" i="17"/>
  <c r="AU44" i="17"/>
  <c r="AU49" i="17"/>
  <c r="AU43" i="17"/>
  <c r="AU77" i="17"/>
  <c r="AU48" i="17"/>
  <c r="AU42" i="17"/>
  <c r="AU41" i="17"/>
  <c r="AU40" i="17"/>
  <c r="AU47" i="17"/>
  <c r="AU21" i="17"/>
  <c r="AU19" i="17"/>
  <c r="AU17" i="17"/>
  <c r="AU23" i="17"/>
  <c r="AU13" i="17"/>
  <c r="AU14" i="17"/>
  <c r="AU92" i="17"/>
  <c r="AU93" i="17" s="1"/>
  <c r="AU109" i="17" s="1"/>
  <c r="AT144" i="16"/>
  <c r="AT153" i="16" s="1"/>
  <c r="AT158" i="16" s="1"/>
  <c r="AT176" i="16" s="1"/>
  <c r="AT137" i="16"/>
  <c r="AT137" i="15"/>
  <c r="AU65" i="15"/>
  <c r="AU74" i="15" s="1"/>
  <c r="AV118" i="17"/>
  <c r="AV117" i="17"/>
  <c r="AV91" i="17"/>
  <c r="AV90" i="17"/>
  <c r="AV63" i="17"/>
  <c r="AV66" i="17" s="1"/>
  <c r="AV64" i="17"/>
  <c r="AV37" i="17"/>
  <c r="AV36" i="17"/>
  <c r="AV10" i="17"/>
  <c r="AV9" i="17"/>
  <c r="AW4" i="17"/>
  <c r="AV5" i="17"/>
  <c r="AU119" i="17"/>
  <c r="AU120" i="17" s="1"/>
  <c r="AU123" i="17" s="1"/>
  <c r="AT15" i="17"/>
  <c r="AT49" i="16"/>
  <c r="AT28" i="15"/>
  <c r="AT22" i="15"/>
  <c r="AU11" i="16"/>
  <c r="AU12" i="16" s="1"/>
  <c r="AU22" i="16" s="1"/>
  <c r="AU119" i="16"/>
  <c r="AU120" i="16" s="1"/>
  <c r="AU130" i="16" s="1"/>
  <c r="AT56" i="17"/>
  <c r="AT83" i="16"/>
  <c r="AT47" i="16"/>
  <c r="AT56" i="15"/>
  <c r="AU38" i="15"/>
  <c r="AU39" i="15" s="1"/>
  <c r="AU45" i="15" s="1"/>
  <c r="AT20" i="15"/>
  <c r="AT158" i="15"/>
  <c r="AT176" i="15" s="1"/>
  <c r="AT83" i="17"/>
  <c r="AT110" i="17"/>
  <c r="AT174" i="16"/>
  <c r="AT29" i="16"/>
  <c r="AN178" i="16"/>
  <c r="AM179" i="16"/>
  <c r="AO178" i="15"/>
  <c r="AN179" i="15"/>
  <c r="AT15" i="15"/>
  <c r="AT16" i="15"/>
  <c r="AS175" i="17"/>
  <c r="AS177" i="17" s="1"/>
  <c r="AT16" i="17"/>
  <c r="AT128" i="17"/>
  <c r="AT137" i="17" s="1"/>
  <c r="AU96" i="16" l="1"/>
  <c r="AU22" i="17"/>
  <c r="AU97" i="16"/>
  <c r="AU15" i="17"/>
  <c r="AU124" i="17"/>
  <c r="AT56" i="16"/>
  <c r="AU124" i="15"/>
  <c r="AU20" i="17"/>
  <c r="AU123" i="16"/>
  <c r="AS177" i="15"/>
  <c r="AV38" i="15"/>
  <c r="AV39" i="15" s="1"/>
  <c r="AU123" i="15"/>
  <c r="AU137" i="15" s="1"/>
  <c r="AU16" i="17"/>
  <c r="AU101" i="16"/>
  <c r="AU128" i="15"/>
  <c r="AT29" i="17"/>
  <c r="AU103" i="17"/>
  <c r="AU136" i="15"/>
  <c r="AT29" i="15"/>
  <c r="AT175" i="15" s="1"/>
  <c r="AU28" i="17"/>
  <c r="AU130" i="15"/>
  <c r="AT175" i="17"/>
  <c r="AU28" i="16"/>
  <c r="AU124" i="16"/>
  <c r="AV65" i="15"/>
  <c r="AU83" i="15"/>
  <c r="AU130" i="17"/>
  <c r="AU15" i="16"/>
  <c r="AU83" i="16"/>
  <c r="AU128" i="16"/>
  <c r="AO178" i="16"/>
  <c r="AN179" i="16"/>
  <c r="AT175" i="16"/>
  <c r="AU56" i="17"/>
  <c r="AU97" i="17"/>
  <c r="AU96" i="17"/>
  <c r="AV156" i="16"/>
  <c r="AV155" i="16"/>
  <c r="AV154" i="16"/>
  <c r="AV152" i="16"/>
  <c r="AV151" i="16"/>
  <c r="AV150" i="16"/>
  <c r="AV149" i="16"/>
  <c r="AV104" i="16"/>
  <c r="AV122" i="16"/>
  <c r="AV157" i="16"/>
  <c r="AV121" i="16"/>
  <c r="AV131" i="16"/>
  <c r="AV129" i="16"/>
  <c r="AV127" i="16"/>
  <c r="AV70" i="16"/>
  <c r="AV100" i="16"/>
  <c r="AV69" i="16"/>
  <c r="AV102" i="16"/>
  <c r="AV98" i="16"/>
  <c r="AV125" i="16"/>
  <c r="AV76" i="16"/>
  <c r="AV94" i="16"/>
  <c r="AV75" i="16"/>
  <c r="AV73" i="16"/>
  <c r="AV82" i="16"/>
  <c r="AV77" i="16"/>
  <c r="AV74" i="16"/>
  <c r="AV67" i="16"/>
  <c r="AV50" i="16"/>
  <c r="AV23" i="16"/>
  <c r="AV22" i="16"/>
  <c r="AV68" i="16"/>
  <c r="AV48" i="16"/>
  <c r="AV40" i="16"/>
  <c r="AV21" i="16"/>
  <c r="AV71" i="16"/>
  <c r="AV28" i="16"/>
  <c r="AV20" i="16"/>
  <c r="AV19" i="16"/>
  <c r="AV18" i="16"/>
  <c r="AV72" i="16"/>
  <c r="AV16" i="16"/>
  <c r="AV13" i="16"/>
  <c r="AV14" i="16"/>
  <c r="AV44" i="16"/>
  <c r="AV46" i="16"/>
  <c r="AV17" i="16"/>
  <c r="AV15" i="16"/>
  <c r="AV119" i="16"/>
  <c r="AV120" i="16" s="1"/>
  <c r="AV124" i="16" s="1"/>
  <c r="AU126" i="16"/>
  <c r="AU136" i="16"/>
  <c r="AU41" i="15"/>
  <c r="AT177" i="17"/>
  <c r="AU83" i="17"/>
  <c r="AU99" i="17"/>
  <c r="AW118" i="16"/>
  <c r="AW117" i="16"/>
  <c r="AW91" i="16"/>
  <c r="AW90" i="16"/>
  <c r="AW37" i="16"/>
  <c r="AW36" i="16"/>
  <c r="AW63" i="16"/>
  <c r="AW66" i="16" s="1"/>
  <c r="AW5" i="16"/>
  <c r="AW64" i="16"/>
  <c r="AW65" i="16" s="1"/>
  <c r="AW9" i="16"/>
  <c r="AW10" i="16"/>
  <c r="AW11" i="16" s="1"/>
  <c r="AW12" i="16" s="1"/>
  <c r="AX4" i="16"/>
  <c r="AU56" i="16"/>
  <c r="AU144" i="15"/>
  <c r="AU153" i="15" s="1"/>
  <c r="AU42" i="15"/>
  <c r="AU99" i="15"/>
  <c r="AV92" i="17"/>
  <c r="AV93" i="17" s="1"/>
  <c r="AV11" i="17"/>
  <c r="AV12" i="17" s="1"/>
  <c r="AV119" i="17"/>
  <c r="AV120" i="17" s="1"/>
  <c r="AV136" i="17" s="1"/>
  <c r="AU136" i="17"/>
  <c r="AV92" i="15"/>
  <c r="AV93" i="15" s="1"/>
  <c r="AV109" i="15" s="1"/>
  <c r="AU96" i="15"/>
  <c r="AU43" i="15"/>
  <c r="AU109" i="15"/>
  <c r="AV156" i="17"/>
  <c r="AV155" i="17"/>
  <c r="AV151" i="17"/>
  <c r="AV149" i="17"/>
  <c r="AV154" i="17"/>
  <c r="AV150" i="17"/>
  <c r="AV152" i="17"/>
  <c r="AV124" i="17"/>
  <c r="AV123" i="17"/>
  <c r="AV122" i="17"/>
  <c r="AV121" i="17"/>
  <c r="AV126" i="17"/>
  <c r="AV128" i="17"/>
  <c r="AV131" i="17"/>
  <c r="AV125" i="17"/>
  <c r="AV104" i="17"/>
  <c r="AV157" i="17"/>
  <c r="AV103" i="17"/>
  <c r="AV127" i="17"/>
  <c r="AV102" i="17"/>
  <c r="AV109" i="17"/>
  <c r="AV101" i="17"/>
  <c r="AV129" i="17"/>
  <c r="AV100" i="17"/>
  <c r="AV95" i="17"/>
  <c r="AV98" i="17"/>
  <c r="AV94" i="17"/>
  <c r="AV99" i="17"/>
  <c r="AV97" i="17"/>
  <c r="AV73" i="17"/>
  <c r="AV72" i="17"/>
  <c r="AV71" i="17"/>
  <c r="AV70" i="17"/>
  <c r="AV69" i="17"/>
  <c r="AV96" i="17"/>
  <c r="AV75" i="17"/>
  <c r="AV76" i="17"/>
  <c r="AV67" i="17"/>
  <c r="AV50" i="17"/>
  <c r="AV68" i="17"/>
  <c r="AV82" i="17"/>
  <c r="AV77" i="17"/>
  <c r="AV46" i="17"/>
  <c r="AV44" i="17"/>
  <c r="AV48" i="17"/>
  <c r="AV40" i="17"/>
  <c r="AV21" i="17"/>
  <c r="AV20" i="17"/>
  <c r="AV19" i="17"/>
  <c r="AV18" i="17"/>
  <c r="AV28" i="17"/>
  <c r="AV17" i="17"/>
  <c r="AV16" i="17"/>
  <c r="AV22" i="17"/>
  <c r="AV23" i="17"/>
  <c r="AV13" i="17"/>
  <c r="AV14" i="17"/>
  <c r="AV15" i="17"/>
  <c r="AV38" i="16"/>
  <c r="AV39" i="16" s="1"/>
  <c r="AV144" i="16" s="1"/>
  <c r="AV153" i="16" s="1"/>
  <c r="AU16" i="16"/>
  <c r="AU95" i="17"/>
  <c r="AU128" i="17"/>
  <c r="AU99" i="16"/>
  <c r="AU110" i="16" s="1"/>
  <c r="AU109" i="16"/>
  <c r="AV155" i="15"/>
  <c r="AV154" i="15"/>
  <c r="AV152" i="15"/>
  <c r="AV151" i="15"/>
  <c r="AV150" i="15"/>
  <c r="AV149" i="15"/>
  <c r="AV121" i="15"/>
  <c r="AV131" i="15"/>
  <c r="AV129" i="15"/>
  <c r="AV156" i="15"/>
  <c r="AV157" i="15"/>
  <c r="AV127" i="15"/>
  <c r="AV125" i="15"/>
  <c r="AV94" i="15"/>
  <c r="AV75" i="15"/>
  <c r="AV82" i="15"/>
  <c r="AV74" i="15"/>
  <c r="AV73" i="15"/>
  <c r="AV72" i="15"/>
  <c r="AV102" i="15"/>
  <c r="AV71" i="15"/>
  <c r="AV101" i="15"/>
  <c r="AV122" i="15"/>
  <c r="AV100" i="15"/>
  <c r="AV104" i="15"/>
  <c r="AV99" i="15"/>
  <c r="AV98" i="15"/>
  <c r="AV97" i="15"/>
  <c r="AV103" i="15"/>
  <c r="AV55" i="15"/>
  <c r="AV47" i="15"/>
  <c r="AV46" i="15"/>
  <c r="AV76" i="15"/>
  <c r="AV45" i="15"/>
  <c r="AV77" i="15"/>
  <c r="AV44" i="15"/>
  <c r="AV43" i="15"/>
  <c r="AV42" i="15"/>
  <c r="AV41" i="15"/>
  <c r="AV70" i="15"/>
  <c r="AV40" i="15"/>
  <c r="AV95" i="15"/>
  <c r="AV96" i="15"/>
  <c r="AV69" i="15"/>
  <c r="AV50" i="15"/>
  <c r="AV48" i="15"/>
  <c r="AV49" i="15"/>
  <c r="AV21" i="15"/>
  <c r="AV19" i="15"/>
  <c r="AV23" i="15"/>
  <c r="AV17" i="15"/>
  <c r="AV15" i="15"/>
  <c r="AV67" i="15"/>
  <c r="AV14" i="15"/>
  <c r="AV68" i="15"/>
  <c r="AV13" i="15"/>
  <c r="AU95" i="15"/>
  <c r="AU103" i="15"/>
  <c r="AO178" i="17"/>
  <c r="AN179" i="17"/>
  <c r="AU29" i="15"/>
  <c r="AW118" i="17"/>
  <c r="AW117" i="17"/>
  <c r="AW91" i="17"/>
  <c r="AW90" i="17"/>
  <c r="AW64" i="17"/>
  <c r="AW63" i="17"/>
  <c r="AW66" i="17" s="1"/>
  <c r="AW37" i="17"/>
  <c r="AW36" i="17"/>
  <c r="AX4" i="17"/>
  <c r="AW5" i="17"/>
  <c r="AW9" i="17"/>
  <c r="AW10" i="17"/>
  <c r="AW11" i="17" s="1"/>
  <c r="AW12" i="17" s="1"/>
  <c r="AT177" i="16"/>
  <c r="AU144" i="16"/>
  <c r="AU153" i="16" s="1"/>
  <c r="AU158" i="16" s="1"/>
  <c r="AU176" i="16" s="1"/>
  <c r="AU174" i="17"/>
  <c r="AU126" i="17"/>
  <c r="AU137" i="17" s="1"/>
  <c r="AU18" i="16"/>
  <c r="AW118" i="15"/>
  <c r="AW119" i="15" s="1"/>
  <c r="AW120" i="15" s="1"/>
  <c r="AW117" i="15"/>
  <c r="AW91" i="15"/>
  <c r="AW90" i="15"/>
  <c r="AW64" i="15"/>
  <c r="AW63" i="15"/>
  <c r="AW66" i="15" s="1"/>
  <c r="AW37" i="15"/>
  <c r="AW10" i="15"/>
  <c r="AW9" i="15"/>
  <c r="AX4" i="15"/>
  <c r="AW5" i="15"/>
  <c r="AW36" i="15"/>
  <c r="AU49" i="15"/>
  <c r="AP178" i="15"/>
  <c r="AO179" i="15"/>
  <c r="AU144" i="17"/>
  <c r="AU153" i="17" s="1"/>
  <c r="AU158" i="17" s="1"/>
  <c r="AU176" i="17" s="1"/>
  <c r="AV65" i="17"/>
  <c r="AV74" i="17" s="1"/>
  <c r="AU101" i="17"/>
  <c r="AV92" i="16"/>
  <c r="AV93" i="16" s="1"/>
  <c r="AV97" i="16" s="1"/>
  <c r="AU137" i="16"/>
  <c r="AV119" i="15"/>
  <c r="AV120" i="15" s="1"/>
  <c r="AV126" i="15" s="1"/>
  <c r="AU101" i="15"/>
  <c r="AU158" i="15"/>
  <c r="AU176" i="15" s="1"/>
  <c r="AU29" i="17"/>
  <c r="AV38" i="17"/>
  <c r="AV39" i="17" s="1"/>
  <c r="AV45" i="17" s="1"/>
  <c r="AT174" i="15"/>
  <c r="AT177" i="15" s="1"/>
  <c r="AV11" i="15"/>
  <c r="AV12" i="15" s="1"/>
  <c r="AU47" i="15"/>
  <c r="AV109" i="16" l="1"/>
  <c r="AW119" i="17"/>
  <c r="AW120" i="17" s="1"/>
  <c r="AV99" i="16"/>
  <c r="AU56" i="15"/>
  <c r="AU175" i="15" s="1"/>
  <c r="AW38" i="15"/>
  <c r="AW39" i="15" s="1"/>
  <c r="AV128" i="15"/>
  <c r="AU29" i="16"/>
  <c r="AU175" i="16" s="1"/>
  <c r="AV144" i="15"/>
  <c r="AV153" i="15" s="1"/>
  <c r="AU110" i="17"/>
  <c r="AU175" i="17" s="1"/>
  <c r="AU177" i="17" s="1"/>
  <c r="AV130" i="17"/>
  <c r="AW38" i="16"/>
  <c r="AW39" i="16" s="1"/>
  <c r="AW43" i="16" s="1"/>
  <c r="AU110" i="15"/>
  <c r="AV41" i="16"/>
  <c r="AV18" i="15"/>
  <c r="AV136" i="15"/>
  <c r="AV47" i="17"/>
  <c r="AV43" i="16"/>
  <c r="AV42" i="16"/>
  <c r="AV103" i="16"/>
  <c r="AV16" i="15"/>
  <c r="AW65" i="15"/>
  <c r="AW65" i="17"/>
  <c r="AV56" i="15"/>
  <c r="AX118" i="16"/>
  <c r="AX117" i="16"/>
  <c r="AX91" i="16"/>
  <c r="AX90" i="16"/>
  <c r="AX64" i="16"/>
  <c r="AX63" i="16"/>
  <c r="AX66" i="16" s="1"/>
  <c r="AX37" i="16"/>
  <c r="AX36" i="16"/>
  <c r="AX10" i="16"/>
  <c r="AX9" i="16"/>
  <c r="AX5" i="16"/>
  <c r="AY4" i="16"/>
  <c r="AW92" i="16"/>
  <c r="AW93" i="16" s="1"/>
  <c r="AW97" i="16" s="1"/>
  <c r="AV101" i="16"/>
  <c r="AV29" i="17"/>
  <c r="AV41" i="17"/>
  <c r="AV49" i="17"/>
  <c r="AV47" i="16"/>
  <c r="AV49" i="16"/>
  <c r="AV95" i="16"/>
  <c r="AV110" i="16" s="1"/>
  <c r="AV126" i="16"/>
  <c r="AV45" i="16"/>
  <c r="AP178" i="17"/>
  <c r="AO179" i="17"/>
  <c r="AV20" i="15"/>
  <c r="AV130" i="15"/>
  <c r="AV42" i="17"/>
  <c r="AV110" i="17"/>
  <c r="AV96" i="16"/>
  <c r="AV123" i="16"/>
  <c r="AV83" i="17"/>
  <c r="AW119" i="16"/>
  <c r="AW120" i="16" s="1"/>
  <c r="AW123" i="16" s="1"/>
  <c r="AV55" i="16"/>
  <c r="AV128" i="16"/>
  <c r="AV158" i="16"/>
  <c r="AV176" i="16" s="1"/>
  <c r="AW92" i="17"/>
  <c r="AW93" i="17" s="1"/>
  <c r="AW95" i="17" s="1"/>
  <c r="AU174" i="15"/>
  <c r="AX118" i="15"/>
  <c r="AX117" i="15"/>
  <c r="AX91" i="15"/>
  <c r="AX90" i="15"/>
  <c r="AX64" i="15"/>
  <c r="AX63" i="15"/>
  <c r="AX66" i="15" s="1"/>
  <c r="AX37" i="15"/>
  <c r="AX36" i="15"/>
  <c r="AX10" i="15"/>
  <c r="AX11" i="15" s="1"/>
  <c r="AX12" i="15" s="1"/>
  <c r="AX9" i="15"/>
  <c r="AY4" i="15"/>
  <c r="AX5" i="15"/>
  <c r="AV28" i="15"/>
  <c r="AV110" i="15"/>
  <c r="AV55" i="17"/>
  <c r="AW155" i="16"/>
  <c r="AW154" i="16"/>
  <c r="AW152" i="16"/>
  <c r="AW151" i="16"/>
  <c r="AW150" i="16"/>
  <c r="AW149" i="16"/>
  <c r="AW122" i="16"/>
  <c r="AW157" i="16"/>
  <c r="AW121" i="16"/>
  <c r="AW102" i="16"/>
  <c r="AW131" i="16"/>
  <c r="AW156" i="16"/>
  <c r="AW129" i="16"/>
  <c r="AW136" i="16"/>
  <c r="AW128" i="16"/>
  <c r="AW127" i="16"/>
  <c r="AW126" i="16"/>
  <c r="AW125" i="16"/>
  <c r="AW100" i="16"/>
  <c r="AW98" i="16"/>
  <c r="AW77" i="16"/>
  <c r="AW94" i="16"/>
  <c r="AW75" i="16"/>
  <c r="AW82" i="16"/>
  <c r="AW74" i="16"/>
  <c r="AW104" i="16"/>
  <c r="AW44" i="16"/>
  <c r="AW73" i="16"/>
  <c r="AW101" i="16"/>
  <c r="AW50" i="16"/>
  <c r="AW69" i="16"/>
  <c r="AW68" i="16"/>
  <c r="AW76" i="16"/>
  <c r="AW72" i="16"/>
  <c r="AW71" i="16"/>
  <c r="AW70" i="16"/>
  <c r="AW49" i="16"/>
  <c r="AW23" i="16"/>
  <c r="AW67" i="16"/>
  <c r="AW41" i="16"/>
  <c r="AW22" i="16"/>
  <c r="AW48" i="16"/>
  <c r="AW45" i="16"/>
  <c r="AW40" i="16"/>
  <c r="AW21" i="16"/>
  <c r="AW28" i="16"/>
  <c r="AW20" i="16"/>
  <c r="AW47" i="16"/>
  <c r="AW19" i="16"/>
  <c r="AW18" i="16"/>
  <c r="AW17" i="16"/>
  <c r="AW16" i="16"/>
  <c r="AW13" i="16"/>
  <c r="AW14" i="16"/>
  <c r="AW46" i="16"/>
  <c r="AW15" i="16"/>
  <c r="AV83" i="16"/>
  <c r="AV136" i="16"/>
  <c r="AP178" i="16"/>
  <c r="AO179" i="16"/>
  <c r="AW155" i="17"/>
  <c r="AW154" i="17"/>
  <c r="AW150" i="17"/>
  <c r="AW157" i="17"/>
  <c r="AW123" i="17"/>
  <c r="AW152" i="17"/>
  <c r="AW122" i="17"/>
  <c r="AW151" i="17"/>
  <c r="AW149" i="17"/>
  <c r="AW136" i="17"/>
  <c r="AW156" i="17"/>
  <c r="AW126" i="17"/>
  <c r="AW128" i="17"/>
  <c r="AW131" i="17"/>
  <c r="AW125" i="17"/>
  <c r="AW121" i="17"/>
  <c r="AW127" i="17"/>
  <c r="AW130" i="17"/>
  <c r="AW129" i="17"/>
  <c r="AW124" i="17"/>
  <c r="AW104" i="17"/>
  <c r="AW103" i="17"/>
  <c r="AW109" i="17"/>
  <c r="AW100" i="17"/>
  <c r="AW101" i="17"/>
  <c r="AW102" i="17"/>
  <c r="AW98" i="17"/>
  <c r="AW94" i="17"/>
  <c r="AW99" i="17"/>
  <c r="AW97" i="17"/>
  <c r="AW72" i="17"/>
  <c r="AW71" i="17"/>
  <c r="AW70" i="17"/>
  <c r="AW69" i="17"/>
  <c r="AW96" i="17"/>
  <c r="AW68" i="17"/>
  <c r="AW82" i="17"/>
  <c r="AW77" i="17"/>
  <c r="AW76" i="17"/>
  <c r="AW67" i="17"/>
  <c r="AW50" i="17"/>
  <c r="AW73" i="17"/>
  <c r="AW44" i="17"/>
  <c r="AW49" i="17"/>
  <c r="AW48" i="17"/>
  <c r="AW75" i="17"/>
  <c r="AW40" i="17"/>
  <c r="AW74" i="17"/>
  <c r="AW20" i="17"/>
  <c r="AW19" i="17"/>
  <c r="AW18" i="17"/>
  <c r="AW46" i="17"/>
  <c r="AW28" i="17"/>
  <c r="AW17" i="17"/>
  <c r="AW16" i="17"/>
  <c r="AW15" i="17"/>
  <c r="AW23" i="17"/>
  <c r="AW22" i="17"/>
  <c r="AW13" i="17"/>
  <c r="AW14" i="17"/>
  <c r="AW21" i="17"/>
  <c r="AV123" i="15"/>
  <c r="AV124" i="15"/>
  <c r="AV43" i="17"/>
  <c r="AU174" i="16"/>
  <c r="AQ178" i="15"/>
  <c r="AP179" i="15"/>
  <c r="AW154" i="15"/>
  <c r="AW152" i="15"/>
  <c r="AW151" i="15"/>
  <c r="AW150" i="15"/>
  <c r="AW149" i="15"/>
  <c r="AW157" i="15"/>
  <c r="AW131" i="15"/>
  <c r="AW130" i="15"/>
  <c r="AW155" i="15"/>
  <c r="AW129" i="15"/>
  <c r="AW156" i="15"/>
  <c r="AW136" i="15"/>
  <c r="AW128" i="15"/>
  <c r="AW127" i="15"/>
  <c r="AW126" i="15"/>
  <c r="AW125" i="15"/>
  <c r="AW124" i="15"/>
  <c r="AW123" i="15"/>
  <c r="AW82" i="15"/>
  <c r="AW74" i="15"/>
  <c r="AW73" i="15"/>
  <c r="AW72" i="15"/>
  <c r="AW102" i="15"/>
  <c r="AW71" i="15"/>
  <c r="AW121" i="15"/>
  <c r="AW70" i="15"/>
  <c r="AW122" i="15"/>
  <c r="AW100" i="15"/>
  <c r="AW104" i="15"/>
  <c r="AW98" i="15"/>
  <c r="AW77" i="15"/>
  <c r="AW75" i="15"/>
  <c r="AW46" i="15"/>
  <c r="AW76" i="15"/>
  <c r="AW45" i="15"/>
  <c r="AW44" i="15"/>
  <c r="AW43" i="15"/>
  <c r="AW42" i="15"/>
  <c r="AW41" i="15"/>
  <c r="AW94" i="15"/>
  <c r="AW40" i="15"/>
  <c r="AW69" i="15"/>
  <c r="AW50" i="15"/>
  <c r="AW68" i="15"/>
  <c r="AW49" i="15"/>
  <c r="AW47" i="15"/>
  <c r="AW48" i="15"/>
  <c r="AW21" i="15"/>
  <c r="AW55" i="15"/>
  <c r="AW19" i="15"/>
  <c r="AW23" i="15"/>
  <c r="AW17" i="15"/>
  <c r="AW67" i="15"/>
  <c r="AW14" i="15"/>
  <c r="AW13" i="15"/>
  <c r="AW11" i="15"/>
  <c r="AW12" i="15" s="1"/>
  <c r="AW18" i="15" s="1"/>
  <c r="AX118" i="17"/>
  <c r="AX117" i="17"/>
  <c r="AX91" i="17"/>
  <c r="AX90" i="17"/>
  <c r="AX64" i="17"/>
  <c r="AX63" i="17"/>
  <c r="AX66" i="17" s="1"/>
  <c r="AX37" i="17"/>
  <c r="AX36" i="17"/>
  <c r="AX5" i="17"/>
  <c r="AY4" i="17"/>
  <c r="AX9" i="17"/>
  <c r="AX10" i="17"/>
  <c r="AV22" i="15"/>
  <c r="AV158" i="15"/>
  <c r="AV176" i="15" s="1"/>
  <c r="AV174" i="17"/>
  <c r="AV144" i="17"/>
  <c r="AV153" i="17" s="1"/>
  <c r="AV158" i="17" s="1"/>
  <c r="AV176" i="17" s="1"/>
  <c r="AV130" i="16"/>
  <c r="AW38" i="17"/>
  <c r="AW39" i="17" s="1"/>
  <c r="AW42" i="17" s="1"/>
  <c r="AW92" i="15"/>
  <c r="AW93" i="15" s="1"/>
  <c r="AW97" i="15" s="1"/>
  <c r="AV83" i="15"/>
  <c r="AV137" i="17"/>
  <c r="AV29" i="16"/>
  <c r="AV29" i="15" l="1"/>
  <c r="AV137" i="16"/>
  <c r="AX11" i="17"/>
  <c r="AX12" i="17" s="1"/>
  <c r="AW15" i="15"/>
  <c r="AW55" i="16"/>
  <c r="AW130" i="16"/>
  <c r="AU177" i="16"/>
  <c r="AV56" i="17"/>
  <c r="AW83" i="15"/>
  <c r="AW16" i="15"/>
  <c r="AW124" i="16"/>
  <c r="AW137" i="16" s="1"/>
  <c r="AW28" i="15"/>
  <c r="AW174" i="15" s="1"/>
  <c r="AX38" i="17"/>
  <c r="AX39" i="17" s="1"/>
  <c r="AU177" i="15"/>
  <c r="AV56" i="16"/>
  <c r="AW99" i="15"/>
  <c r="AW109" i="15"/>
  <c r="AV137" i="15"/>
  <c r="AW42" i="16"/>
  <c r="AW22" i="15"/>
  <c r="AW43" i="17"/>
  <c r="AX38" i="15"/>
  <c r="AX39" i="15" s="1"/>
  <c r="AW144" i="17"/>
  <c r="AW153" i="17" s="1"/>
  <c r="AW158" i="17" s="1"/>
  <c r="AW176" i="17" s="1"/>
  <c r="AY118" i="16"/>
  <c r="AY119" i="16" s="1"/>
  <c r="AY120" i="16" s="1"/>
  <c r="AY117" i="16"/>
  <c r="AY91" i="16"/>
  <c r="AY90" i="16"/>
  <c r="AY64" i="16"/>
  <c r="AY63" i="16"/>
  <c r="AY66" i="16" s="1"/>
  <c r="AY37" i="16"/>
  <c r="AY36" i="16"/>
  <c r="AY10" i="16"/>
  <c r="AY9" i="16"/>
  <c r="AZ4" i="16"/>
  <c r="AY5" i="16"/>
  <c r="AQ178" i="16"/>
  <c r="AP179" i="16"/>
  <c r="AW99" i="16"/>
  <c r="AW109" i="16"/>
  <c r="AW174" i="16" s="1"/>
  <c r="AX154" i="16"/>
  <c r="AX152" i="16"/>
  <c r="AX151" i="16"/>
  <c r="AX150" i="16"/>
  <c r="AX149" i="16"/>
  <c r="AX157" i="16"/>
  <c r="AX121" i="16"/>
  <c r="AX131" i="16"/>
  <c r="AX130" i="16"/>
  <c r="AX156" i="16"/>
  <c r="AX129" i="16"/>
  <c r="AX127" i="16"/>
  <c r="AX155" i="16"/>
  <c r="AX125" i="16"/>
  <c r="AX98" i="16"/>
  <c r="AX102" i="16"/>
  <c r="AX77" i="16"/>
  <c r="AX76" i="16"/>
  <c r="AX94" i="16"/>
  <c r="AX82" i="16"/>
  <c r="AX73" i="16"/>
  <c r="AX50" i="16"/>
  <c r="AX75" i="16"/>
  <c r="AX69" i="16"/>
  <c r="AX68" i="16"/>
  <c r="AX67" i="16"/>
  <c r="AX100" i="16"/>
  <c r="AX72" i="16"/>
  <c r="AX71" i="16"/>
  <c r="AX70" i="16"/>
  <c r="AX48" i="16"/>
  <c r="AX40" i="16"/>
  <c r="AX21" i="16"/>
  <c r="AX19" i="16"/>
  <c r="AX18" i="16"/>
  <c r="AX104" i="16"/>
  <c r="AX17" i="16"/>
  <c r="AX122" i="16"/>
  <c r="AX46" i="16"/>
  <c r="AX44" i="16"/>
  <c r="AX14" i="16"/>
  <c r="AX13" i="16"/>
  <c r="AX23" i="16"/>
  <c r="AW83" i="16"/>
  <c r="AW103" i="16"/>
  <c r="AV175" i="16"/>
  <c r="AW45" i="17"/>
  <c r="AX92" i="16"/>
  <c r="AX93" i="16" s="1"/>
  <c r="AX97" i="16" s="1"/>
  <c r="AW101" i="15"/>
  <c r="AW55" i="17"/>
  <c r="AX65" i="15"/>
  <c r="AX11" i="16"/>
  <c r="AX12" i="16" s="1"/>
  <c r="AX15" i="16" s="1"/>
  <c r="AX119" i="16"/>
  <c r="AX120" i="16" s="1"/>
  <c r="AX136" i="16" s="1"/>
  <c r="AX65" i="17"/>
  <c r="AW103" i="15"/>
  <c r="AW137" i="15"/>
  <c r="AV174" i="15"/>
  <c r="AV177" i="17"/>
  <c r="AW29" i="17"/>
  <c r="AW47" i="17"/>
  <c r="AW56" i="16"/>
  <c r="AW144" i="16"/>
  <c r="AW153" i="16" s="1"/>
  <c r="AW158" i="16" s="1"/>
  <c r="AW176" i="16" s="1"/>
  <c r="AQ178" i="17"/>
  <c r="AP179" i="17"/>
  <c r="AX92" i="17"/>
  <c r="AX93" i="17" s="1"/>
  <c r="AW83" i="17"/>
  <c r="AW110" i="17"/>
  <c r="AW95" i="16"/>
  <c r="AX92" i="15"/>
  <c r="AX93" i="15" s="1"/>
  <c r="AX109" i="15" s="1"/>
  <c r="AX38" i="16"/>
  <c r="AX39" i="16" s="1"/>
  <c r="AX45" i="16" s="1"/>
  <c r="AW95" i="15"/>
  <c r="AW96" i="15"/>
  <c r="AW41" i="17"/>
  <c r="AW56" i="17" s="1"/>
  <c r="AW137" i="17"/>
  <c r="AW29" i="16"/>
  <c r="AX152" i="15"/>
  <c r="AX151" i="15"/>
  <c r="AX150" i="15"/>
  <c r="AX149" i="15"/>
  <c r="AX157" i="15"/>
  <c r="AX156" i="15"/>
  <c r="AX131" i="15"/>
  <c r="AX154" i="15"/>
  <c r="AX155" i="15"/>
  <c r="AX129" i="15"/>
  <c r="AX127" i="15"/>
  <c r="AX125" i="15"/>
  <c r="AX122" i="15"/>
  <c r="AX73" i="15"/>
  <c r="AX72" i="15"/>
  <c r="AX102" i="15"/>
  <c r="AX71" i="15"/>
  <c r="AX121" i="15"/>
  <c r="AX101" i="15"/>
  <c r="AX70" i="15"/>
  <c r="AX100" i="15"/>
  <c r="AX104" i="15"/>
  <c r="AX98" i="15"/>
  <c r="AX77" i="15"/>
  <c r="AX95" i="15"/>
  <c r="AX76" i="15"/>
  <c r="AX45" i="15"/>
  <c r="AX82" i="15"/>
  <c r="AX44" i="15"/>
  <c r="AX43" i="15"/>
  <c r="AX42" i="15"/>
  <c r="AX41" i="15"/>
  <c r="AX94" i="15"/>
  <c r="AX40" i="15"/>
  <c r="AX69" i="15"/>
  <c r="AX50" i="15"/>
  <c r="AX74" i="15"/>
  <c r="AX68" i="15"/>
  <c r="AX49" i="15"/>
  <c r="AX67" i="15"/>
  <c r="AX48" i="15"/>
  <c r="AX75" i="15"/>
  <c r="AX22" i="15"/>
  <c r="AX28" i="15"/>
  <c r="AX21" i="15"/>
  <c r="AX20" i="15"/>
  <c r="AX55" i="15"/>
  <c r="AX19" i="15"/>
  <c r="AX23" i="15"/>
  <c r="AX18" i="15"/>
  <c r="AX17" i="15"/>
  <c r="AX16" i="15"/>
  <c r="AX15" i="15"/>
  <c r="AX14" i="15"/>
  <c r="AX13" i="15"/>
  <c r="AX46" i="15"/>
  <c r="AX47" i="15"/>
  <c r="AX154" i="17"/>
  <c r="AX155" i="17"/>
  <c r="AX150" i="17"/>
  <c r="AX157" i="17"/>
  <c r="AX152" i="17"/>
  <c r="AX156" i="17"/>
  <c r="AX122" i="17"/>
  <c r="AX151" i="17"/>
  <c r="AX149" i="17"/>
  <c r="AX131" i="17"/>
  <c r="AX125" i="17"/>
  <c r="AX121" i="17"/>
  <c r="AX127" i="17"/>
  <c r="AX104" i="17"/>
  <c r="AX103" i="17"/>
  <c r="AX102" i="17"/>
  <c r="AX109" i="17"/>
  <c r="AX99" i="17"/>
  <c r="AX101" i="17"/>
  <c r="AX100" i="17"/>
  <c r="AX95" i="17"/>
  <c r="AX98" i="17"/>
  <c r="AX94" i="17"/>
  <c r="AX97" i="17"/>
  <c r="AX129" i="17"/>
  <c r="AX96" i="17"/>
  <c r="AX71" i="17"/>
  <c r="AX70" i="17"/>
  <c r="AX82" i="17"/>
  <c r="AX67" i="17"/>
  <c r="AX77" i="17"/>
  <c r="AX76" i="17"/>
  <c r="AX75" i="17"/>
  <c r="AX50" i="17"/>
  <c r="AX49" i="17"/>
  <c r="AX73" i="17"/>
  <c r="AX68" i="17"/>
  <c r="AX55" i="17"/>
  <c r="AX72" i="17"/>
  <c r="AX74" i="17"/>
  <c r="AX44" i="17"/>
  <c r="AX43" i="17"/>
  <c r="AX48" i="17"/>
  <c r="AX42" i="17"/>
  <c r="AX41" i="17"/>
  <c r="AX40" i="17"/>
  <c r="AX47" i="17"/>
  <c r="AX69" i="17"/>
  <c r="AX19" i="17"/>
  <c r="AX18" i="17"/>
  <c r="AX46" i="17"/>
  <c r="AX28" i="17"/>
  <c r="AX17" i="17"/>
  <c r="AX16" i="17"/>
  <c r="AX15" i="17"/>
  <c r="AX14" i="17"/>
  <c r="AX45" i="17"/>
  <c r="AX23" i="17"/>
  <c r="AX22" i="17"/>
  <c r="AX13" i="17"/>
  <c r="AX20" i="17"/>
  <c r="AX21" i="17"/>
  <c r="AW56" i="15"/>
  <c r="AR178" i="15"/>
  <c r="AQ179" i="15"/>
  <c r="AW96" i="16"/>
  <c r="AW110" i="16" s="1"/>
  <c r="AY118" i="15"/>
  <c r="AY117" i="15"/>
  <c r="AY91" i="15"/>
  <c r="AY90" i="15"/>
  <c r="AY37" i="15"/>
  <c r="AY36" i="15"/>
  <c r="AZ4" i="15"/>
  <c r="AY5" i="15"/>
  <c r="AY63" i="15"/>
  <c r="AY66" i="15" s="1"/>
  <c r="AY64" i="15"/>
  <c r="AY9" i="15"/>
  <c r="AY10" i="15"/>
  <c r="AV174" i="16"/>
  <c r="AV177" i="16" s="1"/>
  <c r="AV175" i="17"/>
  <c r="AX65" i="16"/>
  <c r="AX74" i="16" s="1"/>
  <c r="AX144" i="17"/>
  <c r="AX153" i="17" s="1"/>
  <c r="AY118" i="17"/>
  <c r="AY117" i="17"/>
  <c r="AY91" i="17"/>
  <c r="AY90" i="17"/>
  <c r="AY64" i="17"/>
  <c r="AY63" i="17"/>
  <c r="AY66" i="17" s="1"/>
  <c r="AY37" i="17"/>
  <c r="AY38" i="17" s="1"/>
  <c r="AY39" i="17" s="1"/>
  <c r="AY36" i="17"/>
  <c r="AY10" i="17"/>
  <c r="AY9" i="17"/>
  <c r="AZ4" i="17"/>
  <c r="AY5" i="17"/>
  <c r="AX119" i="17"/>
  <c r="AX120" i="17" s="1"/>
  <c r="AX124" i="17" s="1"/>
  <c r="AW144" i="15"/>
  <c r="AW153" i="15" s="1"/>
  <c r="AW158" i="15" s="1"/>
  <c r="AW176" i="15" s="1"/>
  <c r="AW20" i="15"/>
  <c r="AW29" i="15" s="1"/>
  <c r="AW110" i="15"/>
  <c r="AX119" i="15"/>
  <c r="AX120" i="15" s="1"/>
  <c r="AX126" i="15" s="1"/>
  <c r="AX103" i="15" l="1"/>
  <c r="AX96" i="15"/>
  <c r="AY11" i="16"/>
  <c r="AY12" i="16" s="1"/>
  <c r="AX97" i="15"/>
  <c r="AX110" i="15" s="1"/>
  <c r="AX20" i="16"/>
  <c r="AX103" i="16"/>
  <c r="AX123" i="17"/>
  <c r="AX28" i="16"/>
  <c r="AX99" i="16"/>
  <c r="AX99" i="15"/>
  <c r="AX101" i="16"/>
  <c r="AY11" i="15"/>
  <c r="AY12" i="15" s="1"/>
  <c r="AX41" i="16"/>
  <c r="AX42" i="16"/>
  <c r="AV175" i="15"/>
  <c r="AV177" i="15" s="1"/>
  <c r="AW175" i="15"/>
  <c r="AX136" i="17"/>
  <c r="AX174" i="17" s="1"/>
  <c r="AX128" i="17"/>
  <c r="AX144" i="15"/>
  <c r="AX153" i="15" s="1"/>
  <c r="AX158" i="15" s="1"/>
  <c r="AX176" i="15" s="1"/>
  <c r="AW175" i="16"/>
  <c r="AW177" i="16" s="1"/>
  <c r="AX55" i="16"/>
  <c r="AX158" i="17"/>
  <c r="AX176" i="17" s="1"/>
  <c r="AW177" i="15"/>
  <c r="AX43" i="16"/>
  <c r="AX126" i="17"/>
  <c r="AX130" i="17"/>
  <c r="AX56" i="15"/>
  <c r="AX130" i="15"/>
  <c r="AX47" i="16"/>
  <c r="AX123" i="16"/>
  <c r="AX109" i="16"/>
  <c r="AR178" i="16"/>
  <c r="AQ179" i="16"/>
  <c r="AY38" i="16"/>
  <c r="AY39" i="16" s="1"/>
  <c r="AY49" i="16" s="1"/>
  <c r="AX136" i="15"/>
  <c r="AX174" i="15" s="1"/>
  <c r="AX124" i="16"/>
  <c r="AS178" i="15"/>
  <c r="AR179" i="15"/>
  <c r="AY65" i="17"/>
  <c r="AR178" i="17"/>
  <c r="AQ179" i="17"/>
  <c r="AY65" i="16"/>
  <c r="AY38" i="15"/>
  <c r="AY39" i="15" s="1"/>
  <c r="AY49" i="15" s="1"/>
  <c r="AX29" i="17"/>
  <c r="AX29" i="15"/>
  <c r="AX123" i="15"/>
  <c r="AX137" i="15" s="1"/>
  <c r="AX83" i="16"/>
  <c r="AY92" i="17"/>
  <c r="AY93" i="17" s="1"/>
  <c r="AY65" i="15"/>
  <c r="AX110" i="17"/>
  <c r="AX124" i="15"/>
  <c r="AX49" i="16"/>
  <c r="AX95" i="16"/>
  <c r="AX126" i="16"/>
  <c r="AW174" i="17"/>
  <c r="AX83" i="17"/>
  <c r="AY92" i="15"/>
  <c r="AY93" i="15" s="1"/>
  <c r="AY109" i="15" s="1"/>
  <c r="AZ118" i="17"/>
  <c r="AZ117" i="17"/>
  <c r="AZ91" i="17"/>
  <c r="AZ90" i="17"/>
  <c r="AZ64" i="17"/>
  <c r="AZ63" i="17"/>
  <c r="AZ66" i="17" s="1"/>
  <c r="AZ37" i="17"/>
  <c r="AZ36" i="17"/>
  <c r="AZ10" i="17"/>
  <c r="AZ9" i="17"/>
  <c r="BA4" i="17"/>
  <c r="AZ5" i="17"/>
  <c r="AY119" i="15"/>
  <c r="AY120" i="15" s="1"/>
  <c r="AX56" i="17"/>
  <c r="AY152" i="16"/>
  <c r="AY151" i="16"/>
  <c r="AY150" i="16"/>
  <c r="AY149" i="16"/>
  <c r="AY157" i="16"/>
  <c r="AY131" i="16"/>
  <c r="AY130" i="16"/>
  <c r="AY156" i="16"/>
  <c r="AY129" i="16"/>
  <c r="AY136" i="16"/>
  <c r="AY128" i="16"/>
  <c r="AY127" i="16"/>
  <c r="AY126" i="16"/>
  <c r="AY155" i="16"/>
  <c r="AY125" i="16"/>
  <c r="AY124" i="16"/>
  <c r="AY123" i="16"/>
  <c r="AY98" i="16"/>
  <c r="AY102" i="16"/>
  <c r="AY96" i="16"/>
  <c r="AY77" i="16"/>
  <c r="AY76" i="16"/>
  <c r="AY94" i="16"/>
  <c r="AY75" i="16"/>
  <c r="AY82" i="16"/>
  <c r="AY73" i="16"/>
  <c r="AY121" i="16"/>
  <c r="AY104" i="16"/>
  <c r="AY42" i="16"/>
  <c r="AY154" i="16"/>
  <c r="AY74" i="16"/>
  <c r="AY50" i="16"/>
  <c r="AY69" i="16"/>
  <c r="AY68" i="16"/>
  <c r="AY67" i="16"/>
  <c r="AY48" i="16"/>
  <c r="AY122" i="16"/>
  <c r="AY100" i="16"/>
  <c r="AY45" i="16"/>
  <c r="AY40" i="16"/>
  <c r="AY21" i="16"/>
  <c r="AY28" i="16"/>
  <c r="AY20" i="16"/>
  <c r="AY19" i="16"/>
  <c r="AY71" i="16"/>
  <c r="AY18" i="16"/>
  <c r="AY17" i="16"/>
  <c r="AY16" i="16"/>
  <c r="AY15" i="16"/>
  <c r="AY72" i="16"/>
  <c r="AY70" i="16"/>
  <c r="AY41" i="16"/>
  <c r="AY14" i="16"/>
  <c r="AY22" i="16"/>
  <c r="AY46" i="16"/>
  <c r="AY44" i="16"/>
  <c r="AY23" i="16"/>
  <c r="AY13" i="16"/>
  <c r="AY92" i="16"/>
  <c r="AY93" i="16" s="1"/>
  <c r="AY109" i="16" s="1"/>
  <c r="AY11" i="17"/>
  <c r="AY12" i="17" s="1"/>
  <c r="AY152" i="15"/>
  <c r="AY151" i="15"/>
  <c r="AY150" i="15"/>
  <c r="AY149" i="15"/>
  <c r="AY157" i="15"/>
  <c r="AY156" i="15"/>
  <c r="AY155" i="15"/>
  <c r="AY154" i="15"/>
  <c r="AY130" i="15"/>
  <c r="AY129" i="15"/>
  <c r="AY136" i="15"/>
  <c r="AY128" i="15"/>
  <c r="AY127" i="15"/>
  <c r="AY126" i="15"/>
  <c r="AY125" i="15"/>
  <c r="AY124" i="15"/>
  <c r="AY123" i="15"/>
  <c r="AY104" i="15"/>
  <c r="AY122" i="15"/>
  <c r="AY121" i="15"/>
  <c r="AY72" i="15"/>
  <c r="AY102" i="15"/>
  <c r="AY71" i="15"/>
  <c r="AY101" i="15"/>
  <c r="AY70" i="15"/>
  <c r="AY100" i="15"/>
  <c r="AY98" i="15"/>
  <c r="AY77" i="15"/>
  <c r="AY76" i="15"/>
  <c r="AY94" i="15"/>
  <c r="AY75" i="15"/>
  <c r="AY82" i="15"/>
  <c r="AY44" i="15"/>
  <c r="AY43" i="15"/>
  <c r="AY42" i="15"/>
  <c r="AY41" i="15"/>
  <c r="AY73" i="15"/>
  <c r="AY40" i="15"/>
  <c r="AY69" i="15"/>
  <c r="AY50" i="15"/>
  <c r="AY74" i="15"/>
  <c r="AY68" i="15"/>
  <c r="AY67" i="15"/>
  <c r="AY48" i="15"/>
  <c r="AY55" i="15"/>
  <c r="AY47" i="15"/>
  <c r="AY28" i="15"/>
  <c r="AY21" i="15"/>
  <c r="AY20" i="15"/>
  <c r="AY19" i="15"/>
  <c r="AY23" i="15"/>
  <c r="AY18" i="15"/>
  <c r="AY131" i="15"/>
  <c r="AY17" i="15"/>
  <c r="AY16" i="15"/>
  <c r="AY15" i="15"/>
  <c r="AY14" i="15"/>
  <c r="AY45" i="15"/>
  <c r="AY13" i="15"/>
  <c r="AY46" i="15"/>
  <c r="AY22" i="15"/>
  <c r="AX83" i="15"/>
  <c r="AX144" i="16"/>
  <c r="AX153" i="16" s="1"/>
  <c r="AX158" i="16" s="1"/>
  <c r="AX176" i="16" s="1"/>
  <c r="AX96" i="16"/>
  <c r="AX128" i="16"/>
  <c r="AZ118" i="16"/>
  <c r="AZ117" i="16"/>
  <c r="AZ91" i="16"/>
  <c r="AZ90" i="16"/>
  <c r="AZ37" i="16"/>
  <c r="AZ36" i="16"/>
  <c r="AZ63" i="16"/>
  <c r="AZ66" i="16" s="1"/>
  <c r="AZ64" i="16"/>
  <c r="AZ10" i="16"/>
  <c r="AZ9" i="16"/>
  <c r="BA4" i="16"/>
  <c r="AZ5" i="16"/>
  <c r="AX128" i="15"/>
  <c r="AY152" i="17"/>
  <c r="AY150" i="17"/>
  <c r="AY154" i="17"/>
  <c r="AY157" i="17"/>
  <c r="AY151" i="17"/>
  <c r="AY149" i="17"/>
  <c r="AY155" i="17"/>
  <c r="AY121" i="17"/>
  <c r="AY129" i="17"/>
  <c r="AY131" i="17"/>
  <c r="AY125" i="17"/>
  <c r="AY127" i="17"/>
  <c r="AY122" i="17"/>
  <c r="AY104" i="17"/>
  <c r="AY103" i="17"/>
  <c r="AY102" i="17"/>
  <c r="AY109" i="17"/>
  <c r="AY101" i="17"/>
  <c r="AY156" i="17"/>
  <c r="AY98" i="17"/>
  <c r="AY77" i="17"/>
  <c r="AY100" i="17"/>
  <c r="AY95" i="17"/>
  <c r="AY94" i="17"/>
  <c r="AY97" i="17"/>
  <c r="AY99" i="17"/>
  <c r="AY96" i="17"/>
  <c r="AY70" i="17"/>
  <c r="AY69" i="17"/>
  <c r="AY82" i="17"/>
  <c r="AY75" i="17"/>
  <c r="AY74" i="17"/>
  <c r="AY50" i="17"/>
  <c r="AY67" i="17"/>
  <c r="AY49" i="17"/>
  <c r="AY76" i="17"/>
  <c r="AY73" i="17"/>
  <c r="AY68" i="17"/>
  <c r="AY55" i="17"/>
  <c r="AY72" i="17"/>
  <c r="AY71" i="17"/>
  <c r="AY43" i="17"/>
  <c r="AY48" i="17"/>
  <c r="AY42" i="17"/>
  <c r="AY41" i="17"/>
  <c r="AY40" i="17"/>
  <c r="AY47" i="17"/>
  <c r="AY46" i="17"/>
  <c r="AY17" i="17"/>
  <c r="AY14" i="17"/>
  <c r="AY45" i="17"/>
  <c r="AY13" i="17"/>
  <c r="AY23" i="17"/>
  <c r="AY44" i="17"/>
  <c r="AY21" i="17"/>
  <c r="AY19" i="17"/>
  <c r="AY119" i="17"/>
  <c r="AY120" i="17" s="1"/>
  <c r="AY130" i="17" s="1"/>
  <c r="AZ117" i="15"/>
  <c r="AZ91" i="15"/>
  <c r="AZ37" i="15"/>
  <c r="AZ36" i="15"/>
  <c r="AZ118" i="15"/>
  <c r="AZ5" i="15"/>
  <c r="AZ63" i="15"/>
  <c r="AZ66" i="15" s="1"/>
  <c r="AZ90" i="15"/>
  <c r="AZ64" i="15"/>
  <c r="AZ9" i="15"/>
  <c r="AZ10" i="15"/>
  <c r="AZ11" i="15" s="1"/>
  <c r="AZ12" i="15" s="1"/>
  <c r="BA4" i="15"/>
  <c r="AW175" i="17"/>
  <c r="AX16" i="16"/>
  <c r="AX29" i="16" s="1"/>
  <c r="AX22" i="16"/>
  <c r="AY123" i="17" l="1"/>
  <c r="AY124" i="17"/>
  <c r="AZ11" i="17"/>
  <c r="AZ12" i="17" s="1"/>
  <c r="AX137" i="16"/>
  <c r="AX110" i="16"/>
  <c r="AX175" i="16" s="1"/>
  <c r="AY144" i="17"/>
  <c r="AY153" i="17" s="1"/>
  <c r="AZ11" i="16"/>
  <c r="AZ12" i="16" s="1"/>
  <c r="AZ15" i="16" s="1"/>
  <c r="AY43" i="16"/>
  <c r="AZ92" i="17"/>
  <c r="AZ93" i="17" s="1"/>
  <c r="AZ95" i="17" s="1"/>
  <c r="AY55" i="16"/>
  <c r="AY174" i="16" s="1"/>
  <c r="AY144" i="15"/>
  <c r="AY153" i="15" s="1"/>
  <c r="AX137" i="17"/>
  <c r="AX175" i="17" s="1"/>
  <c r="AX177" i="17" s="1"/>
  <c r="AZ65" i="15"/>
  <c r="AY95" i="16"/>
  <c r="AX56" i="16"/>
  <c r="AY128" i="17"/>
  <c r="AZ38" i="16"/>
  <c r="AZ39" i="16" s="1"/>
  <c r="AZ45" i="16" s="1"/>
  <c r="AY95" i="15"/>
  <c r="AY103" i="15"/>
  <c r="AW177" i="17"/>
  <c r="AY16" i="17"/>
  <c r="AY136" i="17"/>
  <c r="AZ152" i="16"/>
  <c r="AZ151" i="16"/>
  <c r="AZ150" i="16"/>
  <c r="AZ149" i="16"/>
  <c r="AZ157" i="16"/>
  <c r="AZ156" i="16"/>
  <c r="AZ131" i="16"/>
  <c r="AZ129" i="16"/>
  <c r="AZ127" i="16"/>
  <c r="AZ155" i="16"/>
  <c r="AZ125" i="16"/>
  <c r="AZ122" i="16"/>
  <c r="AZ102" i="16"/>
  <c r="AZ77" i="16"/>
  <c r="AZ76" i="16"/>
  <c r="AZ94" i="16"/>
  <c r="AZ75" i="16"/>
  <c r="AZ82" i="16"/>
  <c r="AZ72" i="16"/>
  <c r="AZ154" i="16"/>
  <c r="AZ100" i="16"/>
  <c r="AZ121" i="16"/>
  <c r="AZ73" i="16"/>
  <c r="AZ98" i="16"/>
  <c r="AZ50" i="16"/>
  <c r="AZ69" i="16"/>
  <c r="AZ68" i="16"/>
  <c r="AZ67" i="16"/>
  <c r="AZ48" i="16"/>
  <c r="AZ47" i="16"/>
  <c r="AZ71" i="16"/>
  <c r="AZ70" i="16"/>
  <c r="AZ104" i="16"/>
  <c r="AZ28" i="16"/>
  <c r="AZ19" i="16"/>
  <c r="AZ17" i="16"/>
  <c r="AZ16" i="16"/>
  <c r="AZ14" i="16"/>
  <c r="AZ46" i="16"/>
  <c r="AZ44" i="16"/>
  <c r="AZ23" i="16"/>
  <c r="AZ22" i="16"/>
  <c r="AZ40" i="16"/>
  <c r="AZ21" i="16"/>
  <c r="AZ13" i="16"/>
  <c r="AZ92" i="16"/>
  <c r="AZ93" i="16" s="1"/>
  <c r="AZ109" i="16" s="1"/>
  <c r="AY56" i="15"/>
  <c r="AY99" i="16"/>
  <c r="AY97" i="16"/>
  <c r="AY110" i="16" s="1"/>
  <c r="AZ65" i="17"/>
  <c r="AZ74" i="17" s="1"/>
  <c r="AX175" i="15"/>
  <c r="AX177" i="15" s="1"/>
  <c r="AS178" i="16"/>
  <c r="AR179" i="16"/>
  <c r="AY126" i="17"/>
  <c r="AY137" i="17" s="1"/>
  <c r="BA118" i="16"/>
  <c r="BA117" i="16"/>
  <c r="BA91" i="16"/>
  <c r="BA90" i="16"/>
  <c r="BA64" i="16"/>
  <c r="BA63" i="16"/>
  <c r="BA66" i="16" s="1"/>
  <c r="BA37" i="16"/>
  <c r="BA38" i="16" s="1"/>
  <c r="BA39" i="16" s="1"/>
  <c r="BA36" i="16"/>
  <c r="BA10" i="16"/>
  <c r="BA9" i="16"/>
  <c r="BB4" i="16"/>
  <c r="BA5" i="16"/>
  <c r="AY96" i="15"/>
  <c r="AY137" i="15"/>
  <c r="AY101" i="16"/>
  <c r="AY28" i="17"/>
  <c r="AY29" i="15"/>
  <c r="AY174" i="15"/>
  <c r="AY97" i="15"/>
  <c r="AY29" i="16"/>
  <c r="AT178" i="15"/>
  <c r="AS179" i="15"/>
  <c r="AY144" i="16"/>
  <c r="AY153" i="16" s="1"/>
  <c r="AY158" i="16" s="1"/>
  <c r="AY176" i="16" s="1"/>
  <c r="AZ38" i="17"/>
  <c r="AZ39" i="17" s="1"/>
  <c r="AZ49" i="17" s="1"/>
  <c r="AY137" i="16"/>
  <c r="AY103" i="16"/>
  <c r="AZ152" i="17"/>
  <c r="AZ151" i="17"/>
  <c r="AZ150" i="17"/>
  <c r="AZ154" i="17"/>
  <c r="AZ157" i="17"/>
  <c r="AZ156" i="17"/>
  <c r="AZ129" i="17"/>
  <c r="AZ149" i="17"/>
  <c r="AZ131" i="17"/>
  <c r="AZ125" i="17"/>
  <c r="AZ155" i="17"/>
  <c r="AZ127" i="17"/>
  <c r="AZ122" i="17"/>
  <c r="AZ103" i="17"/>
  <c r="AZ102" i="17"/>
  <c r="AZ109" i="17"/>
  <c r="AZ101" i="17"/>
  <c r="AZ100" i="17"/>
  <c r="AZ94" i="17"/>
  <c r="AZ98" i="17"/>
  <c r="AZ97" i="17"/>
  <c r="AZ99" i="17"/>
  <c r="AZ121" i="17"/>
  <c r="AZ96" i="17"/>
  <c r="AZ69" i="17"/>
  <c r="AZ104" i="17"/>
  <c r="AZ68" i="17"/>
  <c r="AZ82" i="17"/>
  <c r="AZ76" i="17"/>
  <c r="AZ73" i="17"/>
  <c r="AZ70" i="17"/>
  <c r="AZ67" i="17"/>
  <c r="AZ48" i="17"/>
  <c r="AZ55" i="17"/>
  <c r="AZ72" i="17"/>
  <c r="AZ71" i="17"/>
  <c r="AZ77" i="17"/>
  <c r="AZ42" i="17"/>
  <c r="AZ41" i="17"/>
  <c r="AZ40" i="17"/>
  <c r="AZ75" i="17"/>
  <c r="AZ50" i="17"/>
  <c r="AZ46" i="17"/>
  <c r="AZ43" i="17"/>
  <c r="AZ28" i="17"/>
  <c r="AZ17" i="17"/>
  <c r="AZ16" i="17"/>
  <c r="AZ15" i="17"/>
  <c r="AZ14" i="17"/>
  <c r="AZ45" i="17"/>
  <c r="AZ13" i="17"/>
  <c r="AZ23" i="17"/>
  <c r="AZ22" i="17"/>
  <c r="AZ44" i="17"/>
  <c r="AZ21" i="17"/>
  <c r="AZ20" i="17"/>
  <c r="AZ18" i="17"/>
  <c r="AZ19" i="17"/>
  <c r="AY20" i="17"/>
  <c r="AY18" i="17"/>
  <c r="AY158" i="17"/>
  <c r="AY176" i="17" s="1"/>
  <c r="AZ65" i="16"/>
  <c r="AZ74" i="16" s="1"/>
  <c r="AZ119" i="16"/>
  <c r="AZ120" i="16" s="1"/>
  <c r="AZ126" i="16" s="1"/>
  <c r="AY83" i="16"/>
  <c r="BA118" i="17"/>
  <c r="BA117" i="17"/>
  <c r="BA91" i="17"/>
  <c r="BA90" i="17"/>
  <c r="BA64" i="17"/>
  <c r="BA63" i="17"/>
  <c r="BA66" i="17" s="1"/>
  <c r="BA37" i="17"/>
  <c r="BA36" i="17"/>
  <c r="BA10" i="17"/>
  <c r="BA9" i="17"/>
  <c r="BB4" i="17"/>
  <c r="BA5" i="17"/>
  <c r="AY15" i="17"/>
  <c r="AZ151" i="15"/>
  <c r="AZ150" i="15"/>
  <c r="AZ149" i="15"/>
  <c r="AZ157" i="15"/>
  <c r="AZ156" i="15"/>
  <c r="AZ155" i="15"/>
  <c r="AZ154" i="15"/>
  <c r="AZ129" i="15"/>
  <c r="AZ136" i="15"/>
  <c r="AZ128" i="15"/>
  <c r="AZ127" i="15"/>
  <c r="AZ125" i="15"/>
  <c r="AZ104" i="15"/>
  <c r="AZ122" i="15"/>
  <c r="AZ121" i="15"/>
  <c r="AZ152" i="15"/>
  <c r="AZ102" i="15"/>
  <c r="AZ71" i="15"/>
  <c r="AZ70" i="15"/>
  <c r="AZ100" i="15"/>
  <c r="AZ98" i="15"/>
  <c r="AZ77" i="15"/>
  <c r="AZ76" i="15"/>
  <c r="AZ94" i="15"/>
  <c r="AZ75" i="15"/>
  <c r="AZ131" i="15"/>
  <c r="AZ82" i="15"/>
  <c r="AZ72" i="15"/>
  <c r="AZ73" i="15"/>
  <c r="AZ40" i="15"/>
  <c r="AZ69" i="15"/>
  <c r="AZ50" i="15"/>
  <c r="AZ74" i="15"/>
  <c r="AZ68" i="15"/>
  <c r="AZ67" i="15"/>
  <c r="AZ48" i="15"/>
  <c r="AZ46" i="15"/>
  <c r="AZ20" i="15"/>
  <c r="AZ19" i="15"/>
  <c r="AZ23" i="15"/>
  <c r="AZ18" i="15"/>
  <c r="AZ17" i="15"/>
  <c r="AZ16" i="15"/>
  <c r="AZ15" i="15"/>
  <c r="AZ44" i="15"/>
  <c r="AZ14" i="15"/>
  <c r="AZ13" i="15"/>
  <c r="AZ22" i="15"/>
  <c r="AZ28" i="15"/>
  <c r="AZ21" i="15"/>
  <c r="AZ38" i="15"/>
  <c r="AZ39" i="15" s="1"/>
  <c r="AZ49" i="15" s="1"/>
  <c r="AY110" i="17"/>
  <c r="AY99" i="15"/>
  <c r="AY158" i="15"/>
  <c r="AY176" i="15" s="1"/>
  <c r="AZ119" i="17"/>
  <c r="AZ120" i="17" s="1"/>
  <c r="AZ124" i="17" s="1"/>
  <c r="AS178" i="17"/>
  <c r="AR179" i="17"/>
  <c r="AZ119" i="15"/>
  <c r="AZ120" i="15" s="1"/>
  <c r="AZ124" i="15" s="1"/>
  <c r="AY56" i="17"/>
  <c r="AY83" i="15"/>
  <c r="AY22" i="17"/>
  <c r="AY83" i="17"/>
  <c r="BA117" i="15"/>
  <c r="BA118" i="15"/>
  <c r="BA119" i="15" s="1"/>
  <c r="BA120" i="15" s="1"/>
  <c r="BA37" i="15"/>
  <c r="BA36" i="15"/>
  <c r="BA90" i="15"/>
  <c r="BA64" i="15"/>
  <c r="BA63" i="15"/>
  <c r="BA66" i="15" s="1"/>
  <c r="BA91" i="15"/>
  <c r="BA10" i="15"/>
  <c r="BA9" i="15"/>
  <c r="BA5" i="15"/>
  <c r="BB4" i="15"/>
  <c r="AZ92" i="15"/>
  <c r="AZ93" i="15" s="1"/>
  <c r="AZ109" i="15" s="1"/>
  <c r="AY47" i="16"/>
  <c r="AY56" i="16" s="1"/>
  <c r="AX174" i="16"/>
  <c r="AZ128" i="17" l="1"/>
  <c r="AZ101" i="15"/>
  <c r="AZ128" i="16"/>
  <c r="AX177" i="16"/>
  <c r="AZ144" i="17"/>
  <c r="AZ153" i="17" s="1"/>
  <c r="AY110" i="15"/>
  <c r="AZ126" i="17"/>
  <c r="AZ29" i="17"/>
  <c r="AZ130" i="15"/>
  <c r="AZ95" i="16"/>
  <c r="AZ18" i="16"/>
  <c r="AZ29" i="16" s="1"/>
  <c r="AZ95" i="15"/>
  <c r="AZ126" i="15"/>
  <c r="AY29" i="17"/>
  <c r="AY175" i="17" s="1"/>
  <c r="AZ123" i="17"/>
  <c r="AZ20" i="16"/>
  <c r="BA151" i="17"/>
  <c r="BA154" i="17"/>
  <c r="BA157" i="17"/>
  <c r="BA156" i="17"/>
  <c r="BA152" i="17"/>
  <c r="BA149" i="17"/>
  <c r="BA155" i="17"/>
  <c r="BA129" i="17"/>
  <c r="BA150" i="17"/>
  <c r="BA131" i="17"/>
  <c r="BA125" i="17"/>
  <c r="BA121" i="17"/>
  <c r="BA127" i="17"/>
  <c r="BA122" i="17"/>
  <c r="BA102" i="17"/>
  <c r="BA99" i="17"/>
  <c r="BA103" i="17"/>
  <c r="BA100" i="17"/>
  <c r="BA94" i="17"/>
  <c r="BA98" i="17"/>
  <c r="BA104" i="17"/>
  <c r="BA68" i="17"/>
  <c r="BA82" i="17"/>
  <c r="BA67" i="17"/>
  <c r="BA76" i="17"/>
  <c r="BA77" i="17"/>
  <c r="BA75" i="17"/>
  <c r="BA73" i="17"/>
  <c r="BA48" i="17"/>
  <c r="BA72" i="17"/>
  <c r="BA71" i="17"/>
  <c r="BA40" i="17"/>
  <c r="BA50" i="17"/>
  <c r="BA69" i="17"/>
  <c r="BA46" i="17"/>
  <c r="BA14" i="17"/>
  <c r="BA23" i="17"/>
  <c r="BA70" i="17"/>
  <c r="BA44" i="17"/>
  <c r="BA21" i="17"/>
  <c r="BA19" i="17"/>
  <c r="BA17" i="17"/>
  <c r="BA13" i="17"/>
  <c r="BA92" i="17"/>
  <c r="BA93" i="17" s="1"/>
  <c r="BA97" i="17" s="1"/>
  <c r="AY175" i="15"/>
  <c r="BA11" i="16"/>
  <c r="BA12" i="16" s="1"/>
  <c r="AZ136" i="16"/>
  <c r="BB118" i="17"/>
  <c r="BB91" i="17"/>
  <c r="BB90" i="17"/>
  <c r="BB117" i="17"/>
  <c r="BB64" i="17"/>
  <c r="BB63" i="17"/>
  <c r="BB66" i="17" s="1"/>
  <c r="BB37" i="17"/>
  <c r="BB36" i="17"/>
  <c r="BB10" i="17"/>
  <c r="BB9" i="17"/>
  <c r="BC4" i="17"/>
  <c r="BB5" i="17"/>
  <c r="AZ158" i="17"/>
  <c r="AZ176" i="17" s="1"/>
  <c r="BA119" i="16"/>
  <c r="BA120" i="16" s="1"/>
  <c r="AZ96" i="16"/>
  <c r="AY177" i="15"/>
  <c r="AZ103" i="15"/>
  <c r="AZ144" i="16"/>
  <c r="AZ153" i="16" s="1"/>
  <c r="AY174" i="17"/>
  <c r="AY177" i="17" s="1"/>
  <c r="AZ41" i="16"/>
  <c r="AZ55" i="16"/>
  <c r="AZ97" i="16"/>
  <c r="BA65" i="15"/>
  <c r="BA74" i="15" s="1"/>
  <c r="AZ41" i="15"/>
  <c r="BA11" i="17"/>
  <c r="BA12" i="17" s="1"/>
  <c r="BA28" i="17" s="1"/>
  <c r="BA119" i="17"/>
  <c r="BA120" i="17" s="1"/>
  <c r="BA123" i="17" s="1"/>
  <c r="AZ136" i="17"/>
  <c r="AZ174" i="17" s="1"/>
  <c r="AZ144" i="15"/>
  <c r="AZ153" i="15" s="1"/>
  <c r="AZ103" i="16"/>
  <c r="AZ130" i="16"/>
  <c r="AZ29" i="15"/>
  <c r="AZ47" i="15"/>
  <c r="AZ42" i="15"/>
  <c r="AZ96" i="15"/>
  <c r="AZ130" i="17"/>
  <c r="AZ137" i="17" s="1"/>
  <c r="AZ42" i="16"/>
  <c r="AZ56" i="16" s="1"/>
  <c r="AZ43" i="16"/>
  <c r="AZ43" i="15"/>
  <c r="AZ99" i="16"/>
  <c r="AZ83" i="16"/>
  <c r="AZ123" i="16"/>
  <c r="AZ45" i="15"/>
  <c r="BA38" i="17"/>
  <c r="BA39" i="17" s="1"/>
  <c r="BA45" i="17" s="1"/>
  <c r="BA65" i="16"/>
  <c r="AZ49" i="16"/>
  <c r="AZ124" i="16"/>
  <c r="AZ137" i="16" s="1"/>
  <c r="BA38" i="15"/>
  <c r="BA39" i="15" s="1"/>
  <c r="BA49" i="15" s="1"/>
  <c r="BB118" i="15"/>
  <c r="BB117" i="15"/>
  <c r="BB91" i="15"/>
  <c r="BB92" i="15" s="1"/>
  <c r="BB93" i="15" s="1"/>
  <c r="BB90" i="15"/>
  <c r="BB37" i="15"/>
  <c r="BB36" i="15"/>
  <c r="BB64" i="15"/>
  <c r="BB63" i="15"/>
  <c r="BB66" i="15" s="1"/>
  <c r="BB10" i="15"/>
  <c r="BB9" i="15"/>
  <c r="BC4" i="15"/>
  <c r="BB5" i="15"/>
  <c r="BA150" i="15"/>
  <c r="BA149" i="15"/>
  <c r="BA157" i="15"/>
  <c r="BA156" i="15"/>
  <c r="BA155" i="15"/>
  <c r="BA154" i="15"/>
  <c r="BA136" i="15"/>
  <c r="BA128" i="15"/>
  <c r="BA127" i="15"/>
  <c r="BA126" i="15"/>
  <c r="BA125" i="15"/>
  <c r="BA124" i="15"/>
  <c r="BA123" i="15"/>
  <c r="BA122" i="15"/>
  <c r="BA151" i="15"/>
  <c r="BA121" i="15"/>
  <c r="BA152" i="15"/>
  <c r="BA131" i="15"/>
  <c r="BA70" i="15"/>
  <c r="BA100" i="15"/>
  <c r="BA98" i="15"/>
  <c r="BA104" i="15"/>
  <c r="BA77" i="15"/>
  <c r="BA129" i="15"/>
  <c r="BA76" i="15"/>
  <c r="BA130" i="15"/>
  <c r="BA94" i="15"/>
  <c r="BA75" i="15"/>
  <c r="BA82" i="15"/>
  <c r="BA23" i="15"/>
  <c r="BA73" i="15"/>
  <c r="BA40" i="15"/>
  <c r="BA69" i="15"/>
  <c r="BA50" i="15"/>
  <c r="BA68" i="15"/>
  <c r="BA67" i="15"/>
  <c r="BA48" i="15"/>
  <c r="BA102" i="15"/>
  <c r="BA71" i="15"/>
  <c r="BA46" i="15"/>
  <c r="BA19" i="15"/>
  <c r="BA17" i="15"/>
  <c r="BA15" i="15"/>
  <c r="BA44" i="15"/>
  <c r="BA14" i="15"/>
  <c r="BA13" i="15"/>
  <c r="BA22" i="15"/>
  <c r="BA72" i="15"/>
  <c r="BA21" i="15"/>
  <c r="AZ55" i="15"/>
  <c r="BA11" i="15"/>
  <c r="BA12" i="15" s="1"/>
  <c r="BA28" i="15" s="1"/>
  <c r="AT178" i="17"/>
  <c r="AS179" i="17"/>
  <c r="AZ83" i="15"/>
  <c r="AZ123" i="15"/>
  <c r="AZ137" i="15" s="1"/>
  <c r="AZ158" i="15"/>
  <c r="AZ176" i="15" s="1"/>
  <c r="AZ83" i="17"/>
  <c r="AU178" i="15"/>
  <c r="AT179" i="15"/>
  <c r="AT178" i="16"/>
  <c r="AS179" i="16"/>
  <c r="AZ158" i="16"/>
  <c r="AZ176" i="16" s="1"/>
  <c r="BB117" i="16"/>
  <c r="BB118" i="16"/>
  <c r="BB91" i="16"/>
  <c r="BB90" i="16"/>
  <c r="BB64" i="16"/>
  <c r="BB63" i="16"/>
  <c r="BB66" i="16" s="1"/>
  <c r="BB37" i="16"/>
  <c r="BB36" i="16"/>
  <c r="BB10" i="16"/>
  <c r="BB9" i="16"/>
  <c r="BC4" i="16"/>
  <c r="BB5" i="16"/>
  <c r="BA92" i="15"/>
  <c r="BA93" i="15" s="1"/>
  <c r="BA109" i="15" s="1"/>
  <c r="AZ99" i="15"/>
  <c r="AZ47" i="17"/>
  <c r="AZ56" i="17" s="1"/>
  <c r="AZ175" i="17" s="1"/>
  <c r="AY175" i="16"/>
  <c r="AY177" i="16" s="1"/>
  <c r="AZ97" i="15"/>
  <c r="AZ110" i="15" s="1"/>
  <c r="BA65" i="17"/>
  <c r="BA74" i="17" s="1"/>
  <c r="AZ110" i="17"/>
  <c r="BA151" i="16"/>
  <c r="BA150" i="16"/>
  <c r="BA149" i="16"/>
  <c r="BA157" i="16"/>
  <c r="BA156" i="16"/>
  <c r="BA155" i="16"/>
  <c r="BA130" i="16"/>
  <c r="BA129" i="16"/>
  <c r="BA136" i="16"/>
  <c r="BA128" i="16"/>
  <c r="BA127" i="16"/>
  <c r="BA126" i="16"/>
  <c r="BA152" i="16"/>
  <c r="BA125" i="16"/>
  <c r="BA124" i="16"/>
  <c r="BA123" i="16"/>
  <c r="BA122" i="16"/>
  <c r="BA154" i="16"/>
  <c r="BA121" i="16"/>
  <c r="BA77" i="16"/>
  <c r="BA76" i="16"/>
  <c r="BA94" i="16"/>
  <c r="BA75" i="16"/>
  <c r="BA131" i="16"/>
  <c r="BA109" i="16"/>
  <c r="BA82" i="16"/>
  <c r="BA74" i="16"/>
  <c r="BA73" i="16"/>
  <c r="BA71" i="16"/>
  <c r="BA104" i="16"/>
  <c r="BA98" i="16"/>
  <c r="BA50" i="16"/>
  <c r="BA102" i="16"/>
  <c r="BA69" i="16"/>
  <c r="BA68" i="16"/>
  <c r="BA49" i="16"/>
  <c r="BA67" i="16"/>
  <c r="BA48" i="16"/>
  <c r="BA55" i="16"/>
  <c r="BA47" i="16"/>
  <c r="BA70" i="16"/>
  <c r="BA100" i="16"/>
  <c r="BA72" i="16"/>
  <c r="BA19" i="16"/>
  <c r="BA18" i="16"/>
  <c r="BA43" i="16"/>
  <c r="BA17" i="16"/>
  <c r="BA46" i="16"/>
  <c r="BA44" i="16"/>
  <c r="BA41" i="16"/>
  <c r="BA45" i="16"/>
  <c r="BA40" i="16"/>
  <c r="BA21" i="16"/>
  <c r="BA15" i="16"/>
  <c r="BA42" i="16"/>
  <c r="BA13" i="16"/>
  <c r="BA23" i="16"/>
  <c r="BA14" i="16"/>
  <c r="BA92" i="16"/>
  <c r="BA93" i="16" s="1"/>
  <c r="BA97" i="16" s="1"/>
  <c r="AZ101" i="16"/>
  <c r="AZ110" i="16" l="1"/>
  <c r="BA22" i="17"/>
  <c r="BA126" i="17"/>
  <c r="BB11" i="15"/>
  <c r="BB12" i="15" s="1"/>
  <c r="AZ56" i="15"/>
  <c r="BA99" i="16"/>
  <c r="BA144" i="16"/>
  <c r="BA153" i="16" s="1"/>
  <c r="BA158" i="16" s="1"/>
  <c r="BA176" i="16" s="1"/>
  <c r="BA45" i="15"/>
  <c r="BA49" i="17"/>
  <c r="BB38" i="17"/>
  <c r="BB39" i="17" s="1"/>
  <c r="BB55" i="17" s="1"/>
  <c r="BA128" i="17"/>
  <c r="AV178" i="15"/>
  <c r="AU179" i="15"/>
  <c r="BC117" i="16"/>
  <c r="BC118" i="16"/>
  <c r="BC91" i="16"/>
  <c r="BC90" i="16"/>
  <c r="BC64" i="16"/>
  <c r="BC63" i="16"/>
  <c r="BC66" i="16" s="1"/>
  <c r="BC37" i="16"/>
  <c r="BC36" i="16"/>
  <c r="BC10" i="16"/>
  <c r="BC9" i="16"/>
  <c r="BD4" i="16"/>
  <c r="BC5" i="16"/>
  <c r="BB119" i="16"/>
  <c r="BB120" i="16" s="1"/>
  <c r="BB124" i="16" s="1"/>
  <c r="BA41" i="15"/>
  <c r="BA96" i="15"/>
  <c r="BB65" i="15"/>
  <c r="AZ175" i="15"/>
  <c r="BA83" i="17"/>
  <c r="BA97" i="15"/>
  <c r="BA103" i="15"/>
  <c r="BB65" i="17"/>
  <c r="BA41" i="17"/>
  <c r="BB150" i="16"/>
  <c r="BB149" i="16"/>
  <c r="BB157" i="16"/>
  <c r="BB156" i="16"/>
  <c r="BB155" i="16"/>
  <c r="BB154" i="16"/>
  <c r="BB129" i="16"/>
  <c r="BB136" i="16"/>
  <c r="BB128" i="16"/>
  <c r="BB127" i="16"/>
  <c r="BB126" i="16"/>
  <c r="BB152" i="16"/>
  <c r="BB125" i="16"/>
  <c r="BB104" i="16"/>
  <c r="BB122" i="16"/>
  <c r="BB151" i="16"/>
  <c r="BB121" i="16"/>
  <c r="BB76" i="16"/>
  <c r="BB130" i="16"/>
  <c r="BB94" i="16"/>
  <c r="BB75" i="16"/>
  <c r="BB131" i="16"/>
  <c r="BB82" i="16"/>
  <c r="BB73" i="16"/>
  <c r="BB72" i="16"/>
  <c r="BB70" i="16"/>
  <c r="BB100" i="16"/>
  <c r="BB98" i="16"/>
  <c r="BB77" i="16"/>
  <c r="BB50" i="16"/>
  <c r="BB102" i="16"/>
  <c r="BB69" i="16"/>
  <c r="BB68" i="16"/>
  <c r="BB67" i="16"/>
  <c r="BB48" i="16"/>
  <c r="BB46" i="16"/>
  <c r="BB71" i="16"/>
  <c r="BB17" i="16"/>
  <c r="BB44" i="16"/>
  <c r="BB23" i="16"/>
  <c r="BB40" i="16"/>
  <c r="BB21" i="16"/>
  <c r="BB13" i="16"/>
  <c r="BB14" i="16"/>
  <c r="BB19" i="16"/>
  <c r="BB11" i="16"/>
  <c r="BB12" i="16" s="1"/>
  <c r="BA47" i="15"/>
  <c r="BA42" i="15"/>
  <c r="BA95" i="17"/>
  <c r="BA101" i="17"/>
  <c r="BA136" i="17"/>
  <c r="BA28" i="16"/>
  <c r="BA55" i="15"/>
  <c r="BB38" i="15"/>
  <c r="BB39" i="15" s="1"/>
  <c r="BB49" i="15" s="1"/>
  <c r="BB150" i="17"/>
  <c r="BB157" i="17"/>
  <c r="BB156" i="17"/>
  <c r="BB152" i="17"/>
  <c r="BB149" i="17"/>
  <c r="BB154" i="17"/>
  <c r="BB151" i="17"/>
  <c r="BB129" i="17"/>
  <c r="BB127" i="17"/>
  <c r="BB131" i="17"/>
  <c r="BB125" i="17"/>
  <c r="BB121" i="17"/>
  <c r="BB155" i="17"/>
  <c r="BB122" i="17"/>
  <c r="BB100" i="17"/>
  <c r="BB98" i="17"/>
  <c r="BB82" i="17"/>
  <c r="BB102" i="17"/>
  <c r="BB104" i="17"/>
  <c r="BB67" i="17"/>
  <c r="BB76" i="17"/>
  <c r="BB77" i="17"/>
  <c r="BB75" i="17"/>
  <c r="BB74" i="17"/>
  <c r="BB72" i="17"/>
  <c r="BB47" i="17"/>
  <c r="BB73" i="17"/>
  <c r="BB68" i="17"/>
  <c r="BB94" i="17"/>
  <c r="BB71" i="17"/>
  <c r="BB69" i="17"/>
  <c r="BB48" i="17"/>
  <c r="BB40" i="17"/>
  <c r="BB49" i="17"/>
  <c r="BB50" i="17"/>
  <c r="BB46" i="17"/>
  <c r="BB44" i="17"/>
  <c r="BB14" i="17"/>
  <c r="BB42" i="17"/>
  <c r="BB23" i="17"/>
  <c r="BB70" i="17"/>
  <c r="BB41" i="17"/>
  <c r="BB21" i="17"/>
  <c r="BB19" i="17"/>
  <c r="BB17" i="17"/>
  <c r="BB43" i="17"/>
  <c r="BB13" i="17"/>
  <c r="BA43" i="17"/>
  <c r="BA42" i="17"/>
  <c r="BA109" i="17"/>
  <c r="BA130" i="17"/>
  <c r="BB92" i="16"/>
  <c r="BB93" i="16" s="1"/>
  <c r="BB96" i="16" s="1"/>
  <c r="BA95" i="16"/>
  <c r="BA110" i="16" s="1"/>
  <c r="BA99" i="15"/>
  <c r="BC118" i="17"/>
  <c r="BC117" i="17"/>
  <c r="BC91" i="17"/>
  <c r="BC90" i="17"/>
  <c r="BC64" i="17"/>
  <c r="BC63" i="17"/>
  <c r="BC66" i="17" s="1"/>
  <c r="BC37" i="17"/>
  <c r="BC36" i="17"/>
  <c r="BC10" i="17"/>
  <c r="BC9" i="17"/>
  <c r="BD4" i="17"/>
  <c r="BC5" i="17"/>
  <c r="BB92" i="17"/>
  <c r="BB93" i="17" s="1"/>
  <c r="BB99" i="17" s="1"/>
  <c r="AU178" i="17"/>
  <c r="AT179" i="17"/>
  <c r="BA43" i="15"/>
  <c r="BA83" i="15"/>
  <c r="BB149" i="15"/>
  <c r="BB157" i="15"/>
  <c r="BB156" i="15"/>
  <c r="BB155" i="15"/>
  <c r="BB154" i="15"/>
  <c r="BB152" i="15"/>
  <c r="BB127" i="15"/>
  <c r="BB125" i="15"/>
  <c r="BB104" i="15"/>
  <c r="BB150" i="15"/>
  <c r="BB122" i="15"/>
  <c r="BB151" i="15"/>
  <c r="BB121" i="15"/>
  <c r="BB109" i="15"/>
  <c r="BB131" i="15"/>
  <c r="BB100" i="15"/>
  <c r="BB99" i="15"/>
  <c r="BB98" i="15"/>
  <c r="BB97" i="15"/>
  <c r="BB96" i="15"/>
  <c r="BB77" i="15"/>
  <c r="BB129" i="15"/>
  <c r="BB95" i="15"/>
  <c r="BB76" i="15"/>
  <c r="BB103" i="15"/>
  <c r="BB94" i="15"/>
  <c r="BB75" i="15"/>
  <c r="BB82" i="15"/>
  <c r="BB73" i="15"/>
  <c r="BB41" i="15"/>
  <c r="BB22" i="15"/>
  <c r="BB40" i="15"/>
  <c r="BB69" i="15"/>
  <c r="BB50" i="15"/>
  <c r="BB68" i="15"/>
  <c r="BB74" i="15"/>
  <c r="BB67" i="15"/>
  <c r="BB48" i="15"/>
  <c r="BB101" i="15"/>
  <c r="BB70" i="15"/>
  <c r="BB55" i="15"/>
  <c r="BB47" i="15"/>
  <c r="BB102" i="15"/>
  <c r="BB71" i="15"/>
  <c r="BB46" i="15"/>
  <c r="BB45" i="15"/>
  <c r="BB44" i="15"/>
  <c r="BB18" i="15"/>
  <c r="BB23" i="15"/>
  <c r="BB17" i="15"/>
  <c r="BB42" i="15"/>
  <c r="BB16" i="15"/>
  <c r="BB43" i="15"/>
  <c r="BB15" i="15"/>
  <c r="BB14" i="15"/>
  <c r="BB13" i="15"/>
  <c r="BB72" i="15"/>
  <c r="BB28" i="15"/>
  <c r="BB21" i="15"/>
  <c r="BB20" i="15"/>
  <c r="BB19" i="15"/>
  <c r="AZ175" i="16"/>
  <c r="BA18" i="17"/>
  <c r="BA15" i="17"/>
  <c r="BA47" i="17"/>
  <c r="BA96" i="17"/>
  <c r="BA110" i="17" s="1"/>
  <c r="BA124" i="17"/>
  <c r="BA137" i="17" s="1"/>
  <c r="BA22" i="16"/>
  <c r="BA96" i="16"/>
  <c r="BB38" i="16"/>
  <c r="BB39" i="16" s="1"/>
  <c r="BB43" i="16" s="1"/>
  <c r="BA144" i="15"/>
  <c r="BA153" i="15" s="1"/>
  <c r="BA158" i="15" s="1"/>
  <c r="BA176" i="15" s="1"/>
  <c r="BA16" i="15"/>
  <c r="BB11" i="17"/>
  <c r="BB12" i="17" s="1"/>
  <c r="BB119" i="17"/>
  <c r="BB120" i="17" s="1"/>
  <c r="BB124" i="17" s="1"/>
  <c r="BA16" i="17"/>
  <c r="BA55" i="17"/>
  <c r="BA137" i="15"/>
  <c r="BA56" i="16"/>
  <c r="AZ174" i="16"/>
  <c r="AZ177" i="16" s="1"/>
  <c r="BA103" i="16"/>
  <c r="BA137" i="16"/>
  <c r="BA101" i="15"/>
  <c r="BC118" i="15"/>
  <c r="BC117" i="15"/>
  <c r="BC91" i="15"/>
  <c r="BC90" i="15"/>
  <c r="BC37" i="15"/>
  <c r="BC36" i="15"/>
  <c r="BC64" i="15"/>
  <c r="BC63" i="15"/>
  <c r="BC66" i="15" s="1"/>
  <c r="BC10" i="15"/>
  <c r="BC9" i="15"/>
  <c r="BD4" i="15"/>
  <c r="BC5" i="15"/>
  <c r="AZ177" i="17"/>
  <c r="BA16" i="16"/>
  <c r="BA29" i="16" s="1"/>
  <c r="BB65" i="16"/>
  <c r="BB74" i="16" s="1"/>
  <c r="AU178" i="16"/>
  <c r="AT179" i="16"/>
  <c r="BA20" i="15"/>
  <c r="BA18" i="15"/>
  <c r="BB119" i="15"/>
  <c r="BB120" i="15" s="1"/>
  <c r="BB124" i="15" s="1"/>
  <c r="BA101" i="16"/>
  <c r="BA20" i="16"/>
  <c r="BA83" i="16"/>
  <c r="BA95" i="15"/>
  <c r="BA110" i="15" s="1"/>
  <c r="BA144" i="17"/>
  <c r="BA153" i="17" s="1"/>
  <c r="BA158" i="17" s="1"/>
  <c r="BA176" i="17" s="1"/>
  <c r="AZ174" i="15"/>
  <c r="BA20" i="17"/>
  <c r="BA56" i="17" l="1"/>
  <c r="BB126" i="15"/>
  <c r="BB20" i="17"/>
  <c r="BB42" i="16"/>
  <c r="BB45" i="16"/>
  <c r="BC65" i="15"/>
  <c r="BB130" i="15"/>
  <c r="BB144" i="17"/>
  <c r="BB153" i="17" s="1"/>
  <c r="BB83" i="15"/>
  <c r="BB97" i="17"/>
  <c r="BA29" i="15"/>
  <c r="BC38" i="17"/>
  <c r="BC39" i="17" s="1"/>
  <c r="BC49" i="17" s="1"/>
  <c r="BB103" i="16"/>
  <c r="BA56" i="15"/>
  <c r="BA29" i="17"/>
  <c r="BB45" i="17"/>
  <c r="BB144" i="16"/>
  <c r="BB153" i="16" s="1"/>
  <c r="BB97" i="16"/>
  <c r="BA175" i="17"/>
  <c r="BA175" i="15"/>
  <c r="BB110" i="15"/>
  <c r="BB136" i="15"/>
  <c r="BC65" i="17"/>
  <c r="BB28" i="17"/>
  <c r="BB47" i="16"/>
  <c r="BB95" i="16"/>
  <c r="BC65" i="16"/>
  <c r="BC74" i="16" s="1"/>
  <c r="AW178" i="15"/>
  <c r="AV179" i="15"/>
  <c r="BB103" i="17"/>
  <c r="BB55" i="16"/>
  <c r="BB109" i="16"/>
  <c r="BC157" i="15"/>
  <c r="BC156" i="15"/>
  <c r="BC155" i="15"/>
  <c r="BC154" i="15"/>
  <c r="BC152" i="15"/>
  <c r="BC151" i="15"/>
  <c r="BC125" i="15"/>
  <c r="BC149" i="15"/>
  <c r="BC104" i="15"/>
  <c r="BC150" i="15"/>
  <c r="BC122" i="15"/>
  <c r="BC121" i="15"/>
  <c r="BC131" i="15"/>
  <c r="BC129" i="15"/>
  <c r="BC98" i="15"/>
  <c r="BC127" i="15"/>
  <c r="BC77" i="15"/>
  <c r="BC76" i="15"/>
  <c r="BC94" i="15"/>
  <c r="BC75" i="15"/>
  <c r="BC82" i="15"/>
  <c r="BC74" i="15"/>
  <c r="BC72" i="15"/>
  <c r="BC102" i="15"/>
  <c r="BC40" i="15"/>
  <c r="BC73" i="15"/>
  <c r="BC69" i="15"/>
  <c r="BC50" i="15"/>
  <c r="BC68" i="15"/>
  <c r="BC100" i="15"/>
  <c r="BC67" i="15"/>
  <c r="BC48" i="15"/>
  <c r="BC70" i="15"/>
  <c r="BC71" i="15"/>
  <c r="BC46" i="15"/>
  <c r="BC44" i="15"/>
  <c r="BC23" i="15"/>
  <c r="BC17" i="15"/>
  <c r="BC14" i="15"/>
  <c r="BC13" i="15"/>
  <c r="BC21" i="15"/>
  <c r="BC19" i="15"/>
  <c r="BB22" i="17"/>
  <c r="BB56" i="17"/>
  <c r="BB123" i="17"/>
  <c r="BB128" i="17"/>
  <c r="BB41" i="16"/>
  <c r="BB15" i="16"/>
  <c r="BB101" i="16"/>
  <c r="BA175" i="16"/>
  <c r="AV178" i="17"/>
  <c r="AU179" i="17"/>
  <c r="BC38" i="15"/>
  <c r="BC39" i="15" s="1"/>
  <c r="BC55" i="15" s="1"/>
  <c r="BB29" i="15"/>
  <c r="BC149" i="17"/>
  <c r="BC157" i="17"/>
  <c r="BC131" i="17"/>
  <c r="BC156" i="17"/>
  <c r="BC152" i="17"/>
  <c r="BC155" i="17"/>
  <c r="BC151" i="17"/>
  <c r="BC129" i="17"/>
  <c r="BC150" i="17"/>
  <c r="BC127" i="17"/>
  <c r="BC121" i="17"/>
  <c r="BC122" i="17"/>
  <c r="BC154" i="17"/>
  <c r="BC100" i="17"/>
  <c r="BC125" i="17"/>
  <c r="BC102" i="17"/>
  <c r="BC104" i="17"/>
  <c r="BC82" i="17"/>
  <c r="BC76" i="17"/>
  <c r="BC77" i="17"/>
  <c r="BC75" i="17"/>
  <c r="BC74" i="17"/>
  <c r="BC73" i="17"/>
  <c r="BC71" i="17"/>
  <c r="BC72" i="17"/>
  <c r="BC68" i="17"/>
  <c r="BC94" i="17"/>
  <c r="BC98" i="17"/>
  <c r="BC70" i="17"/>
  <c r="BC50" i="17"/>
  <c r="BC47" i="17"/>
  <c r="BC55" i="17"/>
  <c r="BC67" i="17"/>
  <c r="BC69" i="17"/>
  <c r="BC46" i="17"/>
  <c r="BC45" i="17"/>
  <c r="BC44" i="17"/>
  <c r="BC43" i="17"/>
  <c r="BC48" i="17"/>
  <c r="BC14" i="17"/>
  <c r="BC13" i="17"/>
  <c r="BC23" i="17"/>
  <c r="BC41" i="17"/>
  <c r="BC21" i="17"/>
  <c r="BC19" i="17"/>
  <c r="BC40" i="17"/>
  <c r="BC17" i="17"/>
  <c r="BC92" i="17"/>
  <c r="BC93" i="17" s="1"/>
  <c r="BC96" i="17" s="1"/>
  <c r="BB16" i="16"/>
  <c r="BB83" i="16"/>
  <c r="BC149" i="16"/>
  <c r="BC157" i="16"/>
  <c r="BC156" i="16"/>
  <c r="BC155" i="16"/>
  <c r="BC154" i="16"/>
  <c r="BC127" i="16"/>
  <c r="BC152" i="16"/>
  <c r="BC125" i="16"/>
  <c r="BC104" i="16"/>
  <c r="BC122" i="16"/>
  <c r="BC151" i="16"/>
  <c r="BC121" i="16"/>
  <c r="BC131" i="16"/>
  <c r="BC130" i="16"/>
  <c r="BC94" i="16"/>
  <c r="BC75" i="16"/>
  <c r="BC82" i="16"/>
  <c r="BC73" i="16"/>
  <c r="BC71" i="16"/>
  <c r="BC100" i="16"/>
  <c r="BC102" i="16"/>
  <c r="BC77" i="16"/>
  <c r="BC50" i="16"/>
  <c r="BC98" i="16"/>
  <c r="BC69" i="16"/>
  <c r="BC68" i="16"/>
  <c r="BC67" i="16"/>
  <c r="BC48" i="16"/>
  <c r="BC150" i="16"/>
  <c r="BC129" i="16"/>
  <c r="BC70" i="16"/>
  <c r="BC45" i="16"/>
  <c r="BC72" i="16"/>
  <c r="BC76" i="16"/>
  <c r="BC17" i="16"/>
  <c r="BC14" i="16"/>
  <c r="BC44" i="16"/>
  <c r="BC46" i="16"/>
  <c r="BC23" i="16"/>
  <c r="BC41" i="16"/>
  <c r="BC40" i="16"/>
  <c r="BC21" i="16"/>
  <c r="BC13" i="16"/>
  <c r="BC19" i="16"/>
  <c r="BC92" i="16"/>
  <c r="BC93" i="16" s="1"/>
  <c r="BC96" i="16" s="1"/>
  <c r="BC119" i="15"/>
  <c r="BC120" i="15" s="1"/>
  <c r="BC136" i="15" s="1"/>
  <c r="BB56" i="15"/>
  <c r="BD118" i="17"/>
  <c r="BD117" i="17"/>
  <c r="BD91" i="17"/>
  <c r="BD90" i="17"/>
  <c r="BD64" i="17"/>
  <c r="BD63" i="17"/>
  <c r="BD66" i="17" s="1"/>
  <c r="BD37" i="17"/>
  <c r="BD38" i="17" s="1"/>
  <c r="BD39" i="17" s="1"/>
  <c r="BD36" i="17"/>
  <c r="BD10" i="17"/>
  <c r="BD9" i="17"/>
  <c r="BE4" i="17"/>
  <c r="BD5" i="17"/>
  <c r="BB101" i="17"/>
  <c r="BB136" i="17"/>
  <c r="BB49" i="16"/>
  <c r="BD118" i="16"/>
  <c r="BD117" i="16"/>
  <c r="BD91" i="16"/>
  <c r="BD90" i="16"/>
  <c r="BD64" i="16"/>
  <c r="BD63" i="16"/>
  <c r="BD66" i="16" s="1"/>
  <c r="BD36" i="16"/>
  <c r="BD10" i="16"/>
  <c r="BD9" i="16"/>
  <c r="BE4" i="16"/>
  <c r="BD5" i="16"/>
  <c r="BD37" i="16"/>
  <c r="BD38" i="16" s="1"/>
  <c r="BD39" i="16" s="1"/>
  <c r="BC119" i="16"/>
  <c r="BC120" i="16" s="1"/>
  <c r="BC124" i="16" s="1"/>
  <c r="AZ177" i="15"/>
  <c r="BB83" i="17"/>
  <c r="BB109" i="17"/>
  <c r="BA174" i="16"/>
  <c r="BA177" i="16" s="1"/>
  <c r="BB20" i="16"/>
  <c r="BB128" i="15"/>
  <c r="BC11" i="17"/>
  <c r="BC12" i="17" s="1"/>
  <c r="BC22" i="17" s="1"/>
  <c r="BC119" i="17"/>
  <c r="BC120" i="17" s="1"/>
  <c r="BC126" i="17" s="1"/>
  <c r="BB95" i="17"/>
  <c r="BB126" i="17"/>
  <c r="BB130" i="17"/>
  <c r="BB22" i="16"/>
  <c r="BB18" i="16"/>
  <c r="BB29" i="16" s="1"/>
  <c r="BB123" i="16"/>
  <c r="BB137" i="16" s="1"/>
  <c r="BC11" i="16"/>
  <c r="BC12" i="16" s="1"/>
  <c r="BC15" i="16" s="1"/>
  <c r="BD118" i="15"/>
  <c r="BD117" i="15"/>
  <c r="BD91" i="15"/>
  <c r="BD90" i="15"/>
  <c r="BD37" i="15"/>
  <c r="BD36" i="15"/>
  <c r="BD64" i="15"/>
  <c r="BD63" i="15"/>
  <c r="BD66" i="15" s="1"/>
  <c r="BD10" i="15"/>
  <c r="BD9" i="15"/>
  <c r="BE4" i="15"/>
  <c r="BD5" i="15"/>
  <c r="BB144" i="15"/>
  <c r="BB153" i="15" s="1"/>
  <c r="BB158" i="15" s="1"/>
  <c r="BB176" i="15" s="1"/>
  <c r="AV178" i="16"/>
  <c r="AU179" i="16"/>
  <c r="BB123" i="15"/>
  <c r="BB15" i="17"/>
  <c r="BB28" i="16"/>
  <c r="BB99" i="16"/>
  <c r="BB110" i="16" s="1"/>
  <c r="BA174" i="15"/>
  <c r="BA174" i="17"/>
  <c r="BA177" i="17" s="1"/>
  <c r="BC92" i="15"/>
  <c r="BC93" i="15" s="1"/>
  <c r="BC96" i="15" s="1"/>
  <c r="BC11" i="15"/>
  <c r="BC12" i="15" s="1"/>
  <c r="BC16" i="15" s="1"/>
  <c r="BB16" i="17"/>
  <c r="BB96" i="17"/>
  <c r="BB158" i="17"/>
  <c r="BB176" i="17" s="1"/>
  <c r="BB158" i="16"/>
  <c r="BB176" i="16" s="1"/>
  <c r="BC38" i="16"/>
  <c r="BC39" i="16" s="1"/>
  <c r="BC49" i="16" s="1"/>
  <c r="BB174" i="15"/>
  <c r="BB18" i="17"/>
  <c r="BC97" i="17" l="1"/>
  <c r="BD92" i="16"/>
  <c r="BD93" i="16" s="1"/>
  <c r="BB56" i="16"/>
  <c r="BC22" i="16"/>
  <c r="BC126" i="16"/>
  <c r="BB137" i="17"/>
  <c r="BC83" i="17"/>
  <c r="BB110" i="17"/>
  <c r="BC103" i="17"/>
  <c r="BC101" i="15"/>
  <c r="BB29" i="17"/>
  <c r="BB175" i="17" s="1"/>
  <c r="BC144" i="17"/>
  <c r="BC153" i="17" s="1"/>
  <c r="BB137" i="15"/>
  <c r="BC42" i="17"/>
  <c r="BC128" i="17"/>
  <c r="BD11" i="17"/>
  <c r="BD12" i="17" s="1"/>
  <c r="BC42" i="15"/>
  <c r="BC97" i="15"/>
  <c r="BC144" i="15"/>
  <c r="BC153" i="15" s="1"/>
  <c r="BC158" i="15" s="1"/>
  <c r="BC176" i="15" s="1"/>
  <c r="BE118" i="15"/>
  <c r="BE117" i="15"/>
  <c r="BE91" i="15"/>
  <c r="BE90" i="15"/>
  <c r="BE37" i="15"/>
  <c r="BE36" i="15"/>
  <c r="BE64" i="15"/>
  <c r="BE63" i="15"/>
  <c r="BE66" i="15" s="1"/>
  <c r="BE10" i="15"/>
  <c r="BE9" i="15"/>
  <c r="BF4" i="15"/>
  <c r="BE5" i="15"/>
  <c r="BC95" i="16"/>
  <c r="BC124" i="15"/>
  <c r="BD65" i="16"/>
  <c r="BD74" i="16" s="1"/>
  <c r="BC47" i="16"/>
  <c r="BC97" i="16"/>
  <c r="BC28" i="17"/>
  <c r="BC136" i="17"/>
  <c r="AW178" i="17"/>
  <c r="AV179" i="17"/>
  <c r="BC18" i="15"/>
  <c r="BC83" i="15"/>
  <c r="BC99" i="15"/>
  <c r="BC99" i="17"/>
  <c r="BD11" i="15"/>
  <c r="BD12" i="15" s="1"/>
  <c r="BC42" i="16"/>
  <c r="BC55" i="16"/>
  <c r="BC109" i="16"/>
  <c r="BC128" i="16"/>
  <c r="BC15" i="17"/>
  <c r="BC101" i="17"/>
  <c r="BC41" i="15"/>
  <c r="BC126" i="15"/>
  <c r="BD65" i="17"/>
  <c r="BD74" i="17" s="1"/>
  <c r="BD119" i="15"/>
  <c r="BD120" i="15" s="1"/>
  <c r="BD123" i="15" s="1"/>
  <c r="BA177" i="15"/>
  <c r="BD157" i="17"/>
  <c r="BD156" i="17"/>
  <c r="BD152" i="17"/>
  <c r="BD149" i="17"/>
  <c r="BD155" i="17"/>
  <c r="BD151" i="17"/>
  <c r="BD154" i="17"/>
  <c r="BD150" i="17"/>
  <c r="BD127" i="17"/>
  <c r="BD131" i="17"/>
  <c r="BD125" i="17"/>
  <c r="BD122" i="17"/>
  <c r="BD129" i="17"/>
  <c r="BD98" i="17"/>
  <c r="BD121" i="17"/>
  <c r="BD104" i="17"/>
  <c r="BD94" i="17"/>
  <c r="BD76" i="17"/>
  <c r="BD77" i="17"/>
  <c r="BD75" i="17"/>
  <c r="BD73" i="17"/>
  <c r="BD72" i="17"/>
  <c r="BD68" i="17"/>
  <c r="BD100" i="17"/>
  <c r="BD71" i="17"/>
  <c r="BD82" i="17"/>
  <c r="BD69" i="17"/>
  <c r="BD50" i="17"/>
  <c r="BD47" i="17"/>
  <c r="BD55" i="17"/>
  <c r="BD67" i="17"/>
  <c r="BD46" i="17"/>
  <c r="BD102" i="17"/>
  <c r="BD45" i="17"/>
  <c r="BD44" i="17"/>
  <c r="BD43" i="17"/>
  <c r="BD70" i="17"/>
  <c r="BD42" i="17"/>
  <c r="BD49" i="17"/>
  <c r="BD13" i="17"/>
  <c r="BD23" i="17"/>
  <c r="BD22" i="17"/>
  <c r="BD41" i="17"/>
  <c r="BD21" i="17"/>
  <c r="BD20" i="17"/>
  <c r="BD19" i="17"/>
  <c r="BD18" i="17"/>
  <c r="BD40" i="17"/>
  <c r="BD17" i="17"/>
  <c r="BD28" i="17"/>
  <c r="BD14" i="17"/>
  <c r="BD15" i="17"/>
  <c r="BD16" i="17"/>
  <c r="BD48" i="17"/>
  <c r="BD92" i="17"/>
  <c r="BD93" i="17" s="1"/>
  <c r="BD97" i="17" s="1"/>
  <c r="BC99" i="16"/>
  <c r="BC136" i="16"/>
  <c r="BC16" i="17"/>
  <c r="BC123" i="17"/>
  <c r="BC20" i="15"/>
  <c r="BC43" i="15"/>
  <c r="BC49" i="15"/>
  <c r="BC103" i="15"/>
  <c r="BC130" i="15"/>
  <c r="BC123" i="15"/>
  <c r="BE118" i="17"/>
  <c r="BE117" i="17"/>
  <c r="BE90" i="17"/>
  <c r="BE91" i="17"/>
  <c r="BE37" i="17"/>
  <c r="BE36" i="17"/>
  <c r="BE63" i="17"/>
  <c r="BE66" i="17" s="1"/>
  <c r="BE64" i="17"/>
  <c r="BE65" i="17" s="1"/>
  <c r="BE10" i="17"/>
  <c r="BE9" i="17"/>
  <c r="BF4" i="17"/>
  <c r="BE5" i="17"/>
  <c r="BB174" i="16"/>
  <c r="BD65" i="15"/>
  <c r="BC144" i="16"/>
  <c r="BC153" i="16" s="1"/>
  <c r="BC158" i="16" s="1"/>
  <c r="BC176" i="16" s="1"/>
  <c r="BD157" i="16"/>
  <c r="BD156" i="16"/>
  <c r="BD155" i="16"/>
  <c r="BD154" i="16"/>
  <c r="BD152" i="16"/>
  <c r="BD127" i="16"/>
  <c r="BD149" i="16"/>
  <c r="BD125" i="16"/>
  <c r="BD104" i="16"/>
  <c r="BD122" i="16"/>
  <c r="BD103" i="16"/>
  <c r="BD151" i="16"/>
  <c r="BD121" i="16"/>
  <c r="BD109" i="16"/>
  <c r="BD131" i="16"/>
  <c r="BD82" i="16"/>
  <c r="BD73" i="16"/>
  <c r="BD72" i="16"/>
  <c r="BD101" i="16"/>
  <c r="BD70" i="16"/>
  <c r="BD100" i="16"/>
  <c r="BD99" i="16"/>
  <c r="BD150" i="16"/>
  <c r="BD98" i="16"/>
  <c r="BD128" i="16"/>
  <c r="BD96" i="16"/>
  <c r="BD77" i="16"/>
  <c r="BD69" i="16"/>
  <c r="BD68" i="16"/>
  <c r="BD49" i="16"/>
  <c r="BD102" i="16"/>
  <c r="BD67" i="16"/>
  <c r="BD48" i="16"/>
  <c r="BD55" i="16"/>
  <c r="BD47" i="16"/>
  <c r="BD94" i="16"/>
  <c r="BD46" i="16"/>
  <c r="BD129" i="16"/>
  <c r="BD97" i="16"/>
  <c r="BD75" i="16"/>
  <c r="BD71" i="16"/>
  <c r="BD50" i="16"/>
  <c r="BD95" i="16"/>
  <c r="BD14" i="16"/>
  <c r="BD44" i="16"/>
  <c r="BD13" i="16"/>
  <c r="BD76" i="16"/>
  <c r="BD23" i="16"/>
  <c r="BD41" i="16"/>
  <c r="BD42" i="16"/>
  <c r="BD40" i="16"/>
  <c r="BD21" i="16"/>
  <c r="BD19" i="16"/>
  <c r="BD45" i="16"/>
  <c r="BD43" i="16"/>
  <c r="BD17" i="16"/>
  <c r="BC18" i="16"/>
  <c r="BC16" i="16"/>
  <c r="BC83" i="16"/>
  <c r="BC101" i="16"/>
  <c r="BC103" i="16"/>
  <c r="BC56" i="17"/>
  <c r="BC95" i="17"/>
  <c r="BC110" i="17" s="1"/>
  <c r="BC124" i="17"/>
  <c r="BC22" i="15"/>
  <c r="BC45" i="15"/>
  <c r="BC109" i="15"/>
  <c r="AX178" i="15"/>
  <c r="AW179" i="15"/>
  <c r="BB174" i="17"/>
  <c r="BB175" i="16"/>
  <c r="BD144" i="17"/>
  <c r="BD153" i="17" s="1"/>
  <c r="BC28" i="15"/>
  <c r="BC95" i="15"/>
  <c r="BC110" i="15" s="1"/>
  <c r="BD157" i="15"/>
  <c r="BD156" i="15"/>
  <c r="BD155" i="15"/>
  <c r="BD154" i="15"/>
  <c r="BD152" i="15"/>
  <c r="BD151" i="15"/>
  <c r="BD150" i="15"/>
  <c r="BD125" i="15"/>
  <c r="BD124" i="15"/>
  <c r="BD149" i="15"/>
  <c r="BD104" i="15"/>
  <c r="BD122" i="15"/>
  <c r="BD121" i="15"/>
  <c r="BD131" i="15"/>
  <c r="BD130" i="15"/>
  <c r="BD129" i="15"/>
  <c r="BD136" i="15"/>
  <c r="BD128" i="15"/>
  <c r="BD126" i="15"/>
  <c r="BD98" i="15"/>
  <c r="BD127" i="15"/>
  <c r="BD77" i="15"/>
  <c r="BD76" i="15"/>
  <c r="BD94" i="15"/>
  <c r="BD75" i="15"/>
  <c r="BD82" i="15"/>
  <c r="BD74" i="15"/>
  <c r="BD73" i="15"/>
  <c r="BD102" i="15"/>
  <c r="BD71" i="15"/>
  <c r="BD28" i="15"/>
  <c r="BD69" i="15"/>
  <c r="BD50" i="15"/>
  <c r="BD68" i="15"/>
  <c r="BD100" i="15"/>
  <c r="BD67" i="15"/>
  <c r="BD48" i="15"/>
  <c r="BD70" i="15"/>
  <c r="BD46" i="15"/>
  <c r="BD44" i="15"/>
  <c r="BD72" i="15"/>
  <c r="BD42" i="15"/>
  <c r="BD16" i="15"/>
  <c r="BD15" i="15"/>
  <c r="BD14" i="15"/>
  <c r="BD13" i="15"/>
  <c r="BD22" i="15"/>
  <c r="BD21" i="15"/>
  <c r="BD20" i="15"/>
  <c r="BD19" i="15"/>
  <c r="BD40" i="15"/>
  <c r="BD18" i="15"/>
  <c r="BD41" i="15"/>
  <c r="BD23" i="15"/>
  <c r="BD17" i="15"/>
  <c r="BE118" i="16"/>
  <c r="BE117" i="16"/>
  <c r="BE91" i="16"/>
  <c r="BE90" i="16"/>
  <c r="BE64" i="16"/>
  <c r="BE63" i="16"/>
  <c r="BE66" i="16" s="1"/>
  <c r="BE37" i="16"/>
  <c r="BE36" i="16"/>
  <c r="BE10" i="16"/>
  <c r="BE9" i="16"/>
  <c r="BF4" i="16"/>
  <c r="BE5" i="16"/>
  <c r="BD119" i="16"/>
  <c r="BD120" i="16" s="1"/>
  <c r="BD136" i="16" s="1"/>
  <c r="BC43" i="16"/>
  <c r="BC56" i="16" s="1"/>
  <c r="BC130" i="17"/>
  <c r="BC137" i="17" s="1"/>
  <c r="BB177" i="15"/>
  <c r="BD119" i="17"/>
  <c r="BD120" i="17" s="1"/>
  <c r="BD123" i="17" s="1"/>
  <c r="BD38" i="15"/>
  <c r="BD39" i="15" s="1"/>
  <c r="BD55" i="15" s="1"/>
  <c r="BD11" i="16"/>
  <c r="BD12" i="16" s="1"/>
  <c r="BD22" i="16" s="1"/>
  <c r="BC20" i="16"/>
  <c r="BC123" i="16"/>
  <c r="BC137" i="16" s="1"/>
  <c r="BC20" i="17"/>
  <c r="BC109" i="17"/>
  <c r="BC47" i="15"/>
  <c r="BB175" i="15"/>
  <c r="BD92" i="15"/>
  <c r="BD93" i="15" s="1"/>
  <c r="BD97" i="15" s="1"/>
  <c r="BC18" i="17"/>
  <c r="AW178" i="16"/>
  <c r="AV179" i="16"/>
  <c r="BC28" i="16"/>
  <c r="BC158" i="17"/>
  <c r="BC176" i="17" s="1"/>
  <c r="BC15" i="15"/>
  <c r="BC128" i="15"/>
  <c r="BC137" i="15" s="1"/>
  <c r="BC29" i="15" l="1"/>
  <c r="BD43" i="15"/>
  <c r="BB177" i="17"/>
  <c r="BC29" i="16"/>
  <c r="BD130" i="17"/>
  <c r="BE119" i="15"/>
  <c r="BE120" i="15" s="1"/>
  <c r="BD28" i="16"/>
  <c r="BC110" i="16"/>
  <c r="BD123" i="16"/>
  <c r="BE11" i="15"/>
  <c r="BE12" i="15" s="1"/>
  <c r="BD45" i="15"/>
  <c r="BD103" i="17"/>
  <c r="BC29" i="17"/>
  <c r="BE65" i="15"/>
  <c r="BE119" i="16"/>
  <c r="BE120" i="16" s="1"/>
  <c r="BD49" i="15"/>
  <c r="BD126" i="16"/>
  <c r="BC56" i="15"/>
  <c r="BD130" i="16"/>
  <c r="BC175" i="15"/>
  <c r="BC175" i="17"/>
  <c r="BC175" i="16"/>
  <c r="BE65" i="16"/>
  <c r="BD99" i="15"/>
  <c r="BD103" i="15"/>
  <c r="BD124" i="16"/>
  <c r="BE38" i="17"/>
  <c r="BE39" i="17" s="1"/>
  <c r="BD101" i="17"/>
  <c r="BD99" i="17"/>
  <c r="AY178" i="15"/>
  <c r="AX179" i="15"/>
  <c r="BD29" i="17"/>
  <c r="BD136" i="17"/>
  <c r="BD95" i="15"/>
  <c r="BD109" i="15"/>
  <c r="BD174" i="16"/>
  <c r="BB177" i="16"/>
  <c r="BE92" i="17"/>
  <c r="BE93" i="17" s="1"/>
  <c r="BE38" i="15"/>
  <c r="BE39" i="15" s="1"/>
  <c r="BD158" i="17"/>
  <c r="BD176" i="17" s="1"/>
  <c r="BC174" i="16"/>
  <c r="BE157" i="16"/>
  <c r="BE156" i="16"/>
  <c r="BE155" i="16"/>
  <c r="BE154" i="16"/>
  <c r="BE152" i="16"/>
  <c r="BE151" i="16"/>
  <c r="BE126" i="16"/>
  <c r="BE149" i="16"/>
  <c r="BE125" i="16"/>
  <c r="BE124" i="16"/>
  <c r="BE123" i="16"/>
  <c r="BE104" i="16"/>
  <c r="BE122" i="16"/>
  <c r="BE121" i="16"/>
  <c r="BE102" i="16"/>
  <c r="BE131" i="16"/>
  <c r="BE130" i="16"/>
  <c r="BE150" i="16"/>
  <c r="BE129" i="16"/>
  <c r="BE73" i="16"/>
  <c r="BE72" i="16"/>
  <c r="BE71" i="16"/>
  <c r="BE100" i="16"/>
  <c r="BE98" i="16"/>
  <c r="BE127" i="16"/>
  <c r="BE76" i="16"/>
  <c r="BE67" i="16"/>
  <c r="BE48" i="16"/>
  <c r="BE82" i="16"/>
  <c r="BE74" i="16"/>
  <c r="BE94" i="16"/>
  <c r="BE46" i="16"/>
  <c r="BE75" i="16"/>
  <c r="BE70" i="16"/>
  <c r="BE136" i="16"/>
  <c r="BE128" i="16"/>
  <c r="BE14" i="16"/>
  <c r="BE77" i="16"/>
  <c r="BE68" i="16"/>
  <c r="BE44" i="16"/>
  <c r="BE13" i="16"/>
  <c r="BE69" i="16"/>
  <c r="BE23" i="16"/>
  <c r="BE40" i="16"/>
  <c r="BE21" i="16"/>
  <c r="BE50" i="16"/>
  <c r="BE19" i="16"/>
  <c r="BE17" i="16"/>
  <c r="BD47" i="15"/>
  <c r="BD101" i="15"/>
  <c r="BD96" i="15"/>
  <c r="BD110" i="15" s="1"/>
  <c r="BD20" i="16"/>
  <c r="BD110" i="16"/>
  <c r="BE131" i="17"/>
  <c r="BE156" i="17"/>
  <c r="BE152" i="17"/>
  <c r="BE149" i="17"/>
  <c r="BE155" i="17"/>
  <c r="BE151" i="17"/>
  <c r="BE127" i="17"/>
  <c r="BE150" i="17"/>
  <c r="BE125" i="17"/>
  <c r="BE157" i="17"/>
  <c r="BE122" i="17"/>
  <c r="BE154" i="17"/>
  <c r="BE129" i="17"/>
  <c r="BE98" i="17"/>
  <c r="BE97" i="17"/>
  <c r="BE104" i="17"/>
  <c r="BE96" i="17"/>
  <c r="BE99" i="17"/>
  <c r="BE109" i="17"/>
  <c r="BE121" i="17"/>
  <c r="BE95" i="17"/>
  <c r="BE103" i="17"/>
  <c r="BE94" i="17"/>
  <c r="BE101" i="17"/>
  <c r="BE76" i="17"/>
  <c r="BE77" i="17"/>
  <c r="BE75" i="17"/>
  <c r="BE74" i="17"/>
  <c r="BE73" i="17"/>
  <c r="BE72" i="17"/>
  <c r="BE71" i="17"/>
  <c r="BE102" i="17"/>
  <c r="BE100" i="17"/>
  <c r="BE82" i="17"/>
  <c r="BE69" i="17"/>
  <c r="BE70" i="17"/>
  <c r="BE67" i="17"/>
  <c r="BE47" i="17"/>
  <c r="BE55" i="17"/>
  <c r="BE46" i="17"/>
  <c r="BE68" i="17"/>
  <c r="BE45" i="17"/>
  <c r="BE44" i="17"/>
  <c r="BE43" i="17"/>
  <c r="BE42" i="17"/>
  <c r="BE41" i="17"/>
  <c r="BE23" i="17"/>
  <c r="BE50" i="17"/>
  <c r="BE21" i="17"/>
  <c r="BE19" i="17"/>
  <c r="BE40" i="17"/>
  <c r="BE17" i="17"/>
  <c r="BE14" i="17"/>
  <c r="BE49" i="17"/>
  <c r="BE48" i="17"/>
  <c r="BE13" i="17"/>
  <c r="BD95" i="17"/>
  <c r="BD124" i="17"/>
  <c r="BD137" i="15"/>
  <c r="BD144" i="16"/>
  <c r="BD153" i="16" s="1"/>
  <c r="BD158" i="16" s="1"/>
  <c r="BD176" i="16" s="1"/>
  <c r="BE92" i="16"/>
  <c r="BE93" i="16" s="1"/>
  <c r="BE96" i="16" s="1"/>
  <c r="BF118" i="16"/>
  <c r="BF117" i="16"/>
  <c r="BF91" i="16"/>
  <c r="BF90" i="16"/>
  <c r="BF64" i="16"/>
  <c r="BF63" i="16"/>
  <c r="BF66" i="16" s="1"/>
  <c r="BF36" i="16"/>
  <c r="BF10" i="16"/>
  <c r="BF9" i="16"/>
  <c r="BG4" i="16"/>
  <c r="BF5" i="16"/>
  <c r="BF37" i="16"/>
  <c r="BF118" i="17"/>
  <c r="BF117" i="17"/>
  <c r="BF90" i="17"/>
  <c r="BF91" i="17"/>
  <c r="BF63" i="17"/>
  <c r="BF66" i="17" s="1"/>
  <c r="BF37" i="17"/>
  <c r="BF36" i="17"/>
  <c r="BF10" i="17"/>
  <c r="BF9" i="17"/>
  <c r="BG4" i="17"/>
  <c r="BF5" i="17"/>
  <c r="BF64" i="17"/>
  <c r="BD56" i="17"/>
  <c r="BE157" i="15"/>
  <c r="BE156" i="15"/>
  <c r="BE155" i="15"/>
  <c r="BE154" i="15"/>
  <c r="BE152" i="15"/>
  <c r="BE151" i="15"/>
  <c r="BE150" i="15"/>
  <c r="BE149" i="15"/>
  <c r="BE124" i="15"/>
  <c r="BE123" i="15"/>
  <c r="BE104" i="15"/>
  <c r="BE122" i="15"/>
  <c r="BE121" i="15"/>
  <c r="BE131" i="15"/>
  <c r="BE130" i="15"/>
  <c r="BE129" i="15"/>
  <c r="BE136" i="15"/>
  <c r="BE128" i="15"/>
  <c r="BE127" i="15"/>
  <c r="BE77" i="15"/>
  <c r="BE76" i="15"/>
  <c r="BE103" i="15"/>
  <c r="BE94" i="15"/>
  <c r="BE75" i="15"/>
  <c r="BE82" i="15"/>
  <c r="BE74" i="15"/>
  <c r="BE73" i="15"/>
  <c r="BE72" i="15"/>
  <c r="BE102" i="15"/>
  <c r="BE100" i="15"/>
  <c r="BE98" i="15"/>
  <c r="BE69" i="15"/>
  <c r="BE50" i="15"/>
  <c r="BE68" i="15"/>
  <c r="BE49" i="15"/>
  <c r="BE67" i="15"/>
  <c r="BE48" i="15"/>
  <c r="BE70" i="15"/>
  <c r="BE55" i="15"/>
  <c r="BE47" i="15"/>
  <c r="BE46" i="15"/>
  <c r="BE71" i="15"/>
  <c r="BE45" i="15"/>
  <c r="BE44" i="15"/>
  <c r="BE126" i="15"/>
  <c r="BE43" i="15"/>
  <c r="BE125" i="15"/>
  <c r="BE42" i="15"/>
  <c r="BE41" i="15"/>
  <c r="BE15" i="15"/>
  <c r="BE14" i="15"/>
  <c r="BE13" i="15"/>
  <c r="BE22" i="15"/>
  <c r="BE21" i="15"/>
  <c r="BE28" i="15"/>
  <c r="BE20" i="15"/>
  <c r="BE19" i="15"/>
  <c r="BE40" i="15"/>
  <c r="BE18" i="15"/>
  <c r="BE23" i="15"/>
  <c r="BE17" i="15"/>
  <c r="BE16" i="15"/>
  <c r="BE92" i="15"/>
  <c r="BE93" i="15" s="1"/>
  <c r="BE99" i="15" s="1"/>
  <c r="BD174" i="15"/>
  <c r="BD29" i="15"/>
  <c r="BD18" i="16"/>
  <c r="BD137" i="16"/>
  <c r="BD109" i="17"/>
  <c r="BD174" i="17" s="1"/>
  <c r="AX178" i="17"/>
  <c r="AW179" i="17"/>
  <c r="BF118" i="15"/>
  <c r="BF117" i="15"/>
  <c r="BF91" i="15"/>
  <c r="BF90" i="15"/>
  <c r="BF37" i="15"/>
  <c r="BF36" i="15"/>
  <c r="BF64" i="15"/>
  <c r="BF63" i="15"/>
  <c r="BF66" i="15" s="1"/>
  <c r="BF10" i="15"/>
  <c r="BF9" i="15"/>
  <c r="BG4" i="15"/>
  <c r="BF5" i="15"/>
  <c r="AX178" i="16"/>
  <c r="AW179" i="16"/>
  <c r="BE11" i="16"/>
  <c r="BE12" i="16" s="1"/>
  <c r="BC174" i="15"/>
  <c r="BC177" i="15" s="1"/>
  <c r="BD15" i="16"/>
  <c r="BE11" i="17"/>
  <c r="BE12" i="17" s="1"/>
  <c r="BE22" i="17" s="1"/>
  <c r="BE119" i="17"/>
  <c r="BE120" i="17" s="1"/>
  <c r="BE126" i="17" s="1"/>
  <c r="BD96" i="17"/>
  <c r="BD83" i="16"/>
  <c r="BD126" i="17"/>
  <c r="BD137" i="17" s="1"/>
  <c r="BE144" i="15"/>
  <c r="BE153" i="15" s="1"/>
  <c r="BD83" i="15"/>
  <c r="BE38" i="16"/>
  <c r="BE39" i="16" s="1"/>
  <c r="BE55" i="16" s="1"/>
  <c r="BD16" i="16"/>
  <c r="BD144" i="15"/>
  <c r="BD153" i="15" s="1"/>
  <c r="BD158" i="15" s="1"/>
  <c r="BD176" i="15" s="1"/>
  <c r="BC174" i="17"/>
  <c r="BC177" i="17" s="1"/>
  <c r="BD56" i="16"/>
  <c r="BD83" i="17"/>
  <c r="BD128" i="17"/>
  <c r="BF11" i="17" l="1"/>
  <c r="BF12" i="17" s="1"/>
  <c r="BD110" i="17"/>
  <c r="BE83" i="16"/>
  <c r="BD56" i="15"/>
  <c r="BF38" i="15"/>
  <c r="BF39" i="15" s="1"/>
  <c r="BF65" i="16"/>
  <c r="BF74" i="16" s="1"/>
  <c r="BD29" i="16"/>
  <c r="BE144" i="16"/>
  <c r="BE153" i="16" s="1"/>
  <c r="BE158" i="16" s="1"/>
  <c r="BE176" i="16" s="1"/>
  <c r="BE109" i="15"/>
  <c r="BE174" i="15" s="1"/>
  <c r="BE83" i="15"/>
  <c r="BF119" i="16"/>
  <c r="BF120" i="16" s="1"/>
  <c r="BF124" i="16" s="1"/>
  <c r="BD175" i="16"/>
  <c r="BE144" i="17"/>
  <c r="BE153" i="17" s="1"/>
  <c r="BF11" i="15"/>
  <c r="BF12" i="15" s="1"/>
  <c r="BF119" i="15"/>
  <c r="BF120" i="15" s="1"/>
  <c r="BE137" i="15"/>
  <c r="BF157" i="16"/>
  <c r="BF156" i="16"/>
  <c r="BF155" i="16"/>
  <c r="BF154" i="16"/>
  <c r="BF152" i="16"/>
  <c r="BF151" i="16"/>
  <c r="BF150" i="16"/>
  <c r="BF149" i="16"/>
  <c r="BF125" i="16"/>
  <c r="BF104" i="16"/>
  <c r="BF122" i="16"/>
  <c r="BF121" i="16"/>
  <c r="BF102" i="16"/>
  <c r="BF131" i="16"/>
  <c r="BF129" i="16"/>
  <c r="BF136" i="16"/>
  <c r="BF72" i="16"/>
  <c r="BF71" i="16"/>
  <c r="BF70" i="16"/>
  <c r="BF100" i="16"/>
  <c r="BF98" i="16"/>
  <c r="BF127" i="16"/>
  <c r="BF77" i="16"/>
  <c r="BF94" i="16"/>
  <c r="BF75" i="16"/>
  <c r="BF82" i="16"/>
  <c r="BF73" i="16"/>
  <c r="BF46" i="16"/>
  <c r="BF76" i="16"/>
  <c r="BF50" i="16"/>
  <c r="BF69" i="16"/>
  <c r="BF68" i="16"/>
  <c r="BF67" i="16"/>
  <c r="BF48" i="16"/>
  <c r="BF44" i="16"/>
  <c r="BF13" i="16"/>
  <c r="BF23" i="16"/>
  <c r="BF40" i="16"/>
  <c r="BF21" i="16"/>
  <c r="BF19" i="16"/>
  <c r="BF17" i="16"/>
  <c r="BF14" i="16"/>
  <c r="BE110" i="17"/>
  <c r="BE16" i="16"/>
  <c r="BE42" i="16"/>
  <c r="BD175" i="17"/>
  <c r="BD177" i="17" s="1"/>
  <c r="BE95" i="15"/>
  <c r="BF92" i="17"/>
  <c r="BF93" i="17" s="1"/>
  <c r="BF103" i="17" s="1"/>
  <c r="BG118" i="16"/>
  <c r="BG119" i="16" s="1"/>
  <c r="BG120" i="16" s="1"/>
  <c r="BG117" i="16"/>
  <c r="BG91" i="16"/>
  <c r="BG64" i="16"/>
  <c r="BG63" i="16"/>
  <c r="BG66" i="16" s="1"/>
  <c r="BG90" i="16"/>
  <c r="BG37" i="16"/>
  <c r="BG36" i="16"/>
  <c r="BG10" i="16"/>
  <c r="BG9" i="16"/>
  <c r="BH4" i="16"/>
  <c r="BG5" i="16"/>
  <c r="BE15" i="17"/>
  <c r="BE130" i="17"/>
  <c r="BE136" i="17"/>
  <c r="BE22" i="16"/>
  <c r="BE95" i="16"/>
  <c r="BE158" i="17"/>
  <c r="BE176" i="17" s="1"/>
  <c r="BE41" i="16"/>
  <c r="BE97" i="16"/>
  <c r="AZ178" i="15"/>
  <c r="AY179" i="15"/>
  <c r="BF65" i="15"/>
  <c r="BE29" i="15"/>
  <c r="BE101" i="15"/>
  <c r="BE96" i="15"/>
  <c r="BF65" i="17"/>
  <c r="BF74" i="17" s="1"/>
  <c r="BF11" i="16"/>
  <c r="BF12" i="16" s="1"/>
  <c r="BF22" i="16" s="1"/>
  <c r="BE28" i="17"/>
  <c r="BE49" i="16"/>
  <c r="BE45" i="16"/>
  <c r="BE109" i="16"/>
  <c r="BE123" i="17"/>
  <c r="AY178" i="17"/>
  <c r="AX179" i="17"/>
  <c r="BE97" i="15"/>
  <c r="BF157" i="17"/>
  <c r="BF156" i="17"/>
  <c r="BF152" i="17"/>
  <c r="BF149" i="17"/>
  <c r="BF155" i="17"/>
  <c r="BF151" i="17"/>
  <c r="BF154" i="17"/>
  <c r="BF150" i="17"/>
  <c r="BF125" i="17"/>
  <c r="BF131" i="17"/>
  <c r="BF127" i="17"/>
  <c r="BF129" i="17"/>
  <c r="BF121" i="17"/>
  <c r="BF97" i="17"/>
  <c r="BF96" i="17"/>
  <c r="BF104" i="17"/>
  <c r="BF122" i="17"/>
  <c r="BF95" i="17"/>
  <c r="BF94" i="17"/>
  <c r="BF101" i="17"/>
  <c r="BF102" i="17"/>
  <c r="BF100" i="17"/>
  <c r="BF77" i="17"/>
  <c r="BF75" i="17"/>
  <c r="BF73" i="17"/>
  <c r="BF72" i="17"/>
  <c r="BF71" i="17"/>
  <c r="BF70" i="17"/>
  <c r="BF76" i="17"/>
  <c r="BF82" i="17"/>
  <c r="BF98" i="17"/>
  <c r="BF69" i="17"/>
  <c r="BF50" i="17"/>
  <c r="BF67" i="17"/>
  <c r="BF46" i="17"/>
  <c r="BF68" i="17"/>
  <c r="BF45" i="17"/>
  <c r="BF44" i="17"/>
  <c r="BF48" i="17"/>
  <c r="BF40" i="17"/>
  <c r="BF23" i="17"/>
  <c r="BF22" i="17"/>
  <c r="BF21" i="17"/>
  <c r="BF20" i="17"/>
  <c r="BF19" i="17"/>
  <c r="BF18" i="17"/>
  <c r="BF17" i="17"/>
  <c r="BF28" i="17"/>
  <c r="BF15" i="17"/>
  <c r="BF13" i="17"/>
  <c r="BF16" i="17"/>
  <c r="BF14" i="17"/>
  <c r="BE15" i="16"/>
  <c r="BE158" i="15"/>
  <c r="BE176" i="15" s="1"/>
  <c r="BG118" i="17"/>
  <c r="BG117" i="17"/>
  <c r="BG91" i="17"/>
  <c r="BG90" i="17"/>
  <c r="BG64" i="17"/>
  <c r="BG63" i="17"/>
  <c r="BG66" i="17" s="1"/>
  <c r="BG37" i="17"/>
  <c r="BG38" i="17" s="1"/>
  <c r="BG39" i="17" s="1"/>
  <c r="BG36" i="17"/>
  <c r="BG10" i="17"/>
  <c r="BG9" i="17"/>
  <c r="BH4" i="17"/>
  <c r="BG5" i="17"/>
  <c r="BE56" i="17"/>
  <c r="BE124" i="17"/>
  <c r="BE43" i="16"/>
  <c r="BE56" i="16" s="1"/>
  <c r="BE99" i="16"/>
  <c r="BE137" i="16"/>
  <c r="BD175" i="15"/>
  <c r="BD177" i="15" s="1"/>
  <c r="BF119" i="17"/>
  <c r="BF120" i="17" s="1"/>
  <c r="BF123" i="17" s="1"/>
  <c r="BE18" i="17"/>
  <c r="BE47" i="16"/>
  <c r="BE103" i="16"/>
  <c r="BD177" i="16"/>
  <c r="BE18" i="16"/>
  <c r="BE101" i="16"/>
  <c r="BE110" i="16" s="1"/>
  <c r="BE20" i="17"/>
  <c r="BE128" i="17"/>
  <c r="BE20" i="16"/>
  <c r="BF157" i="15"/>
  <c r="BF156" i="15"/>
  <c r="BF155" i="15"/>
  <c r="BF154" i="15"/>
  <c r="BF152" i="15"/>
  <c r="BF151" i="15"/>
  <c r="BF150" i="15"/>
  <c r="BF149" i="15"/>
  <c r="BF123" i="15"/>
  <c r="BF104" i="15"/>
  <c r="BF122" i="15"/>
  <c r="BF121" i="15"/>
  <c r="BF131" i="15"/>
  <c r="BF130" i="15"/>
  <c r="BF129" i="15"/>
  <c r="BF136" i="15"/>
  <c r="BF128" i="15"/>
  <c r="BF127" i="15"/>
  <c r="BF126" i="15"/>
  <c r="BF77" i="15"/>
  <c r="BF76" i="15"/>
  <c r="BF94" i="15"/>
  <c r="BF75" i="15"/>
  <c r="BF82" i="15"/>
  <c r="BF74" i="15"/>
  <c r="BF73" i="15"/>
  <c r="BF72" i="15"/>
  <c r="BF102" i="15"/>
  <c r="BF71" i="15"/>
  <c r="BF124" i="15"/>
  <c r="BF100" i="15"/>
  <c r="BF125" i="15"/>
  <c r="BF68" i="15"/>
  <c r="BF49" i="15"/>
  <c r="BF67" i="15"/>
  <c r="BF48" i="15"/>
  <c r="BF70" i="15"/>
  <c r="BF55" i="15"/>
  <c r="BF47" i="15"/>
  <c r="BF46" i="15"/>
  <c r="BF45" i="15"/>
  <c r="BF44" i="15"/>
  <c r="BF43" i="15"/>
  <c r="BF42" i="15"/>
  <c r="BF41" i="15"/>
  <c r="BF40" i="15"/>
  <c r="BF69" i="15"/>
  <c r="BF14" i="15"/>
  <c r="BF13" i="15"/>
  <c r="BF98" i="15"/>
  <c r="BF50" i="15"/>
  <c r="BF22" i="15"/>
  <c r="BF21" i="15"/>
  <c r="BF28" i="15"/>
  <c r="BF20" i="15"/>
  <c r="BF19" i="15"/>
  <c r="BF18" i="15"/>
  <c r="BF23" i="15"/>
  <c r="BF17" i="15"/>
  <c r="BF16" i="15"/>
  <c r="BF15" i="15"/>
  <c r="BE56" i="15"/>
  <c r="BF38" i="17"/>
  <c r="BF39" i="17" s="1"/>
  <c r="BF43" i="17" s="1"/>
  <c r="BE16" i="17"/>
  <c r="BE28" i="16"/>
  <c r="AY178" i="16"/>
  <c r="AX179" i="16"/>
  <c r="BF92" i="15"/>
  <c r="BF93" i="15" s="1"/>
  <c r="BF97" i="15" s="1"/>
  <c r="BG118" i="15"/>
  <c r="BG117" i="15"/>
  <c r="BG91" i="15"/>
  <c r="BG90" i="15"/>
  <c r="BG64" i="15"/>
  <c r="BG63" i="15"/>
  <c r="BG66" i="15" s="1"/>
  <c r="BG10" i="15"/>
  <c r="BG9" i="15"/>
  <c r="BG37" i="15"/>
  <c r="BG36" i="15"/>
  <c r="BH4" i="15"/>
  <c r="BG5" i="15"/>
  <c r="BF38" i="16"/>
  <c r="BF39" i="16" s="1"/>
  <c r="BF49" i="16" s="1"/>
  <c r="BF92" i="16"/>
  <c r="BF93" i="16" s="1"/>
  <c r="BF99" i="16" s="1"/>
  <c r="BE29" i="17"/>
  <c r="BE83" i="17"/>
  <c r="BC177" i="16"/>
  <c r="BF16" i="16" l="1"/>
  <c r="BF83" i="16"/>
  <c r="BF130" i="16"/>
  <c r="BF18" i="16"/>
  <c r="BF20" i="16"/>
  <c r="BF126" i="16"/>
  <c r="BF124" i="17"/>
  <c r="BE110" i="15"/>
  <c r="BE175" i="15" s="1"/>
  <c r="BE177" i="15" s="1"/>
  <c r="BF28" i="16"/>
  <c r="BF174" i="16" s="1"/>
  <c r="BE29" i="16"/>
  <c r="BE175" i="16" s="1"/>
  <c r="BF109" i="17"/>
  <c r="BE137" i="17"/>
  <c r="BG11" i="16"/>
  <c r="BG12" i="16" s="1"/>
  <c r="BF101" i="16"/>
  <c r="BF123" i="16"/>
  <c r="BF99" i="17"/>
  <c r="BF55" i="16"/>
  <c r="BG11" i="15"/>
  <c r="BG12" i="15" s="1"/>
  <c r="BG38" i="16"/>
  <c r="BG39" i="16" s="1"/>
  <c r="BG43" i="16" s="1"/>
  <c r="BF128" i="16"/>
  <c r="BF137" i="16" s="1"/>
  <c r="BF83" i="15"/>
  <c r="BF43" i="16"/>
  <c r="BF103" i="16"/>
  <c r="BF144" i="17"/>
  <c r="BF153" i="17" s="1"/>
  <c r="BF158" i="17" s="1"/>
  <c r="BF176" i="17" s="1"/>
  <c r="BF83" i="17"/>
  <c r="BF126" i="17"/>
  <c r="BG65" i="16"/>
  <c r="BF99" i="15"/>
  <c r="BF109" i="15"/>
  <c r="BG65" i="17"/>
  <c r="BF55" i="17"/>
  <c r="AZ178" i="17"/>
  <c r="AY179" i="17"/>
  <c r="BG92" i="16"/>
  <c r="BG93" i="16" s="1"/>
  <c r="BG103" i="16" s="1"/>
  <c r="BF137" i="15"/>
  <c r="BF47" i="17"/>
  <c r="BG157" i="16"/>
  <c r="BG156" i="16"/>
  <c r="BG155" i="16"/>
  <c r="BG154" i="16"/>
  <c r="BG152" i="16"/>
  <c r="BG151" i="16"/>
  <c r="BG150" i="16"/>
  <c r="BG149" i="16"/>
  <c r="BG124" i="16"/>
  <c r="BG123" i="16"/>
  <c r="BG104" i="16"/>
  <c r="BG122" i="16"/>
  <c r="BG121" i="16"/>
  <c r="BG102" i="16"/>
  <c r="BG131" i="16"/>
  <c r="BG130" i="16"/>
  <c r="BG129" i="16"/>
  <c r="BG136" i="16"/>
  <c r="BG128" i="16"/>
  <c r="BG127" i="16"/>
  <c r="BG71" i="16"/>
  <c r="BG70" i="16"/>
  <c r="BG100" i="16"/>
  <c r="BG125" i="16"/>
  <c r="BG126" i="16"/>
  <c r="BG98" i="16"/>
  <c r="BG77" i="16"/>
  <c r="BG76" i="16"/>
  <c r="BG82" i="16"/>
  <c r="BG74" i="16"/>
  <c r="BG73" i="16"/>
  <c r="BG46" i="16"/>
  <c r="BG94" i="16"/>
  <c r="BG75" i="16"/>
  <c r="BG72" i="16"/>
  <c r="BG69" i="16"/>
  <c r="BG68" i="16"/>
  <c r="BG67" i="16"/>
  <c r="BG44" i="16"/>
  <c r="BG47" i="16"/>
  <c r="BG23" i="16"/>
  <c r="BG41" i="16"/>
  <c r="BG22" i="16"/>
  <c r="BG42" i="16"/>
  <c r="BG40" i="16"/>
  <c r="BG21" i="16"/>
  <c r="BG28" i="16"/>
  <c r="BG20" i="16"/>
  <c r="BG19" i="16"/>
  <c r="BG45" i="16"/>
  <c r="BG18" i="16"/>
  <c r="BG49" i="16"/>
  <c r="BG50" i="16"/>
  <c r="BG48" i="16"/>
  <c r="BG15" i="16"/>
  <c r="BG55" i="16"/>
  <c r="BG13" i="16"/>
  <c r="BG17" i="16"/>
  <c r="BG14" i="16"/>
  <c r="BG16" i="16"/>
  <c r="BF95" i="16"/>
  <c r="BE174" i="16"/>
  <c r="BE177" i="16" s="1"/>
  <c r="BF95" i="15"/>
  <c r="BF103" i="15"/>
  <c r="BF29" i="17"/>
  <c r="BF128" i="17"/>
  <c r="BH118" i="16"/>
  <c r="BH117" i="16"/>
  <c r="BH64" i="16"/>
  <c r="BH63" i="16"/>
  <c r="BH66" i="16" s="1"/>
  <c r="BH90" i="16"/>
  <c r="BH37" i="16"/>
  <c r="BH36" i="16"/>
  <c r="BI4" i="16"/>
  <c r="BH5" i="16"/>
  <c r="BH91" i="16"/>
  <c r="BH9" i="16"/>
  <c r="BH10" i="16"/>
  <c r="BF96" i="16"/>
  <c r="BG156" i="15"/>
  <c r="BG155" i="15"/>
  <c r="BG154" i="15"/>
  <c r="BG152" i="15"/>
  <c r="BG151" i="15"/>
  <c r="BG150" i="15"/>
  <c r="BG149" i="15"/>
  <c r="BG122" i="15"/>
  <c r="BG121" i="15"/>
  <c r="BG131" i="15"/>
  <c r="BG157" i="15"/>
  <c r="BG129" i="15"/>
  <c r="BG127" i="15"/>
  <c r="BG125" i="15"/>
  <c r="BG76" i="15"/>
  <c r="BG94" i="15"/>
  <c r="BG75" i="15"/>
  <c r="BG82" i="15"/>
  <c r="BG104" i="15"/>
  <c r="BG73" i="15"/>
  <c r="BG72" i="15"/>
  <c r="BG102" i="15"/>
  <c r="BG71" i="15"/>
  <c r="BG70" i="15"/>
  <c r="BG100" i="15"/>
  <c r="BG98" i="15"/>
  <c r="BG67" i="15"/>
  <c r="BG48" i="15"/>
  <c r="BG77" i="15"/>
  <c r="BG46" i="15"/>
  <c r="BG45" i="15"/>
  <c r="BG44" i="15"/>
  <c r="BG40" i="15"/>
  <c r="BG13" i="15"/>
  <c r="BG50" i="15"/>
  <c r="BG22" i="15"/>
  <c r="BG21" i="15"/>
  <c r="BG28" i="15"/>
  <c r="BG20" i="15"/>
  <c r="BG19" i="15"/>
  <c r="BG18" i="15"/>
  <c r="BG23" i="15"/>
  <c r="BG17" i="15"/>
  <c r="BG16" i="15"/>
  <c r="BG68" i="15"/>
  <c r="BG15" i="15"/>
  <c r="BG69" i="15"/>
  <c r="BG14" i="15"/>
  <c r="BG92" i="15"/>
  <c r="BG93" i="15" s="1"/>
  <c r="BG109" i="15" s="1"/>
  <c r="BG157" i="17"/>
  <c r="BG156" i="17"/>
  <c r="BG152" i="17"/>
  <c r="BG149" i="17"/>
  <c r="BG155" i="17"/>
  <c r="BG151" i="17"/>
  <c r="BG154" i="17"/>
  <c r="BG150" i="17"/>
  <c r="BG125" i="17"/>
  <c r="BG131" i="17"/>
  <c r="BG122" i="17"/>
  <c r="BG127" i="17"/>
  <c r="BG129" i="17"/>
  <c r="BG104" i="17"/>
  <c r="BG102" i="17"/>
  <c r="BG121" i="17"/>
  <c r="BG94" i="17"/>
  <c r="BG100" i="17"/>
  <c r="BG98" i="17"/>
  <c r="BG74" i="17"/>
  <c r="BG73" i="17"/>
  <c r="BG72" i="17"/>
  <c r="BG71" i="17"/>
  <c r="BG70" i="17"/>
  <c r="BG82" i="17"/>
  <c r="BG76" i="17"/>
  <c r="BG69" i="17"/>
  <c r="BG50" i="17"/>
  <c r="BG77" i="17"/>
  <c r="BG67" i="17"/>
  <c r="BG55" i="17"/>
  <c r="BG75" i="17"/>
  <c r="BG68" i="17"/>
  <c r="BG46" i="17"/>
  <c r="BG45" i="17"/>
  <c r="BG44" i="17"/>
  <c r="BG43" i="17"/>
  <c r="BG42" i="17"/>
  <c r="BG41" i="17"/>
  <c r="BG48" i="17"/>
  <c r="BG40" i="17"/>
  <c r="BG49" i="17"/>
  <c r="BG21" i="17"/>
  <c r="BG19" i="17"/>
  <c r="BG17" i="17"/>
  <c r="BG47" i="17"/>
  <c r="BG23" i="17"/>
  <c r="BG13" i="17"/>
  <c r="BG14" i="17"/>
  <c r="BG92" i="17"/>
  <c r="BG93" i="17" s="1"/>
  <c r="BG109" i="17" s="1"/>
  <c r="BF49" i="17"/>
  <c r="BA178" i="15"/>
  <c r="AZ179" i="15"/>
  <c r="BF42" i="16"/>
  <c r="BF97" i="16"/>
  <c r="BF41" i="17"/>
  <c r="BF110" i="17"/>
  <c r="BF136" i="17"/>
  <c r="BF174" i="17" s="1"/>
  <c r="BF45" i="16"/>
  <c r="BF144" i="15"/>
  <c r="BF153" i="15" s="1"/>
  <c r="BF158" i="15" s="1"/>
  <c r="BF176" i="15" s="1"/>
  <c r="BF56" i="15"/>
  <c r="AZ178" i="16"/>
  <c r="AY179" i="16"/>
  <c r="BH118" i="15"/>
  <c r="BH117" i="15"/>
  <c r="BH91" i="15"/>
  <c r="BH90" i="15"/>
  <c r="BH64" i="15"/>
  <c r="BH65" i="15" s="1"/>
  <c r="BH63" i="15"/>
  <c r="BH66" i="15" s="1"/>
  <c r="BH10" i="15"/>
  <c r="BH9" i="15"/>
  <c r="BH37" i="15"/>
  <c r="BH36" i="15"/>
  <c r="BI4" i="15"/>
  <c r="BH5" i="15"/>
  <c r="BF101" i="15"/>
  <c r="BF96" i="15"/>
  <c r="BF42" i="17"/>
  <c r="BF130" i="17"/>
  <c r="BF41" i="16"/>
  <c r="BF56" i="16" s="1"/>
  <c r="BE175" i="17"/>
  <c r="BG38" i="15"/>
  <c r="BG39" i="15" s="1"/>
  <c r="BG43" i="15" s="1"/>
  <c r="BG119" i="15"/>
  <c r="BG120" i="15" s="1"/>
  <c r="BG124" i="15" s="1"/>
  <c r="BG11" i="17"/>
  <c r="BG12" i="17" s="1"/>
  <c r="BG16" i="17" s="1"/>
  <c r="BG119" i="17"/>
  <c r="BG120" i="17" s="1"/>
  <c r="BG123" i="17" s="1"/>
  <c r="BE174" i="17"/>
  <c r="BE177" i="17" s="1"/>
  <c r="BF109" i="16"/>
  <c r="BG65" i="15"/>
  <c r="BG74" i="15" s="1"/>
  <c r="BH118" i="17"/>
  <c r="BH117" i="17"/>
  <c r="BH91" i="17"/>
  <c r="BH92" i="17" s="1"/>
  <c r="BH93" i="17" s="1"/>
  <c r="BH90" i="17"/>
  <c r="BH64" i="17"/>
  <c r="BH36" i="17"/>
  <c r="BH63" i="17"/>
  <c r="BH66" i="17" s="1"/>
  <c r="BH10" i="17"/>
  <c r="BH9" i="17"/>
  <c r="BI4" i="17"/>
  <c r="BH37" i="17"/>
  <c r="BH38" i="17" s="1"/>
  <c r="BH39" i="17" s="1"/>
  <c r="BH5" i="17"/>
  <c r="BF29" i="15"/>
  <c r="BF144" i="16"/>
  <c r="BF153" i="16" s="1"/>
  <c r="BF158" i="16" s="1"/>
  <c r="BF176" i="16" s="1"/>
  <c r="BF15" i="16"/>
  <c r="BF29" i="16" s="1"/>
  <c r="BF47" i="16"/>
  <c r="BF110" i="15" l="1"/>
  <c r="BG103" i="17"/>
  <c r="BF110" i="16"/>
  <c r="BG109" i="16"/>
  <c r="BG99" i="16"/>
  <c r="BH11" i="15"/>
  <c r="BH12" i="15" s="1"/>
  <c r="BF56" i="17"/>
  <c r="BG18" i="17"/>
  <c r="BG123" i="15"/>
  <c r="BF137" i="17"/>
  <c r="BF175" i="16"/>
  <c r="BF177" i="16" s="1"/>
  <c r="BG124" i="17"/>
  <c r="BG20" i="17"/>
  <c r="BG137" i="16"/>
  <c r="BG128" i="17"/>
  <c r="BG126" i="15"/>
  <c r="BH11" i="16"/>
  <c r="BH12" i="16" s="1"/>
  <c r="BH65" i="16"/>
  <c r="BH92" i="15"/>
  <c r="BH93" i="15" s="1"/>
  <c r="BH109" i="15" s="1"/>
  <c r="BG22" i="17"/>
  <c r="BG49" i="15"/>
  <c r="BG47" i="15"/>
  <c r="BG101" i="16"/>
  <c r="BA178" i="17"/>
  <c r="AZ179" i="17"/>
  <c r="BG95" i="15"/>
  <c r="BH11" i="17"/>
  <c r="BH12" i="17" s="1"/>
  <c r="BH155" i="15"/>
  <c r="BH154" i="15"/>
  <c r="BH152" i="15"/>
  <c r="BH151" i="15"/>
  <c r="BH150" i="15"/>
  <c r="BH149" i="15"/>
  <c r="BH121" i="15"/>
  <c r="BH131" i="15"/>
  <c r="BH156" i="15"/>
  <c r="BH157" i="15"/>
  <c r="BH129" i="15"/>
  <c r="BH127" i="15"/>
  <c r="BH125" i="15"/>
  <c r="BH94" i="15"/>
  <c r="BH75" i="15"/>
  <c r="BH82" i="15"/>
  <c r="BH74" i="15"/>
  <c r="BH104" i="15"/>
  <c r="BH103" i="15"/>
  <c r="BH73" i="15"/>
  <c r="BH72" i="15"/>
  <c r="BH122" i="15"/>
  <c r="BH102" i="15"/>
  <c r="BH71" i="15"/>
  <c r="BH101" i="15"/>
  <c r="BH100" i="15"/>
  <c r="BH99" i="15"/>
  <c r="BH98" i="15"/>
  <c r="BH97" i="15"/>
  <c r="BH76" i="15"/>
  <c r="BH77" i="15"/>
  <c r="BH70" i="15"/>
  <c r="BH46" i="15"/>
  <c r="BH44" i="15"/>
  <c r="BH40" i="15"/>
  <c r="BH69" i="15"/>
  <c r="BH50" i="15"/>
  <c r="BH48" i="15"/>
  <c r="BH22" i="15"/>
  <c r="BH21" i="15"/>
  <c r="BH28" i="15"/>
  <c r="BH20" i="15"/>
  <c r="BH19" i="15"/>
  <c r="BH18" i="15"/>
  <c r="BH23" i="15"/>
  <c r="BH17" i="15"/>
  <c r="BH67" i="15"/>
  <c r="BH16" i="15"/>
  <c r="BH68" i="15"/>
  <c r="BH15" i="15"/>
  <c r="BH14" i="15"/>
  <c r="BH13" i="15"/>
  <c r="BG144" i="16"/>
  <c r="BG153" i="16" s="1"/>
  <c r="BI118" i="15"/>
  <c r="BI117" i="15"/>
  <c r="BI91" i="15"/>
  <c r="BI90" i="15"/>
  <c r="BI64" i="15"/>
  <c r="BI63" i="15"/>
  <c r="BI66" i="15" s="1"/>
  <c r="BI37" i="15"/>
  <c r="BI10" i="15"/>
  <c r="BI9" i="15"/>
  <c r="BI36" i="15"/>
  <c r="BJ4" i="15"/>
  <c r="BI5" i="15"/>
  <c r="BG83" i="17"/>
  <c r="BG96" i="17"/>
  <c r="BG29" i="15"/>
  <c r="BG55" i="15"/>
  <c r="BG128" i="15"/>
  <c r="BH119" i="17"/>
  <c r="BH120" i="17" s="1"/>
  <c r="BH124" i="17" s="1"/>
  <c r="BG56" i="17"/>
  <c r="BG126" i="17"/>
  <c r="BG97" i="15"/>
  <c r="BG136" i="15"/>
  <c r="BH92" i="16"/>
  <c r="BH93" i="16" s="1"/>
  <c r="BH95" i="16" s="1"/>
  <c r="BH119" i="16"/>
  <c r="BH120" i="16" s="1"/>
  <c r="BH123" i="16" s="1"/>
  <c r="BG83" i="16"/>
  <c r="BG95" i="16"/>
  <c r="BH156" i="17"/>
  <c r="BH155" i="17"/>
  <c r="BH149" i="17"/>
  <c r="BH136" i="17"/>
  <c r="BH151" i="17"/>
  <c r="BH154" i="17"/>
  <c r="BH150" i="17"/>
  <c r="BH152" i="17"/>
  <c r="BH131" i="17"/>
  <c r="BH123" i="17"/>
  <c r="BH122" i="17"/>
  <c r="BH121" i="17"/>
  <c r="BH127" i="17"/>
  <c r="BH130" i="17"/>
  <c r="BH129" i="17"/>
  <c r="BH126" i="17"/>
  <c r="BH157" i="17"/>
  <c r="BH128" i="17"/>
  <c r="BH125" i="17"/>
  <c r="BH104" i="17"/>
  <c r="BH103" i="17"/>
  <c r="BH102" i="17"/>
  <c r="BH109" i="17"/>
  <c r="BH101" i="17"/>
  <c r="BH99" i="17"/>
  <c r="BH96" i="17"/>
  <c r="BH95" i="17"/>
  <c r="BH94" i="17"/>
  <c r="BH100" i="17"/>
  <c r="BH98" i="17"/>
  <c r="BH73" i="17"/>
  <c r="BH72" i="17"/>
  <c r="BH71" i="17"/>
  <c r="BH70" i="17"/>
  <c r="BH69" i="17"/>
  <c r="BH97" i="17"/>
  <c r="BH82" i="17"/>
  <c r="BH50" i="17"/>
  <c r="BH77" i="17"/>
  <c r="BH49" i="17"/>
  <c r="BH67" i="17"/>
  <c r="BH46" i="17"/>
  <c r="BH45" i="17"/>
  <c r="BH75" i="17"/>
  <c r="BH68" i="17"/>
  <c r="BH44" i="17"/>
  <c r="BH43" i="17"/>
  <c r="BH42" i="17"/>
  <c r="BH41" i="17"/>
  <c r="BH48" i="17"/>
  <c r="BH40" i="17"/>
  <c r="BH21" i="17"/>
  <c r="BH20" i="17"/>
  <c r="BH55" i="17"/>
  <c r="BH19" i="17"/>
  <c r="BH18" i="17"/>
  <c r="BH17" i="17"/>
  <c r="BH28" i="17"/>
  <c r="BH16" i="17"/>
  <c r="BH76" i="17"/>
  <c r="BH23" i="17"/>
  <c r="BH15" i="17"/>
  <c r="BH13" i="17"/>
  <c r="BH14" i="17"/>
  <c r="BH22" i="17"/>
  <c r="BH47" i="17"/>
  <c r="BG144" i="17"/>
  <c r="BG153" i="17" s="1"/>
  <c r="BB178" i="15"/>
  <c r="BA179" i="15"/>
  <c r="BG101" i="15"/>
  <c r="BG144" i="15"/>
  <c r="BG153" i="15" s="1"/>
  <c r="BG158" i="15" s="1"/>
  <c r="BG176" i="15" s="1"/>
  <c r="BH38" i="15"/>
  <c r="BH39" i="15" s="1"/>
  <c r="BH49" i="15" s="1"/>
  <c r="BH119" i="15"/>
  <c r="BH120" i="15" s="1"/>
  <c r="BH126" i="15" s="1"/>
  <c r="BG15" i="17"/>
  <c r="BG29" i="17" s="1"/>
  <c r="BG101" i="17"/>
  <c r="BG83" i="15"/>
  <c r="BH156" i="16"/>
  <c r="BH155" i="16"/>
  <c r="BH154" i="16"/>
  <c r="BH152" i="16"/>
  <c r="BH151" i="16"/>
  <c r="BH150" i="16"/>
  <c r="BH149" i="16"/>
  <c r="BH104" i="16"/>
  <c r="BH122" i="16"/>
  <c r="BH103" i="16"/>
  <c r="BH121" i="16"/>
  <c r="BH131" i="16"/>
  <c r="BH130" i="16"/>
  <c r="BH129" i="16"/>
  <c r="BH128" i="16"/>
  <c r="BH127" i="16"/>
  <c r="BH101" i="16"/>
  <c r="BH70" i="16"/>
  <c r="BH100" i="16"/>
  <c r="BH69" i="16"/>
  <c r="BH157" i="16"/>
  <c r="BH125" i="16"/>
  <c r="BH99" i="16"/>
  <c r="BH98" i="16"/>
  <c r="BH97" i="16"/>
  <c r="BH96" i="16"/>
  <c r="BH76" i="16"/>
  <c r="BH102" i="16"/>
  <c r="BH94" i="16"/>
  <c r="BH75" i="16"/>
  <c r="BH73" i="16"/>
  <c r="BH72" i="16"/>
  <c r="BH71" i="16"/>
  <c r="BH67" i="16"/>
  <c r="BH77" i="16"/>
  <c r="BH74" i="16"/>
  <c r="BH68" i="16"/>
  <c r="BH23" i="16"/>
  <c r="BH22" i="16"/>
  <c r="BH40" i="16"/>
  <c r="BH21" i="16"/>
  <c r="BH46" i="16"/>
  <c r="BH28" i="16"/>
  <c r="BH20" i="16"/>
  <c r="BH19" i="16"/>
  <c r="BH82" i="16"/>
  <c r="BH18" i="16"/>
  <c r="BH50" i="16"/>
  <c r="BH48" i="16"/>
  <c r="BH15" i="16"/>
  <c r="BH44" i="16"/>
  <c r="BH13" i="16"/>
  <c r="BH17" i="16"/>
  <c r="BH14" i="16"/>
  <c r="BH16" i="16"/>
  <c r="BG158" i="16"/>
  <c r="BG176" i="16" s="1"/>
  <c r="BF175" i="17"/>
  <c r="BF177" i="17" s="1"/>
  <c r="BG103" i="15"/>
  <c r="BH65" i="17"/>
  <c r="BH74" i="17" s="1"/>
  <c r="BG130" i="17"/>
  <c r="BG136" i="17"/>
  <c r="BG96" i="15"/>
  <c r="BI118" i="16"/>
  <c r="BI117" i="16"/>
  <c r="BI91" i="16"/>
  <c r="BI90" i="16"/>
  <c r="BI63" i="16"/>
  <c r="BI66" i="16" s="1"/>
  <c r="BI37" i="16"/>
  <c r="BI36" i="16"/>
  <c r="BI64" i="16"/>
  <c r="BI5" i="16"/>
  <c r="BI10" i="16"/>
  <c r="BI11" i="16" s="1"/>
  <c r="BI12" i="16" s="1"/>
  <c r="BJ4" i="16"/>
  <c r="BI9" i="16"/>
  <c r="BG96" i="16"/>
  <c r="BF174" i="15"/>
  <c r="BI118" i="17"/>
  <c r="BI117" i="17"/>
  <c r="BI91" i="17"/>
  <c r="BI90" i="17"/>
  <c r="BI64" i="17"/>
  <c r="BI63" i="17"/>
  <c r="BI66" i="17" s="1"/>
  <c r="BJ4" i="17"/>
  <c r="BI37" i="17"/>
  <c r="BI5" i="17"/>
  <c r="BI36" i="17"/>
  <c r="BI9" i="17"/>
  <c r="BI10" i="17"/>
  <c r="BI11" i="17" s="1"/>
  <c r="BI12" i="17" s="1"/>
  <c r="BH144" i="15"/>
  <c r="BH153" i="15" s="1"/>
  <c r="BG95" i="17"/>
  <c r="BG158" i="17"/>
  <c r="BG176" i="17" s="1"/>
  <c r="BG41" i="15"/>
  <c r="BG56" i="15" s="1"/>
  <c r="BG99" i="15"/>
  <c r="BG130" i="15"/>
  <c r="BG174" i="16"/>
  <c r="BG97" i="16"/>
  <c r="BG110" i="16" s="1"/>
  <c r="BG28" i="17"/>
  <c r="BG99" i="17"/>
  <c r="BG42" i="15"/>
  <c r="BH38" i="16"/>
  <c r="BH39" i="16" s="1"/>
  <c r="BH43" i="16" s="1"/>
  <c r="BG29" i="16"/>
  <c r="BF175" i="15"/>
  <c r="BA178" i="16"/>
  <c r="AZ179" i="16"/>
  <c r="BG97" i="17"/>
  <c r="BG110" i="15"/>
  <c r="BG56" i="16"/>
  <c r="BH136" i="16" l="1"/>
  <c r="BI65" i="17"/>
  <c r="BI38" i="16"/>
  <c r="BI39" i="16" s="1"/>
  <c r="BG110" i="17"/>
  <c r="BG175" i="17" s="1"/>
  <c r="BH109" i="16"/>
  <c r="BH49" i="16"/>
  <c r="BH124" i="16"/>
  <c r="BH137" i="16" s="1"/>
  <c r="BG137" i="15"/>
  <c r="BH96" i="15"/>
  <c r="BH95" i="15"/>
  <c r="BG137" i="17"/>
  <c r="BH126" i="16"/>
  <c r="BI155" i="17"/>
  <c r="BI154" i="17"/>
  <c r="BI156" i="17"/>
  <c r="BI149" i="17"/>
  <c r="BI151" i="17"/>
  <c r="BI150" i="17"/>
  <c r="BI157" i="17"/>
  <c r="BI122" i="17"/>
  <c r="BI152" i="17"/>
  <c r="BI129" i="17"/>
  <c r="BI121" i="17"/>
  <c r="BI125" i="17"/>
  <c r="BI104" i="17"/>
  <c r="BI131" i="17"/>
  <c r="BI127" i="17"/>
  <c r="BI102" i="17"/>
  <c r="BI100" i="17"/>
  <c r="BI94" i="17"/>
  <c r="BI98" i="17"/>
  <c r="BI72" i="17"/>
  <c r="BI71" i="17"/>
  <c r="BI70" i="17"/>
  <c r="BI69" i="17"/>
  <c r="BI68" i="17"/>
  <c r="BI76" i="17"/>
  <c r="BI73" i="17"/>
  <c r="BI50" i="17"/>
  <c r="BI82" i="17"/>
  <c r="BI77" i="17"/>
  <c r="BI74" i="17"/>
  <c r="BI67" i="17"/>
  <c r="BI75" i="17"/>
  <c r="BI44" i="17"/>
  <c r="BI48" i="17"/>
  <c r="BI40" i="17"/>
  <c r="BI46" i="17"/>
  <c r="BI20" i="17"/>
  <c r="BI19" i="17"/>
  <c r="BI18" i="17"/>
  <c r="BI17" i="17"/>
  <c r="BI28" i="17"/>
  <c r="BI16" i="17"/>
  <c r="BI15" i="17"/>
  <c r="BI23" i="17"/>
  <c r="BI13" i="17"/>
  <c r="BI14" i="17"/>
  <c r="BI21" i="17"/>
  <c r="BI22" i="17"/>
  <c r="BI119" i="17"/>
  <c r="BI120" i="17" s="1"/>
  <c r="BI123" i="17" s="1"/>
  <c r="BI65" i="16"/>
  <c r="BH47" i="16"/>
  <c r="BI92" i="15"/>
  <c r="BI93" i="15" s="1"/>
  <c r="BI109" i="15" s="1"/>
  <c r="BH83" i="15"/>
  <c r="BH47" i="15"/>
  <c r="BH128" i="15"/>
  <c r="BI38" i="17"/>
  <c r="BI39" i="17" s="1"/>
  <c r="BI49" i="17" s="1"/>
  <c r="BH29" i="17"/>
  <c r="BH56" i="17"/>
  <c r="BH110" i="17"/>
  <c r="BI154" i="15"/>
  <c r="BI152" i="15"/>
  <c r="BI151" i="15"/>
  <c r="BI150" i="15"/>
  <c r="BI149" i="15"/>
  <c r="BI157" i="15"/>
  <c r="BI155" i="15"/>
  <c r="BI131" i="15"/>
  <c r="BI156" i="15"/>
  <c r="BI129" i="15"/>
  <c r="BI136" i="15"/>
  <c r="BI128" i="15"/>
  <c r="BI127" i="15"/>
  <c r="BI126" i="15"/>
  <c r="BI125" i="15"/>
  <c r="BI82" i="15"/>
  <c r="BI104" i="15"/>
  <c r="BI73" i="15"/>
  <c r="BI121" i="15"/>
  <c r="BI72" i="15"/>
  <c r="BI122" i="15"/>
  <c r="BI102" i="15"/>
  <c r="BI71" i="15"/>
  <c r="BI70" i="15"/>
  <c r="BI100" i="15"/>
  <c r="BI98" i="15"/>
  <c r="BI77" i="15"/>
  <c r="BI46" i="15"/>
  <c r="BI44" i="15"/>
  <c r="BI94" i="15"/>
  <c r="BI40" i="15"/>
  <c r="BI69" i="15"/>
  <c r="BI50" i="15"/>
  <c r="BI68" i="15"/>
  <c r="BI21" i="15"/>
  <c r="BI19" i="15"/>
  <c r="BI23" i="15"/>
  <c r="BI17" i="15"/>
  <c r="BI67" i="15"/>
  <c r="BI14" i="15"/>
  <c r="BI76" i="15"/>
  <c r="BI13" i="15"/>
  <c r="BI75" i="15"/>
  <c r="BI48" i="15"/>
  <c r="BH55" i="15"/>
  <c r="BH136" i="15"/>
  <c r="BH174" i="15" s="1"/>
  <c r="BH83" i="17"/>
  <c r="BJ118" i="17"/>
  <c r="BJ117" i="17"/>
  <c r="BJ91" i="17"/>
  <c r="BJ90" i="17"/>
  <c r="BJ64" i="17"/>
  <c r="BJ63" i="17"/>
  <c r="BJ66" i="17" s="1"/>
  <c r="BJ37" i="17"/>
  <c r="BJ5" i="17"/>
  <c r="BJ36" i="17"/>
  <c r="BK4" i="17"/>
  <c r="BJ9" i="17"/>
  <c r="BJ10" i="17"/>
  <c r="BJ118" i="15"/>
  <c r="BJ117" i="15"/>
  <c r="BJ91" i="15"/>
  <c r="BJ90" i="15"/>
  <c r="BJ64" i="15"/>
  <c r="BJ63" i="15"/>
  <c r="BJ66" i="15" s="1"/>
  <c r="BJ37" i="15"/>
  <c r="BJ36" i="15"/>
  <c r="BJ10" i="15"/>
  <c r="BJ9" i="15"/>
  <c r="BK4" i="15"/>
  <c r="BJ5" i="15"/>
  <c r="BI119" i="15"/>
  <c r="BI120" i="15" s="1"/>
  <c r="BI124" i="15" s="1"/>
  <c r="BH41" i="15"/>
  <c r="BG175" i="16"/>
  <c r="BG177" i="16" s="1"/>
  <c r="BF177" i="15"/>
  <c r="BH29" i="16"/>
  <c r="BH130" i="15"/>
  <c r="BH144" i="17"/>
  <c r="BH153" i="17" s="1"/>
  <c r="BH158" i="17" s="1"/>
  <c r="BH176" i="17" s="1"/>
  <c r="BB178" i="16"/>
  <c r="BA179" i="16"/>
  <c r="BH83" i="16"/>
  <c r="BI11" i="15"/>
  <c r="BI12" i="15" s="1"/>
  <c r="BI28" i="15" s="1"/>
  <c r="BH42" i="15"/>
  <c r="BH45" i="16"/>
  <c r="BH174" i="17"/>
  <c r="BH137" i="17"/>
  <c r="BI38" i="15"/>
  <c r="BI39" i="15" s="1"/>
  <c r="BI43" i="15" s="1"/>
  <c r="BH43" i="15"/>
  <c r="BI92" i="16"/>
  <c r="BI93" i="16" s="1"/>
  <c r="BH42" i="16"/>
  <c r="BC178" i="15"/>
  <c r="BB179" i="15"/>
  <c r="BH29" i="15"/>
  <c r="BH110" i="15"/>
  <c r="BG174" i="15"/>
  <c r="BJ118" i="16"/>
  <c r="BJ117" i="16"/>
  <c r="BJ90" i="16"/>
  <c r="BJ91" i="16"/>
  <c r="BJ64" i="16"/>
  <c r="BJ63" i="16"/>
  <c r="BJ66" i="16" s="1"/>
  <c r="BJ37" i="16"/>
  <c r="BJ36" i="16"/>
  <c r="BJ10" i="16"/>
  <c r="BJ9" i="16"/>
  <c r="BK4" i="16"/>
  <c r="BJ5" i="16"/>
  <c r="BG175" i="15"/>
  <c r="BH45" i="15"/>
  <c r="BH123" i="15"/>
  <c r="BH124" i="15"/>
  <c r="BH137" i="15"/>
  <c r="BH144" i="16"/>
  <c r="BH153" i="16" s="1"/>
  <c r="BH158" i="16" s="1"/>
  <c r="BH176" i="16" s="1"/>
  <c r="BI144" i="17"/>
  <c r="BI153" i="17" s="1"/>
  <c r="BH55" i="16"/>
  <c r="BH174" i="16" s="1"/>
  <c r="BH41" i="16"/>
  <c r="BH56" i="16" s="1"/>
  <c r="BH110" i="16"/>
  <c r="BI65" i="15"/>
  <c r="BI74" i="15" s="1"/>
  <c r="BH158" i="15"/>
  <c r="BH176" i="15" s="1"/>
  <c r="BG174" i="17"/>
  <c r="BI92" i="17"/>
  <c r="BI93" i="17" s="1"/>
  <c r="BI103" i="17" s="1"/>
  <c r="BI155" i="16"/>
  <c r="BI154" i="16"/>
  <c r="BI152" i="16"/>
  <c r="BI151" i="16"/>
  <c r="BI150" i="16"/>
  <c r="BI149" i="16"/>
  <c r="BI122" i="16"/>
  <c r="BI121" i="16"/>
  <c r="BI102" i="16"/>
  <c r="BI156" i="16"/>
  <c r="BI131" i="16"/>
  <c r="BI129" i="16"/>
  <c r="BI127" i="16"/>
  <c r="BI125" i="16"/>
  <c r="BI100" i="16"/>
  <c r="BI69" i="16"/>
  <c r="BI157" i="16"/>
  <c r="BI98" i="16"/>
  <c r="BI77" i="16"/>
  <c r="BI104" i="16"/>
  <c r="BI94" i="16"/>
  <c r="BI75" i="16"/>
  <c r="BI82" i="16"/>
  <c r="BI74" i="16"/>
  <c r="BI44" i="16"/>
  <c r="BI72" i="16"/>
  <c r="BI71" i="16"/>
  <c r="BI70" i="16"/>
  <c r="BI76" i="16"/>
  <c r="BI50" i="16"/>
  <c r="BI68" i="16"/>
  <c r="BI55" i="16"/>
  <c r="BI23" i="16"/>
  <c r="BI41" i="16"/>
  <c r="BI22" i="16"/>
  <c r="BI42" i="16"/>
  <c r="BI40" i="16"/>
  <c r="BI21" i="16"/>
  <c r="BI46" i="16"/>
  <c r="BI28" i="16"/>
  <c r="BI20" i="16"/>
  <c r="BI73" i="16"/>
  <c r="BI19" i="16"/>
  <c r="BI18" i="16"/>
  <c r="BI45" i="16"/>
  <c r="BI43" i="16"/>
  <c r="BI17" i="16"/>
  <c r="BI49" i="16"/>
  <c r="BI48" i="16"/>
  <c r="BI15" i="16"/>
  <c r="BI13" i="16"/>
  <c r="BI14" i="16"/>
  <c r="BI16" i="16"/>
  <c r="BI67" i="16"/>
  <c r="BI47" i="16"/>
  <c r="BI119" i="16"/>
  <c r="BI120" i="16" s="1"/>
  <c r="BI130" i="16" s="1"/>
  <c r="BB178" i="17"/>
  <c r="BA179" i="17"/>
  <c r="BJ11" i="17" l="1"/>
  <c r="BJ12" i="17" s="1"/>
  <c r="BI18" i="15"/>
  <c r="BI95" i="17"/>
  <c r="BI144" i="16"/>
  <c r="BI153" i="16" s="1"/>
  <c r="BI22" i="15"/>
  <c r="BJ92" i="16"/>
  <c r="BJ93" i="16" s="1"/>
  <c r="BJ38" i="17"/>
  <c r="BJ39" i="17" s="1"/>
  <c r="BI42" i="17"/>
  <c r="BI43" i="17"/>
  <c r="BH56" i="15"/>
  <c r="BJ65" i="17"/>
  <c r="BI96" i="16"/>
  <c r="BG177" i="17"/>
  <c r="BJ119" i="16"/>
  <c r="BJ120" i="16" s="1"/>
  <c r="BI15" i="15"/>
  <c r="BI45" i="17"/>
  <c r="BI97" i="16"/>
  <c r="BG177" i="15"/>
  <c r="BI16" i="15"/>
  <c r="BI128" i="17"/>
  <c r="BI55" i="17"/>
  <c r="BI126" i="17"/>
  <c r="BI95" i="16"/>
  <c r="BI110" i="16" s="1"/>
  <c r="BI109" i="16"/>
  <c r="BI101" i="16"/>
  <c r="BI99" i="16"/>
  <c r="BI103" i="16"/>
  <c r="BJ119" i="15"/>
  <c r="BJ120" i="15" s="1"/>
  <c r="BJ130" i="15" s="1"/>
  <c r="BI124" i="17"/>
  <c r="BJ38" i="16"/>
  <c r="BJ39" i="16" s="1"/>
  <c r="BJ65" i="15"/>
  <c r="BJ74" i="15" s="1"/>
  <c r="BJ119" i="17"/>
  <c r="BJ120" i="17" s="1"/>
  <c r="BI55" i="15"/>
  <c r="BI45" i="15"/>
  <c r="BI96" i="17"/>
  <c r="BI109" i="17"/>
  <c r="BJ92" i="15"/>
  <c r="BJ93" i="15" s="1"/>
  <c r="BJ103" i="15" s="1"/>
  <c r="BI83" i="15"/>
  <c r="BI96" i="15"/>
  <c r="BI99" i="17"/>
  <c r="BI130" i="17"/>
  <c r="BJ152" i="15"/>
  <c r="BJ151" i="15"/>
  <c r="BJ150" i="15"/>
  <c r="BJ149" i="15"/>
  <c r="BJ157" i="15"/>
  <c r="BJ156" i="15"/>
  <c r="BJ155" i="15"/>
  <c r="BJ131" i="15"/>
  <c r="BJ129" i="15"/>
  <c r="BJ127" i="15"/>
  <c r="BJ126" i="15"/>
  <c r="BJ125" i="15"/>
  <c r="BJ124" i="15"/>
  <c r="BJ123" i="15"/>
  <c r="BJ122" i="15"/>
  <c r="BJ104" i="15"/>
  <c r="BJ73" i="15"/>
  <c r="BJ121" i="15"/>
  <c r="BJ72" i="15"/>
  <c r="BJ102" i="15"/>
  <c r="BJ71" i="15"/>
  <c r="BJ154" i="15"/>
  <c r="BJ101" i="15"/>
  <c r="BJ70" i="15"/>
  <c r="BJ100" i="15"/>
  <c r="BJ69" i="15"/>
  <c r="BJ98" i="15"/>
  <c r="BJ77" i="15"/>
  <c r="BJ95" i="15"/>
  <c r="BJ76" i="15"/>
  <c r="BJ44" i="15"/>
  <c r="BJ94" i="15"/>
  <c r="BJ40" i="15"/>
  <c r="BJ50" i="15"/>
  <c r="BJ68" i="15"/>
  <c r="BJ75" i="15"/>
  <c r="BJ67" i="15"/>
  <c r="BJ48" i="15"/>
  <c r="BJ21" i="15"/>
  <c r="BJ82" i="15"/>
  <c r="BJ19" i="15"/>
  <c r="BJ23" i="15"/>
  <c r="BJ17" i="15"/>
  <c r="BJ46" i="15"/>
  <c r="BJ14" i="15"/>
  <c r="BJ13" i="15"/>
  <c r="BI97" i="15"/>
  <c r="BI103" i="15"/>
  <c r="BI130" i="15"/>
  <c r="BI123" i="16"/>
  <c r="BI124" i="16"/>
  <c r="BK118" i="15"/>
  <c r="BK117" i="15"/>
  <c r="BK91" i="15"/>
  <c r="BK90" i="15"/>
  <c r="BK37" i="15"/>
  <c r="BK36" i="15"/>
  <c r="BK63" i="15"/>
  <c r="BK66" i="15" s="1"/>
  <c r="BL4" i="15"/>
  <c r="BK5" i="15"/>
  <c r="BK64" i="15"/>
  <c r="BK65" i="15" s="1"/>
  <c r="BK9" i="15"/>
  <c r="BK10" i="15"/>
  <c r="BI83" i="17"/>
  <c r="BI56" i="16"/>
  <c r="BI158" i="16"/>
  <c r="BI176" i="16" s="1"/>
  <c r="BJ154" i="16"/>
  <c r="BJ152" i="16"/>
  <c r="BJ151" i="16"/>
  <c r="BJ150" i="16"/>
  <c r="BJ149" i="16"/>
  <c r="BJ121" i="16"/>
  <c r="BJ156" i="16"/>
  <c r="BJ109" i="16"/>
  <c r="BJ131" i="16"/>
  <c r="BJ130" i="16"/>
  <c r="BJ129" i="16"/>
  <c r="BJ155" i="16"/>
  <c r="BJ136" i="16"/>
  <c r="BJ128" i="16"/>
  <c r="BJ127" i="16"/>
  <c r="BJ126" i="16"/>
  <c r="BJ125" i="16"/>
  <c r="BJ157" i="16"/>
  <c r="BJ124" i="16"/>
  <c r="BJ99" i="16"/>
  <c r="BJ98" i="16"/>
  <c r="BJ97" i="16"/>
  <c r="BJ96" i="16"/>
  <c r="BJ77" i="16"/>
  <c r="BJ95" i="16"/>
  <c r="BJ76" i="16"/>
  <c r="BJ104" i="16"/>
  <c r="BJ94" i="16"/>
  <c r="BJ102" i="16"/>
  <c r="BJ82" i="16"/>
  <c r="BJ103" i="16"/>
  <c r="BJ122" i="16"/>
  <c r="BJ43" i="16"/>
  <c r="BJ101" i="16"/>
  <c r="BJ75" i="16"/>
  <c r="BJ72" i="16"/>
  <c r="BJ71" i="16"/>
  <c r="BJ70" i="16"/>
  <c r="BJ50" i="16"/>
  <c r="BJ100" i="16"/>
  <c r="BJ68" i="16"/>
  <c r="BJ49" i="16"/>
  <c r="BJ123" i="16"/>
  <c r="BJ67" i="16"/>
  <c r="BJ73" i="16"/>
  <c r="BJ41" i="16"/>
  <c r="BJ42" i="16"/>
  <c r="BJ40" i="16"/>
  <c r="BJ21" i="16"/>
  <c r="BJ46" i="16"/>
  <c r="BJ69" i="16"/>
  <c r="BJ19" i="16"/>
  <c r="BJ45" i="16"/>
  <c r="BJ17" i="16"/>
  <c r="BJ48" i="16"/>
  <c r="BJ44" i="16"/>
  <c r="BJ13" i="16"/>
  <c r="BJ55" i="16"/>
  <c r="BJ14" i="16"/>
  <c r="BJ47" i="16"/>
  <c r="BJ23" i="16"/>
  <c r="BD178" i="15"/>
  <c r="BC179" i="15"/>
  <c r="BH175" i="16"/>
  <c r="BH177" i="16" s="1"/>
  <c r="BI41" i="15"/>
  <c r="BI99" i="15"/>
  <c r="BH175" i="17"/>
  <c r="BH177" i="17" s="1"/>
  <c r="BI136" i="17"/>
  <c r="BI158" i="17"/>
  <c r="BI176" i="17" s="1"/>
  <c r="BC178" i="17"/>
  <c r="BB179" i="17"/>
  <c r="BC178" i="16"/>
  <c r="BB179" i="16"/>
  <c r="BI49" i="15"/>
  <c r="BH175" i="15"/>
  <c r="BH177" i="15" s="1"/>
  <c r="BI128" i="16"/>
  <c r="BK118" i="16"/>
  <c r="BK117" i="16"/>
  <c r="BK91" i="16"/>
  <c r="BK90" i="16"/>
  <c r="BK64" i="16"/>
  <c r="BK63" i="16"/>
  <c r="BK66" i="16" s="1"/>
  <c r="BK37" i="16"/>
  <c r="BK38" i="16" s="1"/>
  <c r="BK39" i="16" s="1"/>
  <c r="BK36" i="16"/>
  <c r="BK10" i="16"/>
  <c r="BK9" i="16"/>
  <c r="BL4" i="16"/>
  <c r="BK5" i="16"/>
  <c r="BJ11" i="15"/>
  <c r="BJ12" i="15" s="1"/>
  <c r="BJ16" i="15" s="1"/>
  <c r="BI95" i="15"/>
  <c r="BI47" i="17"/>
  <c r="BI97" i="17"/>
  <c r="BK117" i="17"/>
  <c r="BK118" i="17"/>
  <c r="BK119" i="17" s="1"/>
  <c r="BK120" i="17" s="1"/>
  <c r="BK91" i="17"/>
  <c r="BK90" i="17"/>
  <c r="BK64" i="17"/>
  <c r="BK63" i="17"/>
  <c r="BK66" i="17" s="1"/>
  <c r="BK37" i="17"/>
  <c r="BK36" i="17"/>
  <c r="BK10" i="17"/>
  <c r="BK9" i="17"/>
  <c r="BL4" i="17"/>
  <c r="BK5" i="17"/>
  <c r="BJ154" i="17"/>
  <c r="BJ151" i="17"/>
  <c r="BJ155" i="17"/>
  <c r="BJ150" i="17"/>
  <c r="BJ152" i="17"/>
  <c r="BJ122" i="17"/>
  <c r="BJ149" i="17"/>
  <c r="BJ130" i="17"/>
  <c r="BJ157" i="17"/>
  <c r="BJ156" i="17"/>
  <c r="BJ136" i="17"/>
  <c r="BJ129" i="17"/>
  <c r="BJ124" i="17"/>
  <c r="BJ126" i="17"/>
  <c r="BJ128" i="17"/>
  <c r="BJ123" i="17"/>
  <c r="BJ121" i="17"/>
  <c r="BJ104" i="17"/>
  <c r="BJ103" i="17"/>
  <c r="BJ131" i="17"/>
  <c r="BJ127" i="17"/>
  <c r="BJ102" i="17"/>
  <c r="BJ94" i="17"/>
  <c r="BJ101" i="17"/>
  <c r="BJ100" i="17"/>
  <c r="BJ98" i="17"/>
  <c r="BJ125" i="17"/>
  <c r="BJ71" i="17"/>
  <c r="BJ70" i="17"/>
  <c r="BJ68" i="17"/>
  <c r="BJ67" i="17"/>
  <c r="BJ82" i="17"/>
  <c r="BJ76" i="17"/>
  <c r="BJ77" i="17"/>
  <c r="BJ75" i="17"/>
  <c r="BJ73" i="17"/>
  <c r="BJ72" i="17"/>
  <c r="BJ50" i="17"/>
  <c r="BJ49" i="17"/>
  <c r="BJ74" i="17"/>
  <c r="BJ69" i="17"/>
  <c r="BJ55" i="17"/>
  <c r="BJ44" i="17"/>
  <c r="BJ43" i="17"/>
  <c r="BJ42" i="17"/>
  <c r="BJ41" i="17"/>
  <c r="BJ48" i="17"/>
  <c r="BJ40" i="17"/>
  <c r="BJ47" i="17"/>
  <c r="BJ19" i="17"/>
  <c r="BJ18" i="17"/>
  <c r="BJ17" i="17"/>
  <c r="BJ45" i="17"/>
  <c r="BJ28" i="17"/>
  <c r="BJ16" i="17"/>
  <c r="BJ15" i="17"/>
  <c r="BJ14" i="17"/>
  <c r="BJ23" i="17"/>
  <c r="BJ22" i="17"/>
  <c r="BJ46" i="17"/>
  <c r="BJ13" i="17"/>
  <c r="BJ20" i="17"/>
  <c r="BJ21" i="17"/>
  <c r="BI83" i="16"/>
  <c r="BI136" i="16"/>
  <c r="BI20" i="15"/>
  <c r="BI29" i="15" s="1"/>
  <c r="BI42" i="15"/>
  <c r="BI123" i="15"/>
  <c r="BI137" i="15" s="1"/>
  <c r="BJ11" i="16"/>
  <c r="BJ12" i="16" s="1"/>
  <c r="BJ144" i="16" s="1"/>
  <c r="BJ153" i="16" s="1"/>
  <c r="BJ38" i="15"/>
  <c r="BJ39" i="15" s="1"/>
  <c r="BJ42" i="15" s="1"/>
  <c r="BJ92" i="17"/>
  <c r="BJ93" i="17" s="1"/>
  <c r="BJ144" i="17" s="1"/>
  <c r="BJ153" i="17" s="1"/>
  <c r="BI101" i="15"/>
  <c r="BI29" i="17"/>
  <c r="BI101" i="17"/>
  <c r="BJ65" i="16"/>
  <c r="BJ74" i="16" s="1"/>
  <c r="BI126" i="16"/>
  <c r="BI137" i="16" s="1"/>
  <c r="BI29" i="16"/>
  <c r="BI144" i="15"/>
  <c r="BI153" i="15" s="1"/>
  <c r="BI158" i="15" s="1"/>
  <c r="BI176" i="15" s="1"/>
  <c r="BI47" i="15"/>
  <c r="BI41" i="17"/>
  <c r="BI56" i="17" s="1"/>
  <c r="BI110" i="15" l="1"/>
  <c r="BJ16" i="16"/>
  <c r="BJ22" i="15"/>
  <c r="BI56" i="15"/>
  <c r="BK38" i="17"/>
  <c r="BK39" i="17" s="1"/>
  <c r="BJ137" i="17"/>
  <c r="BJ97" i="17"/>
  <c r="BJ128" i="15"/>
  <c r="BJ136" i="15"/>
  <c r="BI137" i="17"/>
  <c r="BK65" i="16"/>
  <c r="BJ22" i="16"/>
  <c r="BI110" i="17"/>
  <c r="BK11" i="15"/>
  <c r="BK12" i="15" s="1"/>
  <c r="BI175" i="15"/>
  <c r="BJ29" i="17"/>
  <c r="BK152" i="15"/>
  <c r="BK151" i="15"/>
  <c r="BK150" i="15"/>
  <c r="BK149" i="15"/>
  <c r="BK157" i="15"/>
  <c r="BK156" i="15"/>
  <c r="BK155" i="15"/>
  <c r="BK129" i="15"/>
  <c r="BK127" i="15"/>
  <c r="BK125" i="15"/>
  <c r="BK104" i="15"/>
  <c r="BK122" i="15"/>
  <c r="BK121" i="15"/>
  <c r="BK72" i="15"/>
  <c r="BK102" i="15"/>
  <c r="BK71" i="15"/>
  <c r="BK154" i="15"/>
  <c r="BK70" i="15"/>
  <c r="BK100" i="15"/>
  <c r="BK98" i="15"/>
  <c r="BK77" i="15"/>
  <c r="BK131" i="15"/>
  <c r="BK76" i="15"/>
  <c r="BK94" i="15"/>
  <c r="BK75" i="15"/>
  <c r="BK73" i="15"/>
  <c r="BK44" i="15"/>
  <c r="BK74" i="15"/>
  <c r="BK40" i="15"/>
  <c r="BK50" i="15"/>
  <c r="BK69" i="15"/>
  <c r="BK68" i="15"/>
  <c r="BK67" i="15"/>
  <c r="BK48" i="15"/>
  <c r="BK22" i="15"/>
  <c r="BK21" i="15"/>
  <c r="BK28" i="15"/>
  <c r="BK20" i="15"/>
  <c r="BK82" i="15"/>
  <c r="BK19" i="15"/>
  <c r="BK18" i="15"/>
  <c r="BK23" i="15"/>
  <c r="BK17" i="15"/>
  <c r="BK16" i="15"/>
  <c r="BK15" i="15"/>
  <c r="BK46" i="15"/>
  <c r="BK14" i="15"/>
  <c r="BK13" i="15"/>
  <c r="BK119" i="15"/>
  <c r="BK120" i="15" s="1"/>
  <c r="BK123" i="15" s="1"/>
  <c r="BJ55" i="15"/>
  <c r="BJ43" i="15"/>
  <c r="BL117" i="15"/>
  <c r="BL118" i="15"/>
  <c r="BL37" i="15"/>
  <c r="BL36" i="15"/>
  <c r="BL90" i="15"/>
  <c r="BL5" i="15"/>
  <c r="BL91" i="15"/>
  <c r="BL92" i="15" s="1"/>
  <c r="BL64" i="15"/>
  <c r="BL10" i="15"/>
  <c r="BL63" i="15"/>
  <c r="BL66" i="15" s="1"/>
  <c r="BL9" i="15"/>
  <c r="BJ15" i="15"/>
  <c r="BE178" i="15"/>
  <c r="BD179" i="15"/>
  <c r="BJ18" i="16"/>
  <c r="BJ83" i="16"/>
  <c r="BJ83" i="15"/>
  <c r="BJ45" i="15"/>
  <c r="BK65" i="17"/>
  <c r="BK74" i="17" s="1"/>
  <c r="BD178" i="16"/>
  <c r="BC179" i="16"/>
  <c r="BK38" i="15"/>
  <c r="BK39" i="15" s="1"/>
  <c r="BK55" i="15" s="1"/>
  <c r="BJ49" i="15"/>
  <c r="BJ158" i="17"/>
  <c r="BJ176" i="17" s="1"/>
  <c r="BJ95" i="17"/>
  <c r="BJ110" i="17" s="1"/>
  <c r="BJ144" i="15"/>
  <c r="BJ153" i="15" s="1"/>
  <c r="BJ158" i="15" s="1"/>
  <c r="BJ176" i="15" s="1"/>
  <c r="BJ20" i="16"/>
  <c r="BJ137" i="16"/>
  <c r="BJ18" i="15"/>
  <c r="BJ109" i="15"/>
  <c r="BJ99" i="17"/>
  <c r="BK152" i="16"/>
  <c r="BK151" i="16"/>
  <c r="BK150" i="16"/>
  <c r="BK149" i="16"/>
  <c r="BK157" i="16"/>
  <c r="BK156" i="16"/>
  <c r="BK131" i="16"/>
  <c r="BK129" i="16"/>
  <c r="BK155" i="16"/>
  <c r="BK127" i="16"/>
  <c r="BK125" i="16"/>
  <c r="BK154" i="16"/>
  <c r="BK104" i="16"/>
  <c r="BK98" i="16"/>
  <c r="BK77" i="16"/>
  <c r="BK76" i="16"/>
  <c r="BK94" i="16"/>
  <c r="BK75" i="16"/>
  <c r="BK102" i="16"/>
  <c r="BK82" i="16"/>
  <c r="BK73" i="16"/>
  <c r="BK121" i="16"/>
  <c r="BK42" i="16"/>
  <c r="BK72" i="16"/>
  <c r="BK71" i="16"/>
  <c r="BK70" i="16"/>
  <c r="BK50" i="16"/>
  <c r="BK100" i="16"/>
  <c r="BK68" i="16"/>
  <c r="BK49" i="16"/>
  <c r="BK67" i="16"/>
  <c r="BK48" i="16"/>
  <c r="BK69" i="16"/>
  <c r="BK55" i="16"/>
  <c r="BK122" i="16"/>
  <c r="BK74" i="16"/>
  <c r="BK40" i="16"/>
  <c r="BK21" i="16"/>
  <c r="BK46" i="16"/>
  <c r="BK19" i="16"/>
  <c r="BK45" i="16"/>
  <c r="BK17" i="16"/>
  <c r="BK43" i="16"/>
  <c r="BK47" i="16"/>
  <c r="BK44" i="16"/>
  <c r="BK13" i="16"/>
  <c r="BK14" i="16"/>
  <c r="BK23" i="16"/>
  <c r="BK41" i="16"/>
  <c r="BK92" i="16"/>
  <c r="BK93" i="16" s="1"/>
  <c r="BK97" i="16" s="1"/>
  <c r="BD178" i="17"/>
  <c r="BC179" i="17"/>
  <c r="BJ28" i="16"/>
  <c r="BJ158" i="16"/>
  <c r="BJ176" i="16" s="1"/>
  <c r="BJ96" i="15"/>
  <c r="BJ83" i="17"/>
  <c r="BJ109" i="17"/>
  <c r="BJ174" i="17" s="1"/>
  <c r="BK152" i="17"/>
  <c r="BK155" i="17"/>
  <c r="BK150" i="17"/>
  <c r="BK154" i="17"/>
  <c r="BK157" i="17"/>
  <c r="BK151" i="17"/>
  <c r="BK121" i="17"/>
  <c r="BK149" i="17"/>
  <c r="BK130" i="17"/>
  <c r="BK129" i="17"/>
  <c r="BK124" i="17"/>
  <c r="BK126" i="17"/>
  <c r="BK128" i="17"/>
  <c r="BK123" i="17"/>
  <c r="BK136" i="17"/>
  <c r="BK125" i="17"/>
  <c r="BK131" i="17"/>
  <c r="BK127" i="17"/>
  <c r="BK104" i="17"/>
  <c r="BK102" i="17"/>
  <c r="BK156" i="17"/>
  <c r="BK122" i="17"/>
  <c r="BK98" i="17"/>
  <c r="BK77" i="17"/>
  <c r="BK94" i="17"/>
  <c r="BK100" i="17"/>
  <c r="BK97" i="17"/>
  <c r="BK70" i="17"/>
  <c r="BK69" i="17"/>
  <c r="BK82" i="17"/>
  <c r="BK75" i="17"/>
  <c r="BK50" i="17"/>
  <c r="BK71" i="17"/>
  <c r="BK49" i="17"/>
  <c r="BK55" i="17"/>
  <c r="BK67" i="17"/>
  <c r="BK68" i="17"/>
  <c r="BK43" i="17"/>
  <c r="BK73" i="17"/>
  <c r="BK42" i="17"/>
  <c r="BK41" i="17"/>
  <c r="BK48" i="17"/>
  <c r="BK40" i="17"/>
  <c r="BK47" i="17"/>
  <c r="BK72" i="17"/>
  <c r="BK18" i="17"/>
  <c r="BK17" i="17"/>
  <c r="BK45" i="17"/>
  <c r="BK14" i="17"/>
  <c r="BK13" i="17"/>
  <c r="BK44" i="17"/>
  <c r="BK23" i="17"/>
  <c r="BK76" i="17"/>
  <c r="BK21" i="17"/>
  <c r="BK46" i="17"/>
  <c r="BK19" i="17"/>
  <c r="BK92" i="17"/>
  <c r="BK93" i="17" s="1"/>
  <c r="BK103" i="17" s="1"/>
  <c r="BL118" i="16"/>
  <c r="BL117" i="16"/>
  <c r="BL91" i="16"/>
  <c r="BL90" i="16"/>
  <c r="BL37" i="16"/>
  <c r="BL36" i="16"/>
  <c r="BL63" i="16"/>
  <c r="BL66" i="16" s="1"/>
  <c r="BL64" i="16"/>
  <c r="BL10" i="16"/>
  <c r="BL9" i="16"/>
  <c r="BL5" i="16"/>
  <c r="BJ110" i="16"/>
  <c r="BJ97" i="15"/>
  <c r="BJ137" i="15"/>
  <c r="BJ56" i="17"/>
  <c r="BI174" i="16"/>
  <c r="BJ96" i="17"/>
  <c r="BL117" i="17"/>
  <c r="BL118" i="17"/>
  <c r="BL119" i="17" s="1"/>
  <c r="BL91" i="17"/>
  <c r="BL90" i="17"/>
  <c r="BL64" i="17"/>
  <c r="BL63" i="17"/>
  <c r="BL66" i="17" s="1"/>
  <c r="BL37" i="17"/>
  <c r="BL36" i="17"/>
  <c r="BL10" i="17"/>
  <c r="BL9" i="17"/>
  <c r="BL5" i="17"/>
  <c r="BK144" i="15"/>
  <c r="BK153" i="15" s="1"/>
  <c r="BK92" i="15"/>
  <c r="BK93" i="15" s="1"/>
  <c r="BK99" i="15" s="1"/>
  <c r="BJ20" i="15"/>
  <c r="BJ41" i="15"/>
  <c r="BI175" i="16"/>
  <c r="BI175" i="17"/>
  <c r="BK11" i="16"/>
  <c r="BK12" i="16" s="1"/>
  <c r="BK119" i="16"/>
  <c r="BK120" i="16" s="1"/>
  <c r="BK130" i="16" s="1"/>
  <c r="BJ56" i="16"/>
  <c r="BJ29" i="15"/>
  <c r="BJ28" i="15"/>
  <c r="BJ99" i="15"/>
  <c r="BI174" i="15"/>
  <c r="BI177" i="15" s="1"/>
  <c r="BK11" i="17"/>
  <c r="BK12" i="17" s="1"/>
  <c r="BK22" i="17" s="1"/>
  <c r="BJ15" i="16"/>
  <c r="BJ29" i="16" s="1"/>
  <c r="BJ47" i="15"/>
  <c r="BI174" i="17"/>
  <c r="BI177" i="17" s="1"/>
  <c r="BJ110" i="15" l="1"/>
  <c r="BK95" i="17"/>
  <c r="BK123" i="16"/>
  <c r="BL11" i="15"/>
  <c r="BL65" i="15"/>
  <c r="C65" i="15" s="1"/>
  <c r="BK103" i="16"/>
  <c r="BJ56" i="15"/>
  <c r="BJ175" i="15" s="1"/>
  <c r="BK83" i="16"/>
  <c r="BK124" i="15"/>
  <c r="BK99" i="17"/>
  <c r="BK137" i="17"/>
  <c r="BK103" i="15"/>
  <c r="BK49" i="15"/>
  <c r="BK144" i="16"/>
  <c r="BK153" i="16" s="1"/>
  <c r="BJ175" i="16"/>
  <c r="BK144" i="17"/>
  <c r="BK153" i="17" s="1"/>
  <c r="BK126" i="15"/>
  <c r="BK28" i="16"/>
  <c r="BK109" i="16"/>
  <c r="BL119" i="15"/>
  <c r="BL128" i="15" s="1"/>
  <c r="BL92" i="17"/>
  <c r="BL38" i="16"/>
  <c r="BK20" i="16"/>
  <c r="BK124" i="16"/>
  <c r="BK83" i="15"/>
  <c r="BK101" i="15"/>
  <c r="BK158" i="16"/>
  <c r="BK176" i="16" s="1"/>
  <c r="BL151" i="15"/>
  <c r="C151" i="15" s="1"/>
  <c r="BL150" i="15"/>
  <c r="C150" i="15" s="1"/>
  <c r="BL149" i="15"/>
  <c r="BL157" i="15"/>
  <c r="C157" i="15" s="1"/>
  <c r="BL156" i="15"/>
  <c r="C156" i="15" s="1"/>
  <c r="BL155" i="15"/>
  <c r="C155" i="15" s="1"/>
  <c r="BL154" i="15"/>
  <c r="C154" i="15" s="1"/>
  <c r="BL129" i="15"/>
  <c r="C129" i="15" s="1"/>
  <c r="BL127" i="15"/>
  <c r="C127" i="15" s="1"/>
  <c r="BL125" i="15"/>
  <c r="C125" i="15" s="1"/>
  <c r="BL104" i="15"/>
  <c r="C104" i="15" s="1"/>
  <c r="BL152" i="15"/>
  <c r="C152" i="15" s="1"/>
  <c r="BL122" i="15"/>
  <c r="C122" i="15" s="1"/>
  <c r="BL121" i="15"/>
  <c r="BL102" i="15"/>
  <c r="C102" i="15" s="1"/>
  <c r="BL71" i="15"/>
  <c r="C71" i="15" s="1"/>
  <c r="BL101" i="15"/>
  <c r="C101" i="15" s="1"/>
  <c r="BL70" i="15"/>
  <c r="C70" i="15" s="1"/>
  <c r="BL100" i="15"/>
  <c r="C100" i="15" s="1"/>
  <c r="BL98" i="15"/>
  <c r="C98" i="15" s="1"/>
  <c r="BL77" i="15"/>
  <c r="C77" i="15" s="1"/>
  <c r="BL131" i="15"/>
  <c r="C131" i="15" s="1"/>
  <c r="BL76" i="15"/>
  <c r="C76" i="15" s="1"/>
  <c r="BL94" i="15"/>
  <c r="BL75" i="15"/>
  <c r="C75" i="15" s="1"/>
  <c r="BL82" i="15"/>
  <c r="BL74" i="15"/>
  <c r="C74" i="15" s="1"/>
  <c r="BL40" i="15"/>
  <c r="BL50" i="15"/>
  <c r="C50" i="15" s="1"/>
  <c r="BL69" i="15"/>
  <c r="C69" i="15" s="1"/>
  <c r="BL68" i="15"/>
  <c r="C68" i="15" s="1"/>
  <c r="BL67" i="15"/>
  <c r="BL48" i="15"/>
  <c r="C48" i="15" s="1"/>
  <c r="BL72" i="15"/>
  <c r="C72" i="15" s="1"/>
  <c r="BL46" i="15"/>
  <c r="C46" i="15" s="1"/>
  <c r="BL20" i="15"/>
  <c r="C20" i="15" s="1"/>
  <c r="BL19" i="15"/>
  <c r="C19" i="15" s="1"/>
  <c r="BL23" i="15"/>
  <c r="C23" i="15" s="1"/>
  <c r="BL17" i="15"/>
  <c r="C17" i="15" s="1"/>
  <c r="BL44" i="15"/>
  <c r="C44" i="15" s="1"/>
  <c r="BL73" i="15"/>
  <c r="C73" i="15" s="1"/>
  <c r="BL14" i="15"/>
  <c r="C14" i="15" s="1"/>
  <c r="BL13" i="15"/>
  <c r="BL21" i="15"/>
  <c r="C21" i="15" s="1"/>
  <c r="BJ175" i="17"/>
  <c r="BL12" i="15"/>
  <c r="BL16" i="15" s="1"/>
  <c r="C16" i="15" s="1"/>
  <c r="C11" i="15"/>
  <c r="BL11" i="17"/>
  <c r="BL92" i="16"/>
  <c r="BK126" i="16"/>
  <c r="BK95" i="15"/>
  <c r="BK128" i="15"/>
  <c r="BJ174" i="15"/>
  <c r="BL152" i="16"/>
  <c r="C152" i="16" s="1"/>
  <c r="I27" i="9" s="1"/>
  <c r="J27" i="9" s="1"/>
  <c r="BL151" i="16"/>
  <c r="C151" i="16" s="1"/>
  <c r="I26" i="9" s="1"/>
  <c r="J26" i="9" s="1"/>
  <c r="BL150" i="16"/>
  <c r="C150" i="16" s="1"/>
  <c r="I25" i="9" s="1"/>
  <c r="BL149" i="16"/>
  <c r="BL157" i="16"/>
  <c r="C157" i="16" s="1"/>
  <c r="I32" i="9" s="1"/>
  <c r="J32" i="9" s="1"/>
  <c r="BL156" i="16"/>
  <c r="C156" i="16" s="1"/>
  <c r="I31" i="9" s="1"/>
  <c r="J31" i="9" s="1"/>
  <c r="BL131" i="16"/>
  <c r="C131" i="16" s="1"/>
  <c r="H15" i="9" s="1"/>
  <c r="BL129" i="16"/>
  <c r="C129" i="16" s="1"/>
  <c r="H13" i="9" s="1"/>
  <c r="BL155" i="16"/>
  <c r="C155" i="16" s="1"/>
  <c r="I30" i="9" s="1"/>
  <c r="J30" i="9" s="1"/>
  <c r="BL127" i="16"/>
  <c r="C127" i="16" s="1"/>
  <c r="H11" i="9" s="1"/>
  <c r="BL125" i="16"/>
  <c r="C125" i="16" s="1"/>
  <c r="H9" i="9" s="1"/>
  <c r="H37" i="9" s="1"/>
  <c r="F25" i="2" s="1"/>
  <c r="BL154" i="16"/>
  <c r="C154" i="16" s="1"/>
  <c r="I29" i="9" s="1"/>
  <c r="J29" i="9" s="1"/>
  <c r="BL104" i="16"/>
  <c r="C104" i="16" s="1"/>
  <c r="G15" i="9" s="1"/>
  <c r="BL122" i="16"/>
  <c r="C122" i="16" s="1"/>
  <c r="H6" i="9" s="1"/>
  <c r="BL77" i="16"/>
  <c r="C77" i="16" s="1"/>
  <c r="F15" i="9" s="1"/>
  <c r="BL76" i="16"/>
  <c r="C76" i="16" s="1"/>
  <c r="F14" i="9" s="1"/>
  <c r="F40" i="9" s="1"/>
  <c r="D28" i="2" s="1"/>
  <c r="BL94" i="16"/>
  <c r="BL75" i="16"/>
  <c r="C75" i="16" s="1"/>
  <c r="F13" i="9" s="1"/>
  <c r="BL102" i="16"/>
  <c r="C102" i="16" s="1"/>
  <c r="G13" i="9" s="1"/>
  <c r="BL82" i="16"/>
  <c r="BL121" i="16"/>
  <c r="BL72" i="16"/>
  <c r="C72" i="16" s="1"/>
  <c r="F10" i="9" s="1"/>
  <c r="BL100" i="16"/>
  <c r="C100" i="16" s="1"/>
  <c r="G11" i="9" s="1"/>
  <c r="BL98" i="16"/>
  <c r="C98" i="16" s="1"/>
  <c r="G9" i="9" s="1"/>
  <c r="G37" i="9" s="1"/>
  <c r="E25" i="2" s="1"/>
  <c r="BL71" i="16"/>
  <c r="C71" i="16" s="1"/>
  <c r="F9" i="9" s="1"/>
  <c r="F37" i="9" s="1"/>
  <c r="D25" i="2" s="1"/>
  <c r="BL70" i="16"/>
  <c r="C70" i="16" s="1"/>
  <c r="F8" i="9" s="1"/>
  <c r="BL101" i="16"/>
  <c r="BL50" i="16"/>
  <c r="C50" i="16" s="1"/>
  <c r="E15" i="9" s="1"/>
  <c r="BL68" i="16"/>
  <c r="C68" i="16" s="1"/>
  <c r="F6" i="9" s="1"/>
  <c r="BL67" i="16"/>
  <c r="BL48" i="16"/>
  <c r="C48" i="16" s="1"/>
  <c r="E13" i="9" s="1"/>
  <c r="BL69" i="16"/>
  <c r="BL47" i="16"/>
  <c r="C47" i="16" s="1"/>
  <c r="E12" i="9" s="1"/>
  <c r="E39" i="9" s="1"/>
  <c r="C27" i="2" s="1"/>
  <c r="BL73" i="16"/>
  <c r="C73" i="16" s="1"/>
  <c r="F11" i="9" s="1"/>
  <c r="BL46" i="16"/>
  <c r="C46" i="16" s="1"/>
  <c r="E11" i="9" s="1"/>
  <c r="BL19" i="16"/>
  <c r="C19" i="16" s="1"/>
  <c r="D11" i="9" s="1"/>
  <c r="BL17" i="16"/>
  <c r="C17" i="16" s="1"/>
  <c r="BL14" i="16"/>
  <c r="C14" i="16" s="1"/>
  <c r="BL23" i="16"/>
  <c r="C23" i="16" s="1"/>
  <c r="D15" i="9" s="1"/>
  <c r="BL40" i="16"/>
  <c r="BL13" i="16"/>
  <c r="BL44" i="16"/>
  <c r="C44" i="16" s="1"/>
  <c r="E9" i="9" s="1"/>
  <c r="E37" i="9" s="1"/>
  <c r="C25" i="2" s="1"/>
  <c r="BL21" i="16"/>
  <c r="C21" i="16" s="1"/>
  <c r="D13" i="9" s="1"/>
  <c r="J13" i="9" s="1"/>
  <c r="BL41" i="16"/>
  <c r="C41" i="16" s="1"/>
  <c r="E6" i="9" s="1"/>
  <c r="BK56" i="17"/>
  <c r="BK56" i="16"/>
  <c r="BK109" i="15"/>
  <c r="BK136" i="15"/>
  <c r="BJ174" i="16"/>
  <c r="BJ177" i="16" s="1"/>
  <c r="BK15" i="16"/>
  <c r="BK95" i="16"/>
  <c r="BK128" i="16"/>
  <c r="BK29" i="15"/>
  <c r="BL38" i="17"/>
  <c r="BL41" i="17" s="1"/>
  <c r="C41" i="17" s="1"/>
  <c r="BL11" i="16"/>
  <c r="BL20" i="16" s="1"/>
  <c r="C20" i="16" s="1"/>
  <c r="BL119" i="16"/>
  <c r="BK16" i="16"/>
  <c r="BK99" i="16"/>
  <c r="BK136" i="16"/>
  <c r="BF178" i="15"/>
  <c r="BE179" i="15"/>
  <c r="BL38" i="15"/>
  <c r="BL47" i="15" s="1"/>
  <c r="BK41" i="15"/>
  <c r="BK96" i="15"/>
  <c r="BK130" i="15"/>
  <c r="BK137" i="15" s="1"/>
  <c r="BK110" i="17"/>
  <c r="BI177" i="16"/>
  <c r="BL65" i="16"/>
  <c r="C65" i="16" s="1"/>
  <c r="F53" i="9" s="1"/>
  <c r="BK96" i="17"/>
  <c r="BK101" i="17"/>
  <c r="BK96" i="16"/>
  <c r="BK97" i="15"/>
  <c r="BL152" i="17"/>
  <c r="C152" i="17" s="1"/>
  <c r="BL151" i="17"/>
  <c r="C151" i="17" s="1"/>
  <c r="BL155" i="17"/>
  <c r="C155" i="17" s="1"/>
  <c r="BL150" i="17"/>
  <c r="C150" i="17" s="1"/>
  <c r="BL154" i="17"/>
  <c r="C154" i="17" s="1"/>
  <c r="BL157" i="17"/>
  <c r="C157" i="17" s="1"/>
  <c r="BL156" i="17"/>
  <c r="C156" i="17" s="1"/>
  <c r="BL149" i="17"/>
  <c r="BL129" i="17"/>
  <c r="C129" i="17" s="1"/>
  <c r="BL128" i="17"/>
  <c r="C128" i="17" s="1"/>
  <c r="BL121" i="17"/>
  <c r="BL125" i="17"/>
  <c r="C125" i="17" s="1"/>
  <c r="BL122" i="17"/>
  <c r="C122" i="17" s="1"/>
  <c r="BL102" i="17"/>
  <c r="C102" i="17" s="1"/>
  <c r="BL131" i="17"/>
  <c r="C131" i="17" s="1"/>
  <c r="BL127" i="17"/>
  <c r="C127" i="17" s="1"/>
  <c r="BL101" i="17"/>
  <c r="C101" i="17" s="1"/>
  <c r="BL100" i="17"/>
  <c r="C100" i="17" s="1"/>
  <c r="BL94" i="17"/>
  <c r="BL98" i="17"/>
  <c r="C98" i="17" s="1"/>
  <c r="BL104" i="17"/>
  <c r="C104" i="17" s="1"/>
  <c r="BL69" i="17"/>
  <c r="C69" i="17" s="1"/>
  <c r="BL68" i="17"/>
  <c r="C68" i="17" s="1"/>
  <c r="BL82" i="17"/>
  <c r="BL76" i="17"/>
  <c r="C76" i="17" s="1"/>
  <c r="BL77" i="17"/>
  <c r="C77" i="17" s="1"/>
  <c r="BL73" i="17"/>
  <c r="C73" i="17" s="1"/>
  <c r="BL71" i="17"/>
  <c r="C71" i="17" s="1"/>
  <c r="BL48" i="17"/>
  <c r="C48" i="17" s="1"/>
  <c r="BL67" i="17"/>
  <c r="BL75" i="17"/>
  <c r="C75" i="17" s="1"/>
  <c r="BL70" i="17"/>
  <c r="C70" i="17" s="1"/>
  <c r="BL40" i="17"/>
  <c r="BL47" i="17"/>
  <c r="C47" i="17" s="1"/>
  <c r="BL72" i="17"/>
  <c r="C72" i="17" s="1"/>
  <c r="BL46" i="17"/>
  <c r="C46" i="17" s="1"/>
  <c r="BL17" i="17"/>
  <c r="C17" i="17" s="1"/>
  <c r="BL50" i="17"/>
  <c r="C50" i="17" s="1"/>
  <c r="BL14" i="17"/>
  <c r="C14" i="17" s="1"/>
  <c r="BL13" i="17"/>
  <c r="BL44" i="17"/>
  <c r="C44" i="17" s="1"/>
  <c r="BL23" i="17"/>
  <c r="C23" i="17" s="1"/>
  <c r="BL21" i="17"/>
  <c r="C21" i="17" s="1"/>
  <c r="BL20" i="17"/>
  <c r="BL19" i="17"/>
  <c r="C19" i="17" s="1"/>
  <c r="BL93" i="15"/>
  <c r="C93" i="15" s="1"/>
  <c r="E162" i="15" s="1"/>
  <c r="C92" i="15"/>
  <c r="C66" i="17"/>
  <c r="D162" i="17" s="1"/>
  <c r="BK15" i="17"/>
  <c r="BK109" i="17"/>
  <c r="BE178" i="17"/>
  <c r="BD179" i="17"/>
  <c r="BK101" i="16"/>
  <c r="BL120" i="15"/>
  <c r="C120" i="15" s="1"/>
  <c r="F162" i="15" s="1"/>
  <c r="C119" i="15"/>
  <c r="BK42" i="15"/>
  <c r="BK83" i="17"/>
  <c r="BL65" i="17"/>
  <c r="C65" i="17" s="1"/>
  <c r="BK16" i="17"/>
  <c r="BK45" i="15"/>
  <c r="BK47" i="15"/>
  <c r="BK43" i="15"/>
  <c r="BJ177" i="17"/>
  <c r="BL120" i="17"/>
  <c r="C120" i="17" s="1"/>
  <c r="F162" i="17" s="1"/>
  <c r="C119" i="17"/>
  <c r="C66" i="16"/>
  <c r="C44" i="14"/>
  <c r="BK20" i="17"/>
  <c r="BK28" i="17"/>
  <c r="BK158" i="17"/>
  <c r="BK176" i="17" s="1"/>
  <c r="BK22" i="16"/>
  <c r="BK18" i="16"/>
  <c r="BE178" i="16"/>
  <c r="BD179" i="16"/>
  <c r="C66" i="15"/>
  <c r="D162" i="15" s="1"/>
  <c r="BK158" i="15"/>
  <c r="BK176" i="15" s="1"/>
  <c r="BK137" i="16" l="1"/>
  <c r="BL41" i="15"/>
  <c r="C41" i="15" s="1"/>
  <c r="BK29" i="17"/>
  <c r="BK175" i="17" s="1"/>
  <c r="BL74" i="17"/>
  <c r="C74" i="17" s="1"/>
  <c r="BL28" i="15"/>
  <c r="BK56" i="15"/>
  <c r="BK110" i="16"/>
  <c r="C47" i="15"/>
  <c r="BK29" i="16"/>
  <c r="BK175" i="16" s="1"/>
  <c r="J11" i="9"/>
  <c r="BJ177" i="15"/>
  <c r="C20" i="17"/>
  <c r="BL15" i="15"/>
  <c r="C15" i="15" s="1"/>
  <c r="BL96" i="15"/>
  <c r="C96" i="15" s="1"/>
  <c r="BK110" i="15"/>
  <c r="D12" i="9"/>
  <c r="BL103" i="15"/>
  <c r="C103" i="15" s="1"/>
  <c r="BL97" i="15"/>
  <c r="C97" i="15" s="1"/>
  <c r="BL74" i="16"/>
  <c r="C74" i="16" s="1"/>
  <c r="F12" i="9" s="1"/>
  <c r="F39" i="9" s="1"/>
  <c r="D27" i="2" s="1"/>
  <c r="C40" i="15"/>
  <c r="C82" i="16"/>
  <c r="F54" i="9" s="1"/>
  <c r="BF178" i="16"/>
  <c r="BE179" i="16"/>
  <c r="BF178" i="17"/>
  <c r="BE179" i="17"/>
  <c r="BL136" i="17"/>
  <c r="C13" i="16"/>
  <c r="C101" i="16"/>
  <c r="G12" i="9" s="1"/>
  <c r="G39" i="9" s="1"/>
  <c r="E27" i="2" s="1"/>
  <c r="C94" i="16"/>
  <c r="G5" i="9" s="1"/>
  <c r="C149" i="16"/>
  <c r="I24" i="9" s="1"/>
  <c r="BL99" i="15"/>
  <c r="C99" i="15" s="1"/>
  <c r="BL123" i="15"/>
  <c r="C123" i="15" s="1"/>
  <c r="C149" i="15"/>
  <c r="B5" i="10" s="1"/>
  <c r="BL39" i="16"/>
  <c r="C38" i="16"/>
  <c r="E53" i="9" s="1"/>
  <c r="C13" i="15"/>
  <c r="BL130" i="15"/>
  <c r="C130" i="15" s="1"/>
  <c r="C94" i="17"/>
  <c r="C121" i="17"/>
  <c r="C40" i="16"/>
  <c r="E5" i="9" s="1"/>
  <c r="J25" i="9"/>
  <c r="I36" i="9"/>
  <c r="G24" i="2" s="1"/>
  <c r="BL93" i="16"/>
  <c r="C92" i="16"/>
  <c r="G53" i="9" s="1"/>
  <c r="C82" i="15"/>
  <c r="BL124" i="15"/>
  <c r="C124" i="15" s="1"/>
  <c r="BL93" i="17"/>
  <c r="C92" i="17"/>
  <c r="C67" i="16"/>
  <c r="F5" i="9" s="1"/>
  <c r="C40" i="17"/>
  <c r="BL123" i="17"/>
  <c r="C123" i="17" s="1"/>
  <c r="BL120" i="16"/>
  <c r="C119" i="16"/>
  <c r="H53" i="9" s="1"/>
  <c r="J15" i="9"/>
  <c r="BL12" i="17"/>
  <c r="C11" i="17"/>
  <c r="BK175" i="15"/>
  <c r="C13" i="17"/>
  <c r="BL12" i="16"/>
  <c r="C11" i="16"/>
  <c r="D53" i="9" s="1"/>
  <c r="D6" i="9"/>
  <c r="BL83" i="15"/>
  <c r="C83" i="15" s="1"/>
  <c r="C67" i="15"/>
  <c r="C94" i="15"/>
  <c r="BL126" i="15"/>
  <c r="C126" i="15" s="1"/>
  <c r="C28" i="15"/>
  <c r="C82" i="17"/>
  <c r="BL126" i="17"/>
  <c r="C126" i="17" s="1"/>
  <c r="BL39" i="17"/>
  <c r="C38" i="17"/>
  <c r="BL128" i="16"/>
  <c r="C128" i="16" s="1"/>
  <c r="H12" i="9" s="1"/>
  <c r="H39" i="9" s="1"/>
  <c r="F27" i="2" s="1"/>
  <c r="C12" i="15"/>
  <c r="BL124" i="17"/>
  <c r="C124" i="17" s="1"/>
  <c r="BK174" i="15"/>
  <c r="F36" i="9"/>
  <c r="D24" i="2" s="1"/>
  <c r="BL18" i="15"/>
  <c r="C18" i="15" s="1"/>
  <c r="BL95" i="15"/>
  <c r="C95" i="15" s="1"/>
  <c r="C128" i="15"/>
  <c r="D162" i="16"/>
  <c r="F52" i="9"/>
  <c r="BL130" i="17"/>
  <c r="C130" i="17" s="1"/>
  <c r="BL39" i="15"/>
  <c r="C38" i="15"/>
  <c r="BK174" i="16"/>
  <c r="C5" i="10"/>
  <c r="D9" i="9"/>
  <c r="C69" i="16"/>
  <c r="F7" i="9" s="1"/>
  <c r="B44" i="14"/>
  <c r="C121" i="16"/>
  <c r="H5" i="9" s="1"/>
  <c r="BL109" i="15"/>
  <c r="BL136" i="15"/>
  <c r="BG178" i="15"/>
  <c r="BF179" i="15"/>
  <c r="BK174" i="17"/>
  <c r="BK177" i="17" s="1"/>
  <c r="BL83" i="17"/>
  <c r="C83" i="17" s="1"/>
  <c r="C67" i="17"/>
  <c r="C149" i="17"/>
  <c r="D5" i="10" s="1"/>
  <c r="BL22" i="15"/>
  <c r="C22" i="15" s="1"/>
  <c r="C121" i="15"/>
  <c r="BL137" i="15" l="1"/>
  <c r="C137" i="15" s="1"/>
  <c r="BK177" i="16"/>
  <c r="BL83" i="16"/>
  <c r="C83" i="16" s="1"/>
  <c r="E5" i="10"/>
  <c r="C109" i="15"/>
  <c r="BL110" i="15"/>
  <c r="C110" i="15" s="1"/>
  <c r="BG178" i="17"/>
  <c r="BF179" i="17"/>
  <c r="B43" i="14"/>
  <c r="C39" i="16"/>
  <c r="C43" i="14"/>
  <c r="BL45" i="16"/>
  <c r="C45" i="16" s="1"/>
  <c r="E10" i="9" s="1"/>
  <c r="E36" i="9" s="1"/>
  <c r="C24" i="2" s="1"/>
  <c r="BL55" i="16"/>
  <c r="BL43" i="16"/>
  <c r="C43" i="16" s="1"/>
  <c r="E8" i="9" s="1"/>
  <c r="BL49" i="16"/>
  <c r="C49" i="16" s="1"/>
  <c r="E14" i="9" s="1"/>
  <c r="E40" i="9" s="1"/>
  <c r="C28" i="2" s="1"/>
  <c r="BL42" i="16"/>
  <c r="C39" i="17"/>
  <c r="C162" i="17" s="1"/>
  <c r="BL42" i="17"/>
  <c r="BL43" i="17"/>
  <c r="C43" i="17" s="1"/>
  <c r="BL45" i="17"/>
  <c r="C45" i="17" s="1"/>
  <c r="BL49" i="17"/>
  <c r="C49" i="17" s="1"/>
  <c r="BL55" i="17"/>
  <c r="F33" i="9"/>
  <c r="F55" i="9" s="1"/>
  <c r="F38" i="9"/>
  <c r="D26" i="2" s="1"/>
  <c r="C120" i="16"/>
  <c r="C46" i="14"/>
  <c r="BL136" i="16"/>
  <c r="BL126" i="16"/>
  <c r="C126" i="16" s="1"/>
  <c r="H10" i="9" s="1"/>
  <c r="H36" i="9" s="1"/>
  <c r="F24" i="2" s="1"/>
  <c r="BL130" i="16"/>
  <c r="C130" i="16" s="1"/>
  <c r="H14" i="9" s="1"/>
  <c r="H40" i="9" s="1"/>
  <c r="F28" i="2" s="1"/>
  <c r="BL124" i="16"/>
  <c r="C124" i="16" s="1"/>
  <c r="H8" i="9" s="1"/>
  <c r="BL123" i="16"/>
  <c r="C136" i="15"/>
  <c r="C136" i="17"/>
  <c r="F62" i="9"/>
  <c r="C33" i="2"/>
  <c r="BG178" i="16"/>
  <c r="BF179" i="16"/>
  <c r="D39" i="9"/>
  <c r="B27" i="2" s="1"/>
  <c r="J12" i="9"/>
  <c r="BL137" i="17"/>
  <c r="C137" i="17" s="1"/>
  <c r="J24" i="9"/>
  <c r="I37" i="9"/>
  <c r="G25" i="2" s="1"/>
  <c r="G33" i="2"/>
  <c r="C93" i="16"/>
  <c r="C45" i="14"/>
  <c r="BL103" i="16"/>
  <c r="C103" i="16" s="1"/>
  <c r="G14" i="9" s="1"/>
  <c r="G40" i="9" s="1"/>
  <c r="E28" i="2" s="1"/>
  <c r="BL97" i="16"/>
  <c r="C97" i="16" s="1"/>
  <c r="G8" i="9" s="1"/>
  <c r="BL96" i="16"/>
  <c r="C96" i="16" s="1"/>
  <c r="G7" i="9" s="1"/>
  <c r="BL109" i="16"/>
  <c r="BL95" i="16"/>
  <c r="BL99" i="16"/>
  <c r="C99" i="16" s="1"/>
  <c r="G10" i="9" s="1"/>
  <c r="G36" i="9" s="1"/>
  <c r="E24" i="2" s="1"/>
  <c r="C93" i="17"/>
  <c r="E162" i="17" s="1"/>
  <c r="BL97" i="17"/>
  <c r="C97" i="17" s="1"/>
  <c r="BL103" i="17"/>
  <c r="C103" i="17" s="1"/>
  <c r="BL109" i="17"/>
  <c r="BL99" i="17"/>
  <c r="C99" i="17" s="1"/>
  <c r="BL95" i="17"/>
  <c r="BL96" i="17"/>
  <c r="C96" i="17" s="1"/>
  <c r="BK177" i="15"/>
  <c r="BL144" i="17"/>
  <c r="C12" i="17"/>
  <c r="BL16" i="17"/>
  <c r="C16" i="17" s="1"/>
  <c r="BL18" i="17"/>
  <c r="C18" i="17" s="1"/>
  <c r="BL15" i="17"/>
  <c r="BL22" i="17"/>
  <c r="C22" i="17" s="1"/>
  <c r="BL28" i="17"/>
  <c r="D37" i="9"/>
  <c r="B25" i="2" s="1"/>
  <c r="J9" i="9"/>
  <c r="B162" i="15"/>
  <c r="BL144" i="16"/>
  <c r="C42" i="14"/>
  <c r="C12" i="16"/>
  <c r="BL22" i="16"/>
  <c r="C22" i="16" s="1"/>
  <c r="BL16" i="16"/>
  <c r="C16" i="16" s="1"/>
  <c r="D8" i="9" s="1"/>
  <c r="BL18" i="16"/>
  <c r="C18" i="16" s="1"/>
  <c r="BL28" i="16"/>
  <c r="BL15" i="16"/>
  <c r="BH178" i="15"/>
  <c r="BG179" i="15"/>
  <c r="C39" i="15"/>
  <c r="C162" i="15" s="1"/>
  <c r="C164" i="15" s="1"/>
  <c r="BL49" i="15"/>
  <c r="C49" i="15" s="1"/>
  <c r="B8" i="10" s="1"/>
  <c r="BL43" i="15"/>
  <c r="C43" i="15" s="1"/>
  <c r="BL55" i="15"/>
  <c r="BL45" i="15"/>
  <c r="C45" i="15" s="1"/>
  <c r="B4" i="10" s="1"/>
  <c r="BL42" i="15"/>
  <c r="BL144" i="15"/>
  <c r="J53" i="9"/>
  <c r="BL29" i="15"/>
  <c r="D5" i="9"/>
  <c r="B45" i="14" l="1"/>
  <c r="C95" i="17"/>
  <c r="BL110" i="17"/>
  <c r="C110" i="17" s="1"/>
  <c r="C109" i="16"/>
  <c r="G54" i="9" s="1"/>
  <c r="D6" i="12"/>
  <c r="C109" i="17"/>
  <c r="D8" i="10"/>
  <c r="C123" i="16"/>
  <c r="H7" i="9" s="1"/>
  <c r="BL137" i="16"/>
  <c r="C137" i="16" s="1"/>
  <c r="J5" i="9"/>
  <c r="C55" i="17"/>
  <c r="BL174" i="17"/>
  <c r="C28" i="17"/>
  <c r="D45" i="9"/>
  <c r="BH178" i="17"/>
  <c r="BG179" i="17"/>
  <c r="E162" i="16"/>
  <c r="G52" i="9"/>
  <c r="C42" i="17"/>
  <c r="BL56" i="17"/>
  <c r="C56" i="17" s="1"/>
  <c r="C55" i="15"/>
  <c r="BL174" i="15"/>
  <c r="C162" i="16"/>
  <c r="E52" i="9"/>
  <c r="C29" i="15"/>
  <c r="D4" i="10"/>
  <c r="BL174" i="16"/>
  <c r="C28" i="16"/>
  <c r="D54" i="9" s="1"/>
  <c r="C4" i="10"/>
  <c r="D10" i="9"/>
  <c r="B162" i="17"/>
  <c r="E164" i="17" s="1"/>
  <c r="BH178" i="16"/>
  <c r="BG179" i="16"/>
  <c r="C136" i="16"/>
  <c r="H54" i="9" s="1"/>
  <c r="C42" i="16"/>
  <c r="E7" i="9" s="1"/>
  <c r="BL56" i="16"/>
  <c r="C56" i="16" s="1"/>
  <c r="C144" i="16"/>
  <c r="BL153" i="16"/>
  <c r="BI178" i="15"/>
  <c r="BH179" i="15"/>
  <c r="C15" i="17"/>
  <c r="BL29" i="17"/>
  <c r="C95" i="16"/>
  <c r="G6" i="9" s="1"/>
  <c r="BL110" i="16"/>
  <c r="C110" i="16" s="1"/>
  <c r="B164" i="15"/>
  <c r="F164" i="15"/>
  <c r="D164" i="15"/>
  <c r="E164" i="15"/>
  <c r="B42" i="14"/>
  <c r="C7" i="14" s="1"/>
  <c r="C15" i="16"/>
  <c r="BL29" i="16"/>
  <c r="J37" i="9"/>
  <c r="H25" i="2" s="1"/>
  <c r="D46" i="9"/>
  <c r="B41" i="2" s="1"/>
  <c r="C144" i="15"/>
  <c r="BL153" i="15"/>
  <c r="J8" i="9"/>
  <c r="C144" i="17"/>
  <c r="BL153" i="17"/>
  <c r="C42" i="15"/>
  <c r="B6" i="10" s="1"/>
  <c r="BL56" i="15"/>
  <c r="C56" i="15" s="1"/>
  <c r="C8" i="10"/>
  <c r="E8" i="10" s="1"/>
  <c r="D14" i="9"/>
  <c r="F162" i="16"/>
  <c r="H52" i="9"/>
  <c r="B162" i="16"/>
  <c r="C14" i="14"/>
  <c r="D52" i="9"/>
  <c r="B46" i="14"/>
  <c r="C55" i="16"/>
  <c r="E54" i="9" s="1"/>
  <c r="F164" i="16" l="1"/>
  <c r="C153" i="16"/>
  <c r="BL158" i="16"/>
  <c r="J54" i="9"/>
  <c r="G31" i="2"/>
  <c r="C174" i="17"/>
  <c r="D10" i="10" s="1"/>
  <c r="BJ178" i="15"/>
  <c r="BI179" i="15"/>
  <c r="J14" i="9"/>
  <c r="B8" i="11"/>
  <c r="B18" i="11" s="1"/>
  <c r="D40" i="9"/>
  <c r="B28" i="2" s="1"/>
  <c r="H62" i="9"/>
  <c r="C35" i="2"/>
  <c r="D7" i="9"/>
  <c r="C50" i="14"/>
  <c r="B50" i="14"/>
  <c r="C6" i="10"/>
  <c r="C174" i="16"/>
  <c r="C10" i="10" s="1"/>
  <c r="D36" i="9"/>
  <c r="B24" i="2" s="1"/>
  <c r="J10" i="9"/>
  <c r="J36" i="9" s="1"/>
  <c r="H24" i="2" s="1"/>
  <c r="BL175" i="16"/>
  <c r="C175" i="16" s="1"/>
  <c r="C29" i="16"/>
  <c r="E33" i="9"/>
  <c r="E55" i="9" s="1"/>
  <c r="E38" i="9"/>
  <c r="C26" i="2" s="1"/>
  <c r="G62" i="9"/>
  <c r="C34" i="2"/>
  <c r="G34" i="2"/>
  <c r="C174" i="15"/>
  <c r="B10" i="10" s="1"/>
  <c r="C153" i="17"/>
  <c r="D7" i="10" s="1"/>
  <c r="BL158" i="17"/>
  <c r="G35" i="2"/>
  <c r="E164" i="16"/>
  <c r="J52" i="9"/>
  <c r="C31" i="2"/>
  <c r="D62" i="9"/>
  <c r="BL175" i="15"/>
  <c r="C175" i="15" s="1"/>
  <c r="G32" i="2"/>
  <c r="C153" i="15"/>
  <c r="B7" i="10" s="1"/>
  <c r="B9" i="10" s="1"/>
  <c r="BL158" i="15"/>
  <c r="J6" i="9"/>
  <c r="G38" i="9"/>
  <c r="E26" i="2" s="1"/>
  <c r="B7" i="11"/>
  <c r="B17" i="11" s="1"/>
  <c r="G33" i="9"/>
  <c r="G55" i="9" s="1"/>
  <c r="BI178" i="16"/>
  <c r="BH179" i="16"/>
  <c r="E62" i="9"/>
  <c r="C32" i="2"/>
  <c r="BI178" i="17"/>
  <c r="BH179" i="17"/>
  <c r="H33" i="9"/>
  <c r="H55" i="9" s="1"/>
  <c r="H38" i="9"/>
  <c r="F26" i="2" s="1"/>
  <c r="BL175" i="17"/>
  <c r="C175" i="17" s="1"/>
  <c r="C29" i="17"/>
  <c r="C164" i="16"/>
  <c r="B10" i="11"/>
  <c r="B19" i="11" s="1"/>
  <c r="B40" i="2"/>
  <c r="E4" i="10"/>
  <c r="B164" i="16"/>
  <c r="D164" i="16"/>
  <c r="D6" i="10"/>
  <c r="D9" i="10" s="1"/>
  <c r="D13" i="10" s="1"/>
  <c r="B164" i="17"/>
  <c r="D164" i="17"/>
  <c r="F164" i="17"/>
  <c r="C164" i="17"/>
  <c r="B13" i="10" l="1"/>
  <c r="BL176" i="15"/>
  <c r="C176" i="15" s="1"/>
  <c r="C158" i="15"/>
  <c r="B165" i="15" s="1"/>
  <c r="BK178" i="15"/>
  <c r="BJ179" i="15"/>
  <c r="D11" i="10"/>
  <c r="BL177" i="17"/>
  <c r="C177" i="17" s="1"/>
  <c r="B11" i="10"/>
  <c r="D5" i="12"/>
  <c r="J7" i="9"/>
  <c r="D33" i="9"/>
  <c r="D55" i="9" s="1"/>
  <c r="D38" i="9"/>
  <c r="B26" i="2" s="1"/>
  <c r="BL177" i="15"/>
  <c r="C177" i="15" s="1"/>
  <c r="E6" i="10"/>
  <c r="BJ178" i="17"/>
  <c r="BI179" i="17"/>
  <c r="K19" i="11"/>
  <c r="BJ178" i="16"/>
  <c r="BI179" i="16"/>
  <c r="B15" i="2"/>
  <c r="B4" i="11"/>
  <c r="D8" i="12"/>
  <c r="D7" i="12"/>
  <c r="J38" i="9"/>
  <c r="H26" i="2" s="1"/>
  <c r="BL176" i="16"/>
  <c r="C158" i="16"/>
  <c r="B165" i="16" s="1"/>
  <c r="J40" i="9"/>
  <c r="H28" i="2" s="1"/>
  <c r="D44" i="9"/>
  <c r="B39" i="2" s="1"/>
  <c r="BL176" i="17"/>
  <c r="C176" i="17" s="1"/>
  <c r="C158" i="17"/>
  <c r="B165" i="17" s="1"/>
  <c r="J62" i="9"/>
  <c r="B19" i="2" s="1"/>
  <c r="I28" i="9"/>
  <c r="C7" i="10"/>
  <c r="C9" i="10" s="1"/>
  <c r="K17" i="11"/>
  <c r="B9" i="11"/>
  <c r="K18" i="11"/>
  <c r="C13" i="10" l="1"/>
  <c r="E9" i="10"/>
  <c r="C11" i="10"/>
  <c r="E7" i="10"/>
  <c r="C13" i="14" s="1"/>
  <c r="BK178" i="17"/>
  <c r="BJ179" i="17"/>
  <c r="BL178" i="15"/>
  <c r="BL179" i="15" s="1"/>
  <c r="C179" i="15" s="1"/>
  <c r="B12" i="10" s="1"/>
  <c r="BK179" i="15"/>
  <c r="G169" i="17"/>
  <c r="C167" i="17"/>
  <c r="C169" i="17" s="1"/>
  <c r="B167" i="17"/>
  <c r="B169" i="17"/>
  <c r="B168" i="17"/>
  <c r="F167" i="17"/>
  <c r="F169" i="17" s="1"/>
  <c r="E167" i="17"/>
  <c r="E169" i="17" s="1"/>
  <c r="D167" i="17"/>
  <c r="D169" i="17" s="1"/>
  <c r="B16" i="11"/>
  <c r="B13" i="11"/>
  <c r="B14" i="11"/>
  <c r="B15" i="11"/>
  <c r="B169" i="15"/>
  <c r="B168" i="15"/>
  <c r="F167" i="15"/>
  <c r="F169" i="15" s="1"/>
  <c r="E167" i="15"/>
  <c r="E169" i="15" s="1"/>
  <c r="D167" i="15"/>
  <c r="D169" i="15" s="1"/>
  <c r="G169" i="15"/>
  <c r="C167" i="15"/>
  <c r="C169" i="15" s="1"/>
  <c r="B167" i="15"/>
  <c r="D4" i="12"/>
  <c r="BK178" i="16"/>
  <c r="BJ179" i="16"/>
  <c r="J28" i="9"/>
  <c r="I39" i="9"/>
  <c r="G27" i="2" s="1"/>
  <c r="I33" i="9"/>
  <c r="E169" i="16"/>
  <c r="B168" i="16"/>
  <c r="F167" i="16"/>
  <c r="H56" i="9" s="1"/>
  <c r="E167" i="16"/>
  <c r="G56" i="9" s="1"/>
  <c r="C167" i="16"/>
  <c r="E56" i="9" s="1"/>
  <c r="B167" i="16"/>
  <c r="G169" i="16"/>
  <c r="F169" i="16"/>
  <c r="D167" i="16"/>
  <c r="F56" i="9" s="1"/>
  <c r="J32" i="14"/>
  <c r="F30" i="14"/>
  <c r="D29" i="14"/>
  <c r="J26" i="14"/>
  <c r="H25" i="14"/>
  <c r="I25" i="14" s="1"/>
  <c r="D23" i="14"/>
  <c r="G31" i="14"/>
  <c r="E30" i="14"/>
  <c r="C29" i="14"/>
  <c r="C23" i="14"/>
  <c r="C51" i="14"/>
  <c r="J33" i="14"/>
  <c r="F31" i="14"/>
  <c r="D30" i="14"/>
  <c r="J27" i="14"/>
  <c r="B51" i="14"/>
  <c r="E31" i="14"/>
  <c r="C30" i="14"/>
  <c r="G26" i="14"/>
  <c r="H33" i="14"/>
  <c r="I33" i="14" s="1"/>
  <c r="D31" i="14"/>
  <c r="J28" i="14"/>
  <c r="F26" i="14"/>
  <c r="J22" i="14"/>
  <c r="C31" i="14"/>
  <c r="G27" i="14"/>
  <c r="E26" i="14"/>
  <c r="J29" i="14"/>
  <c r="F27" i="14"/>
  <c r="D26" i="14"/>
  <c r="J23" i="14"/>
  <c r="G28" i="14"/>
  <c r="E27" i="14"/>
  <c r="C26" i="14"/>
  <c r="G22" i="14"/>
  <c r="J30" i="14"/>
  <c r="F28" i="14"/>
  <c r="D27" i="14"/>
  <c r="J24" i="14"/>
  <c r="F22" i="14"/>
  <c r="G29" i="14"/>
  <c r="E28" i="14"/>
  <c r="C27" i="14"/>
  <c r="G23" i="14"/>
  <c r="E22" i="14"/>
  <c r="J31" i="14"/>
  <c r="F29" i="14"/>
  <c r="D28" i="14"/>
  <c r="J25" i="14"/>
  <c r="F23" i="14"/>
  <c r="D22" i="14"/>
  <c r="G30" i="14"/>
  <c r="E29" i="14"/>
  <c r="C28" i="14"/>
  <c r="E23" i="14"/>
  <c r="C22" i="14"/>
  <c r="D24" i="14"/>
  <c r="F32" i="14"/>
  <c r="E32" i="14"/>
  <c r="C24" i="14"/>
  <c r="C32" i="14"/>
  <c r="D32" i="14"/>
  <c r="F24" i="14"/>
  <c r="G24" i="14"/>
  <c r="G32" i="14"/>
  <c r="E24" i="14"/>
  <c r="C176" i="16"/>
  <c r="BL177" i="16"/>
  <c r="C177" i="16" s="1"/>
  <c r="I31" i="14" l="1"/>
  <c r="K31" i="14" s="1"/>
  <c r="L31" i="14" s="1"/>
  <c r="I23" i="14"/>
  <c r="K23" i="14" s="1"/>
  <c r="L23" i="14" s="1"/>
  <c r="I24" i="14"/>
  <c r="K24" i="14" s="1"/>
  <c r="L24" i="14" s="1"/>
  <c r="I32" i="14"/>
  <c r="K32" i="14" s="1"/>
  <c r="L32" i="14" s="1"/>
  <c r="I30" i="14"/>
  <c r="BE111" i="15"/>
  <c r="BE112" i="15" s="1"/>
  <c r="AS111" i="15"/>
  <c r="AS112" i="15" s="1"/>
  <c r="AG111" i="15"/>
  <c r="AG112" i="15" s="1"/>
  <c r="U111" i="15"/>
  <c r="U112" i="15" s="1"/>
  <c r="I111" i="15"/>
  <c r="I112" i="15" s="1"/>
  <c r="BD111" i="15"/>
  <c r="BD112" i="15" s="1"/>
  <c r="AR111" i="15"/>
  <c r="AR112" i="15" s="1"/>
  <c r="AF111" i="15"/>
  <c r="AF112" i="15" s="1"/>
  <c r="T111" i="15"/>
  <c r="T112" i="15" s="1"/>
  <c r="H111" i="15"/>
  <c r="H112" i="15" s="1"/>
  <c r="BC111" i="15"/>
  <c r="BC112" i="15" s="1"/>
  <c r="AQ111" i="15"/>
  <c r="AQ112" i="15" s="1"/>
  <c r="AE111" i="15"/>
  <c r="AE112" i="15" s="1"/>
  <c r="S111" i="15"/>
  <c r="S112" i="15" s="1"/>
  <c r="G111" i="15"/>
  <c r="G112" i="15" s="1"/>
  <c r="BB111" i="15"/>
  <c r="BB112" i="15" s="1"/>
  <c r="AP111" i="15"/>
  <c r="AP112" i="15" s="1"/>
  <c r="AD111" i="15"/>
  <c r="AD112" i="15" s="1"/>
  <c r="R111" i="15"/>
  <c r="R112" i="15" s="1"/>
  <c r="F111" i="15"/>
  <c r="F112" i="15" s="1"/>
  <c r="BA111" i="15"/>
  <c r="BA112" i="15" s="1"/>
  <c r="AO111" i="15"/>
  <c r="AO112" i="15" s="1"/>
  <c r="AC111" i="15"/>
  <c r="AC112" i="15" s="1"/>
  <c r="Q111" i="15"/>
  <c r="Q112" i="15" s="1"/>
  <c r="E111" i="15"/>
  <c r="E112" i="15" s="1"/>
  <c r="BL111" i="15"/>
  <c r="BL112" i="15" s="1"/>
  <c r="AZ111" i="15"/>
  <c r="AZ112" i="15" s="1"/>
  <c r="AN111" i="15"/>
  <c r="AN112" i="15" s="1"/>
  <c r="AB111" i="15"/>
  <c r="AB112" i="15" s="1"/>
  <c r="P111" i="15"/>
  <c r="P112" i="15" s="1"/>
  <c r="D111" i="15"/>
  <c r="BK111" i="15"/>
  <c r="BK112" i="15" s="1"/>
  <c r="AY111" i="15"/>
  <c r="AY112" i="15" s="1"/>
  <c r="AM111" i="15"/>
  <c r="AM112" i="15" s="1"/>
  <c r="AA111" i="15"/>
  <c r="AA112" i="15" s="1"/>
  <c r="O111" i="15"/>
  <c r="O112" i="15" s="1"/>
  <c r="BJ111" i="15"/>
  <c r="BJ112" i="15" s="1"/>
  <c r="AX111" i="15"/>
  <c r="AX112" i="15" s="1"/>
  <c r="AL111" i="15"/>
  <c r="AL112" i="15" s="1"/>
  <c r="Z111" i="15"/>
  <c r="Z112" i="15" s="1"/>
  <c r="N111" i="15"/>
  <c r="N112" i="15" s="1"/>
  <c r="BI111" i="15"/>
  <c r="BI112" i="15" s="1"/>
  <c r="AW111" i="15"/>
  <c r="AW112" i="15" s="1"/>
  <c r="AK111" i="15"/>
  <c r="AK112" i="15" s="1"/>
  <c r="Y111" i="15"/>
  <c r="Y112" i="15" s="1"/>
  <c r="M111" i="15"/>
  <c r="M112" i="15" s="1"/>
  <c r="BH111" i="15"/>
  <c r="BH112" i="15" s="1"/>
  <c r="AV111" i="15"/>
  <c r="AV112" i="15" s="1"/>
  <c r="AJ111" i="15"/>
  <c r="AJ112" i="15" s="1"/>
  <c r="X111" i="15"/>
  <c r="X112" i="15" s="1"/>
  <c r="L111" i="15"/>
  <c r="L112" i="15" s="1"/>
  <c r="BG111" i="15"/>
  <c r="BG112" i="15" s="1"/>
  <c r="BF111" i="15"/>
  <c r="BF112" i="15" s="1"/>
  <c r="AU111" i="15"/>
  <c r="AU112" i="15" s="1"/>
  <c r="AT111" i="15"/>
  <c r="AT112" i="15" s="1"/>
  <c r="AI111" i="15"/>
  <c r="AI112" i="15" s="1"/>
  <c r="AH111" i="15"/>
  <c r="AH112" i="15" s="1"/>
  <c r="W111" i="15"/>
  <c r="W112" i="15" s="1"/>
  <c r="V111" i="15"/>
  <c r="V112" i="15" s="1"/>
  <c r="K111" i="15"/>
  <c r="K112" i="15" s="1"/>
  <c r="J111" i="15"/>
  <c r="J112" i="15" s="1"/>
  <c r="BD57" i="15"/>
  <c r="BD58" i="15" s="1"/>
  <c r="AR57" i="15"/>
  <c r="AR58" i="15" s="1"/>
  <c r="AF57" i="15"/>
  <c r="AF58" i="15" s="1"/>
  <c r="T57" i="15"/>
  <c r="T58" i="15" s="1"/>
  <c r="H57" i="15"/>
  <c r="H58" i="15" s="1"/>
  <c r="BC57" i="15"/>
  <c r="BC58" i="15" s="1"/>
  <c r="AQ57" i="15"/>
  <c r="AQ58" i="15" s="1"/>
  <c r="AE57" i="15"/>
  <c r="AE58" i="15" s="1"/>
  <c r="S57" i="15"/>
  <c r="S58" i="15" s="1"/>
  <c r="G57" i="15"/>
  <c r="G58" i="15" s="1"/>
  <c r="BB57" i="15"/>
  <c r="BB58" i="15" s="1"/>
  <c r="AP57" i="15"/>
  <c r="AP58" i="15" s="1"/>
  <c r="AD57" i="15"/>
  <c r="AD58" i="15" s="1"/>
  <c r="R57" i="15"/>
  <c r="R58" i="15" s="1"/>
  <c r="F57" i="15"/>
  <c r="F58" i="15" s="1"/>
  <c r="BA57" i="15"/>
  <c r="BA58" i="15" s="1"/>
  <c r="AO57" i="15"/>
  <c r="AO58" i="15" s="1"/>
  <c r="AC57" i="15"/>
  <c r="AC58" i="15" s="1"/>
  <c r="Q57" i="15"/>
  <c r="Q58" i="15" s="1"/>
  <c r="E57" i="15"/>
  <c r="E58" i="15" s="1"/>
  <c r="BL57" i="15"/>
  <c r="BL58" i="15" s="1"/>
  <c r="AZ57" i="15"/>
  <c r="AZ58" i="15" s="1"/>
  <c r="AN57" i="15"/>
  <c r="AN58" i="15" s="1"/>
  <c r="AB57" i="15"/>
  <c r="AB58" i="15" s="1"/>
  <c r="P57" i="15"/>
  <c r="P58" i="15" s="1"/>
  <c r="D57" i="15"/>
  <c r="BK57" i="15"/>
  <c r="BK58" i="15" s="1"/>
  <c r="AY57" i="15"/>
  <c r="AY58" i="15" s="1"/>
  <c r="AM57" i="15"/>
  <c r="AM58" i="15" s="1"/>
  <c r="AA57" i="15"/>
  <c r="AA58" i="15" s="1"/>
  <c r="O57" i="15"/>
  <c r="O58" i="15" s="1"/>
  <c r="BJ57" i="15"/>
  <c r="BJ58" i="15" s="1"/>
  <c r="AX57" i="15"/>
  <c r="AX58" i="15" s="1"/>
  <c r="AL57" i="15"/>
  <c r="AL58" i="15" s="1"/>
  <c r="Z57" i="15"/>
  <c r="Z58" i="15" s="1"/>
  <c r="N57" i="15"/>
  <c r="N58" i="15" s="1"/>
  <c r="BI57" i="15"/>
  <c r="BI58" i="15" s="1"/>
  <c r="AW57" i="15"/>
  <c r="AW58" i="15" s="1"/>
  <c r="AK57" i="15"/>
  <c r="AK58" i="15" s="1"/>
  <c r="Y57" i="15"/>
  <c r="Y58" i="15" s="1"/>
  <c r="M57" i="15"/>
  <c r="M58" i="15" s="1"/>
  <c r="BH57" i="15"/>
  <c r="BH58" i="15" s="1"/>
  <c r="AV57" i="15"/>
  <c r="AV58" i="15" s="1"/>
  <c r="AJ57" i="15"/>
  <c r="AJ58" i="15" s="1"/>
  <c r="X57" i="15"/>
  <c r="X58" i="15" s="1"/>
  <c r="L57" i="15"/>
  <c r="L58" i="15" s="1"/>
  <c r="BG57" i="15"/>
  <c r="BG58" i="15" s="1"/>
  <c r="AU57" i="15"/>
  <c r="AU58" i="15" s="1"/>
  <c r="AI57" i="15"/>
  <c r="AI58" i="15" s="1"/>
  <c r="W57" i="15"/>
  <c r="W58" i="15" s="1"/>
  <c r="K57" i="15"/>
  <c r="K58" i="15" s="1"/>
  <c r="U57" i="15"/>
  <c r="U58" i="15" s="1"/>
  <c r="J57" i="15"/>
  <c r="J58" i="15" s="1"/>
  <c r="I57" i="15"/>
  <c r="I58" i="15" s="1"/>
  <c r="BF57" i="15"/>
  <c r="BF58" i="15" s="1"/>
  <c r="BE57" i="15"/>
  <c r="BE58" i="15" s="1"/>
  <c r="AT57" i="15"/>
  <c r="AT58" i="15" s="1"/>
  <c r="AS57" i="15"/>
  <c r="AS58" i="15" s="1"/>
  <c r="AH57" i="15"/>
  <c r="AH58" i="15" s="1"/>
  <c r="AG57" i="15"/>
  <c r="AG58" i="15" s="1"/>
  <c r="V57" i="15"/>
  <c r="V58" i="15" s="1"/>
  <c r="BJ57" i="17"/>
  <c r="BJ58" i="17" s="1"/>
  <c r="AX57" i="17"/>
  <c r="AX58" i="17" s="1"/>
  <c r="AL57" i="17"/>
  <c r="AL58" i="17" s="1"/>
  <c r="Z57" i="17"/>
  <c r="Z58" i="17" s="1"/>
  <c r="N57" i="17"/>
  <c r="N58" i="17" s="1"/>
  <c r="BI57" i="17"/>
  <c r="BI58" i="17" s="1"/>
  <c r="AW57" i="17"/>
  <c r="AW58" i="17" s="1"/>
  <c r="AK57" i="17"/>
  <c r="AK58" i="17" s="1"/>
  <c r="Y57" i="17"/>
  <c r="Y58" i="17" s="1"/>
  <c r="M57" i="17"/>
  <c r="M58" i="17" s="1"/>
  <c r="BH57" i="17"/>
  <c r="BH58" i="17" s="1"/>
  <c r="AV57" i="17"/>
  <c r="AV58" i="17" s="1"/>
  <c r="AJ57" i="17"/>
  <c r="AJ58" i="17" s="1"/>
  <c r="X57" i="17"/>
  <c r="X58" i="17" s="1"/>
  <c r="L57" i="17"/>
  <c r="L58" i="17" s="1"/>
  <c r="BG57" i="17"/>
  <c r="BG58" i="17" s="1"/>
  <c r="AU57" i="17"/>
  <c r="AU58" i="17" s="1"/>
  <c r="AI57" i="17"/>
  <c r="AI58" i="17" s="1"/>
  <c r="W57" i="17"/>
  <c r="W58" i="17" s="1"/>
  <c r="K57" i="17"/>
  <c r="K58" i="17" s="1"/>
  <c r="BF57" i="17"/>
  <c r="BF58" i="17" s="1"/>
  <c r="AT57" i="17"/>
  <c r="AT58" i="17" s="1"/>
  <c r="AH57" i="17"/>
  <c r="AH58" i="17" s="1"/>
  <c r="V57" i="17"/>
  <c r="V58" i="17" s="1"/>
  <c r="J57" i="17"/>
  <c r="J58" i="17" s="1"/>
  <c r="BE57" i="17"/>
  <c r="BE58" i="17" s="1"/>
  <c r="AS57" i="17"/>
  <c r="AS58" i="17" s="1"/>
  <c r="AG57" i="17"/>
  <c r="AG58" i="17" s="1"/>
  <c r="U57" i="17"/>
  <c r="U58" i="17" s="1"/>
  <c r="I57" i="17"/>
  <c r="I58" i="17" s="1"/>
  <c r="BC57" i="17"/>
  <c r="BC58" i="17" s="1"/>
  <c r="AQ57" i="17"/>
  <c r="AQ58" i="17" s="1"/>
  <c r="AE57" i="17"/>
  <c r="AE58" i="17" s="1"/>
  <c r="S57" i="17"/>
  <c r="S58" i="17" s="1"/>
  <c r="G57" i="17"/>
  <c r="G58" i="17" s="1"/>
  <c r="AZ57" i="17"/>
  <c r="AZ58" i="17" s="1"/>
  <c r="T57" i="17"/>
  <c r="T58" i="17" s="1"/>
  <c r="AY57" i="17"/>
  <c r="AY58" i="17" s="1"/>
  <c r="R57" i="17"/>
  <c r="R58" i="17" s="1"/>
  <c r="AR57" i="17"/>
  <c r="AR58" i="17" s="1"/>
  <c r="Q57" i="17"/>
  <c r="Q58" i="17" s="1"/>
  <c r="AP57" i="17"/>
  <c r="AP58" i="17" s="1"/>
  <c r="P57" i="17"/>
  <c r="P58" i="17" s="1"/>
  <c r="AO57" i="17"/>
  <c r="AO58" i="17" s="1"/>
  <c r="O57" i="17"/>
  <c r="O58" i="17" s="1"/>
  <c r="AN57" i="17"/>
  <c r="AN58" i="17" s="1"/>
  <c r="H57" i="17"/>
  <c r="H58" i="17" s="1"/>
  <c r="AM57" i="17"/>
  <c r="AM58" i="17" s="1"/>
  <c r="F57" i="17"/>
  <c r="F58" i="17" s="1"/>
  <c r="BL57" i="17"/>
  <c r="BL58" i="17" s="1"/>
  <c r="AF57" i="17"/>
  <c r="AF58" i="17" s="1"/>
  <c r="E57" i="17"/>
  <c r="E58" i="17" s="1"/>
  <c r="BK57" i="17"/>
  <c r="BK58" i="17" s="1"/>
  <c r="AD57" i="17"/>
  <c r="AD58" i="17" s="1"/>
  <c r="D57" i="17"/>
  <c r="BD57" i="17"/>
  <c r="BD58" i="17" s="1"/>
  <c r="BB57" i="17"/>
  <c r="BB58" i="17" s="1"/>
  <c r="BA57" i="17"/>
  <c r="BA58" i="17" s="1"/>
  <c r="AC57" i="17"/>
  <c r="AC58" i="17" s="1"/>
  <c r="AB57" i="17"/>
  <c r="AB58" i="17" s="1"/>
  <c r="AA57" i="17"/>
  <c r="AA58" i="17" s="1"/>
  <c r="BJ84" i="17"/>
  <c r="BJ85" i="17" s="1"/>
  <c r="AX84" i="17"/>
  <c r="AX85" i="17" s="1"/>
  <c r="AL84" i="17"/>
  <c r="AL85" i="17" s="1"/>
  <c r="Z84" i="17"/>
  <c r="Z85" i="17" s="1"/>
  <c r="N84" i="17"/>
  <c r="N85" i="17" s="1"/>
  <c r="BI84" i="17"/>
  <c r="BI85" i="17" s="1"/>
  <c r="AV84" i="17"/>
  <c r="AV85" i="17" s="1"/>
  <c r="AI84" i="17"/>
  <c r="AI85" i="17" s="1"/>
  <c r="V84" i="17"/>
  <c r="V85" i="17" s="1"/>
  <c r="I84" i="17"/>
  <c r="I85" i="17" s="1"/>
  <c r="BH84" i="17"/>
  <c r="BH85" i="17" s="1"/>
  <c r="AU84" i="17"/>
  <c r="AU85" i="17" s="1"/>
  <c r="AH84" i="17"/>
  <c r="AH85" i="17" s="1"/>
  <c r="U84" i="17"/>
  <c r="U85" i="17" s="1"/>
  <c r="H84" i="17"/>
  <c r="H85" i="17" s="1"/>
  <c r="BG84" i="17"/>
  <c r="BG85" i="17" s="1"/>
  <c r="AT84" i="17"/>
  <c r="AT85" i="17" s="1"/>
  <c r="AG84" i="17"/>
  <c r="AG85" i="17" s="1"/>
  <c r="T84" i="17"/>
  <c r="T85" i="17" s="1"/>
  <c r="G84" i="17"/>
  <c r="G85" i="17" s="1"/>
  <c r="BF84" i="17"/>
  <c r="BF85" i="17" s="1"/>
  <c r="AS84" i="17"/>
  <c r="AS85" i="17" s="1"/>
  <c r="AF84" i="17"/>
  <c r="AF85" i="17" s="1"/>
  <c r="S84" i="17"/>
  <c r="S85" i="17" s="1"/>
  <c r="F84" i="17"/>
  <c r="F85" i="17" s="1"/>
  <c r="BE84" i="17"/>
  <c r="BE85" i="17" s="1"/>
  <c r="AR84" i="17"/>
  <c r="AR85" i="17" s="1"/>
  <c r="AE84" i="17"/>
  <c r="AE85" i="17" s="1"/>
  <c r="R84" i="17"/>
  <c r="R85" i="17" s="1"/>
  <c r="E84" i="17"/>
  <c r="E85" i="17" s="1"/>
  <c r="BD84" i="17"/>
  <c r="BD85" i="17" s="1"/>
  <c r="AQ84" i="17"/>
  <c r="AQ85" i="17" s="1"/>
  <c r="AD84" i="17"/>
  <c r="AD85" i="17" s="1"/>
  <c r="Q84" i="17"/>
  <c r="Q85" i="17" s="1"/>
  <c r="D84" i="17"/>
  <c r="BB84" i="17"/>
  <c r="BB85" i="17" s="1"/>
  <c r="AO84" i="17"/>
  <c r="AO85" i="17" s="1"/>
  <c r="AB84" i="17"/>
  <c r="AB85" i="17" s="1"/>
  <c r="O84" i="17"/>
  <c r="O85" i="17" s="1"/>
  <c r="BA84" i="17"/>
  <c r="BA85" i="17" s="1"/>
  <c r="AN84" i="17"/>
  <c r="AN85" i="17" s="1"/>
  <c r="AA84" i="17"/>
  <c r="AA85" i="17" s="1"/>
  <c r="M84" i="17"/>
  <c r="M85" i="17" s="1"/>
  <c r="Y84" i="17"/>
  <c r="Y85" i="17" s="1"/>
  <c r="BL84" i="17"/>
  <c r="BL85" i="17" s="1"/>
  <c r="X84" i="17"/>
  <c r="X85" i="17" s="1"/>
  <c r="BK84" i="17"/>
  <c r="BK85" i="17" s="1"/>
  <c r="W84" i="17"/>
  <c r="W85" i="17" s="1"/>
  <c r="BC84" i="17"/>
  <c r="BC85" i="17" s="1"/>
  <c r="P84" i="17"/>
  <c r="P85" i="17" s="1"/>
  <c r="AZ84" i="17"/>
  <c r="AZ85" i="17" s="1"/>
  <c r="L84" i="17"/>
  <c r="L85" i="17" s="1"/>
  <c r="AY84" i="17"/>
  <c r="AY85" i="17" s="1"/>
  <c r="K84" i="17"/>
  <c r="K85" i="17" s="1"/>
  <c r="AW84" i="17"/>
  <c r="AW85" i="17" s="1"/>
  <c r="J84" i="17"/>
  <c r="J85" i="17" s="1"/>
  <c r="AP84" i="17"/>
  <c r="AP85" i="17" s="1"/>
  <c r="AK84" i="17"/>
  <c r="AK85" i="17" s="1"/>
  <c r="AJ84" i="17"/>
  <c r="AJ85" i="17" s="1"/>
  <c r="AC84" i="17"/>
  <c r="AC85" i="17" s="1"/>
  <c r="AM84" i="17"/>
  <c r="AM85" i="17" s="1"/>
  <c r="BD138" i="17"/>
  <c r="BD139" i="17" s="1"/>
  <c r="AR138" i="17"/>
  <c r="AR139" i="17" s="1"/>
  <c r="AF138" i="17"/>
  <c r="AF139" i="17" s="1"/>
  <c r="T138" i="17"/>
  <c r="T139" i="17" s="1"/>
  <c r="H138" i="17"/>
  <c r="H139" i="17" s="1"/>
  <c r="BC138" i="17"/>
  <c r="BC139" i="17" s="1"/>
  <c r="AQ138" i="17"/>
  <c r="AQ139" i="17" s="1"/>
  <c r="AE138" i="17"/>
  <c r="AE139" i="17" s="1"/>
  <c r="S138" i="17"/>
  <c r="S139" i="17" s="1"/>
  <c r="G138" i="17"/>
  <c r="G139" i="17" s="1"/>
  <c r="BB138" i="17"/>
  <c r="BB139" i="17" s="1"/>
  <c r="AP138" i="17"/>
  <c r="AP139" i="17" s="1"/>
  <c r="AD138" i="17"/>
  <c r="AD139" i="17" s="1"/>
  <c r="R138" i="17"/>
  <c r="R139" i="17" s="1"/>
  <c r="F138" i="17"/>
  <c r="F139" i="17" s="1"/>
  <c r="BA138" i="17"/>
  <c r="BA139" i="17" s="1"/>
  <c r="AO138" i="17"/>
  <c r="AO139" i="17" s="1"/>
  <c r="AC138" i="17"/>
  <c r="AC139" i="17" s="1"/>
  <c r="Q138" i="17"/>
  <c r="Q139" i="17" s="1"/>
  <c r="E138" i="17"/>
  <c r="E139" i="17" s="1"/>
  <c r="BL138" i="17"/>
  <c r="BL139" i="17" s="1"/>
  <c r="BJ138" i="17"/>
  <c r="BJ139" i="17" s="1"/>
  <c r="AX138" i="17"/>
  <c r="AX139" i="17" s="1"/>
  <c r="AL138" i="17"/>
  <c r="AL139" i="17" s="1"/>
  <c r="Z138" i="17"/>
  <c r="Z139" i="17" s="1"/>
  <c r="BK138" i="17"/>
  <c r="BK139" i="17" s="1"/>
  <c r="AS138" i="17"/>
  <c r="AS139" i="17" s="1"/>
  <c r="W138" i="17"/>
  <c r="W139" i="17" s="1"/>
  <c r="BI138" i="17"/>
  <c r="BI139" i="17" s="1"/>
  <c r="AN138" i="17"/>
  <c r="AN139" i="17" s="1"/>
  <c r="V138" i="17"/>
  <c r="V139" i="17" s="1"/>
  <c r="BH138" i="17"/>
  <c r="BH139" i="17" s="1"/>
  <c r="AM138" i="17"/>
  <c r="AM139" i="17" s="1"/>
  <c r="U138" i="17"/>
  <c r="U139" i="17" s="1"/>
  <c r="BG138" i="17"/>
  <c r="BG139" i="17" s="1"/>
  <c r="AK138" i="17"/>
  <c r="AK139" i="17" s="1"/>
  <c r="P138" i="17"/>
  <c r="P139" i="17" s="1"/>
  <c r="BF138" i="17"/>
  <c r="BF139" i="17" s="1"/>
  <c r="AJ138" i="17"/>
  <c r="AJ139" i="17" s="1"/>
  <c r="O138" i="17"/>
  <c r="O139" i="17" s="1"/>
  <c r="BE138" i="17"/>
  <c r="BE139" i="17" s="1"/>
  <c r="AI138" i="17"/>
  <c r="AI139" i="17" s="1"/>
  <c r="N138" i="17"/>
  <c r="N139" i="17" s="1"/>
  <c r="AZ138" i="17"/>
  <c r="AZ139" i="17" s="1"/>
  <c r="AH138" i="17"/>
  <c r="AH139" i="17" s="1"/>
  <c r="M138" i="17"/>
  <c r="M139" i="17" s="1"/>
  <c r="AY138" i="17"/>
  <c r="AY139" i="17" s="1"/>
  <c r="AG138" i="17"/>
  <c r="AG139" i="17" s="1"/>
  <c r="AV138" i="17"/>
  <c r="AV139" i="17" s="1"/>
  <c r="AA138" i="17"/>
  <c r="AA139" i="17" s="1"/>
  <c r="J138" i="17"/>
  <c r="J139" i="17" s="1"/>
  <c r="X138" i="17"/>
  <c r="X139" i="17" s="1"/>
  <c r="L138" i="17"/>
  <c r="L139" i="17" s="1"/>
  <c r="K138" i="17"/>
  <c r="K139" i="17" s="1"/>
  <c r="I138" i="17"/>
  <c r="I139" i="17" s="1"/>
  <c r="D138" i="17"/>
  <c r="AW138" i="17"/>
  <c r="AW139" i="17" s="1"/>
  <c r="AT138" i="17"/>
  <c r="AT139" i="17" s="1"/>
  <c r="Y138" i="17"/>
  <c r="Y139" i="17" s="1"/>
  <c r="AB138" i="17"/>
  <c r="AB139" i="17" s="1"/>
  <c r="AU138" i="17"/>
  <c r="AU139" i="17" s="1"/>
  <c r="BI138" i="15"/>
  <c r="BI139" i="15" s="1"/>
  <c r="AW138" i="15"/>
  <c r="AW139" i="15" s="1"/>
  <c r="AK138" i="15"/>
  <c r="AK139" i="15" s="1"/>
  <c r="Y138" i="15"/>
  <c r="Y139" i="15" s="1"/>
  <c r="M138" i="15"/>
  <c r="M139" i="15" s="1"/>
  <c r="BH138" i="15"/>
  <c r="BH139" i="15" s="1"/>
  <c r="AV138" i="15"/>
  <c r="AV139" i="15" s="1"/>
  <c r="AJ138" i="15"/>
  <c r="AJ139" i="15" s="1"/>
  <c r="X138" i="15"/>
  <c r="X139" i="15" s="1"/>
  <c r="L138" i="15"/>
  <c r="L139" i="15" s="1"/>
  <c r="BG138" i="15"/>
  <c r="BG139" i="15" s="1"/>
  <c r="AU138" i="15"/>
  <c r="AU139" i="15" s="1"/>
  <c r="AI138" i="15"/>
  <c r="AI139" i="15" s="1"/>
  <c r="W138" i="15"/>
  <c r="W139" i="15" s="1"/>
  <c r="K138" i="15"/>
  <c r="K139" i="15" s="1"/>
  <c r="BF138" i="15"/>
  <c r="BF139" i="15" s="1"/>
  <c r="AT138" i="15"/>
  <c r="AT139" i="15" s="1"/>
  <c r="AH138" i="15"/>
  <c r="AH139" i="15" s="1"/>
  <c r="V138" i="15"/>
  <c r="V139" i="15" s="1"/>
  <c r="J138" i="15"/>
  <c r="J139" i="15" s="1"/>
  <c r="BE138" i="15"/>
  <c r="BE139" i="15" s="1"/>
  <c r="AS138" i="15"/>
  <c r="AS139" i="15" s="1"/>
  <c r="AG138" i="15"/>
  <c r="AG139" i="15" s="1"/>
  <c r="U138" i="15"/>
  <c r="U139" i="15" s="1"/>
  <c r="I138" i="15"/>
  <c r="I139" i="15" s="1"/>
  <c r="BD138" i="15"/>
  <c r="BD139" i="15" s="1"/>
  <c r="AR138" i="15"/>
  <c r="AR139" i="15" s="1"/>
  <c r="AF138" i="15"/>
  <c r="AF139" i="15" s="1"/>
  <c r="T138" i="15"/>
  <c r="T139" i="15" s="1"/>
  <c r="H138" i="15"/>
  <c r="H139" i="15" s="1"/>
  <c r="BC138" i="15"/>
  <c r="BC139" i="15" s="1"/>
  <c r="AQ138" i="15"/>
  <c r="AQ139" i="15" s="1"/>
  <c r="AE138" i="15"/>
  <c r="AE139" i="15" s="1"/>
  <c r="S138" i="15"/>
  <c r="S139" i="15" s="1"/>
  <c r="G138" i="15"/>
  <c r="G139" i="15" s="1"/>
  <c r="BB138" i="15"/>
  <c r="BB139" i="15" s="1"/>
  <c r="AP138" i="15"/>
  <c r="AP139" i="15" s="1"/>
  <c r="AD138" i="15"/>
  <c r="AD139" i="15" s="1"/>
  <c r="R138" i="15"/>
  <c r="R139" i="15" s="1"/>
  <c r="F138" i="15"/>
  <c r="F139" i="15" s="1"/>
  <c r="BA138" i="15"/>
  <c r="BA139" i="15" s="1"/>
  <c r="AO138" i="15"/>
  <c r="AO139" i="15" s="1"/>
  <c r="AC138" i="15"/>
  <c r="AC139" i="15" s="1"/>
  <c r="Q138" i="15"/>
  <c r="Q139" i="15" s="1"/>
  <c r="E138" i="15"/>
  <c r="E139" i="15" s="1"/>
  <c r="BL138" i="15"/>
  <c r="BL139" i="15" s="1"/>
  <c r="AZ138" i="15"/>
  <c r="AZ139" i="15" s="1"/>
  <c r="AN138" i="15"/>
  <c r="AN139" i="15" s="1"/>
  <c r="AB138" i="15"/>
  <c r="AB139" i="15" s="1"/>
  <c r="P138" i="15"/>
  <c r="P139" i="15" s="1"/>
  <c r="D138" i="15"/>
  <c r="AL138" i="15"/>
  <c r="AL139" i="15" s="1"/>
  <c r="AA138" i="15"/>
  <c r="AA139" i="15" s="1"/>
  <c r="Z138" i="15"/>
  <c r="Z139" i="15" s="1"/>
  <c r="O138" i="15"/>
  <c r="O139" i="15" s="1"/>
  <c r="N138" i="15"/>
  <c r="N139" i="15" s="1"/>
  <c r="BK138" i="15"/>
  <c r="BK139" i="15" s="1"/>
  <c r="BJ138" i="15"/>
  <c r="BJ139" i="15" s="1"/>
  <c r="AY138" i="15"/>
  <c r="AY139" i="15" s="1"/>
  <c r="AX138" i="15"/>
  <c r="AX139" i="15" s="1"/>
  <c r="AM138" i="15"/>
  <c r="AM139" i="15" s="1"/>
  <c r="BC111" i="17"/>
  <c r="BC112" i="17" s="1"/>
  <c r="AQ111" i="17"/>
  <c r="AQ112" i="17" s="1"/>
  <c r="AE111" i="17"/>
  <c r="AE112" i="17" s="1"/>
  <c r="S111" i="17"/>
  <c r="S112" i="17" s="1"/>
  <c r="BL111" i="17"/>
  <c r="BL112" i="17" s="1"/>
  <c r="AZ111" i="17"/>
  <c r="AZ112" i="17" s="1"/>
  <c r="AN111" i="17"/>
  <c r="AN112" i="17" s="1"/>
  <c r="AB111" i="17"/>
  <c r="AB112" i="17" s="1"/>
  <c r="BE111" i="17"/>
  <c r="BE112" i="17" s="1"/>
  <c r="AP111" i="17"/>
  <c r="AP112" i="17" s="1"/>
  <c r="AA111" i="17"/>
  <c r="AA112" i="17" s="1"/>
  <c r="N111" i="17"/>
  <c r="N112" i="17" s="1"/>
  <c r="BD111" i="17"/>
  <c r="BD112" i="17" s="1"/>
  <c r="AO111" i="17"/>
  <c r="AO112" i="17" s="1"/>
  <c r="Z111" i="17"/>
  <c r="Z112" i="17" s="1"/>
  <c r="M111" i="17"/>
  <c r="M112" i="17" s="1"/>
  <c r="BB111" i="17"/>
  <c r="BB112" i="17" s="1"/>
  <c r="AM111" i="17"/>
  <c r="AM112" i="17" s="1"/>
  <c r="Y111" i="17"/>
  <c r="Y112" i="17" s="1"/>
  <c r="L111" i="17"/>
  <c r="L112" i="17" s="1"/>
  <c r="BA111" i="17"/>
  <c r="BA112" i="17" s="1"/>
  <c r="AL111" i="17"/>
  <c r="AL112" i="17" s="1"/>
  <c r="X111" i="17"/>
  <c r="X112" i="17" s="1"/>
  <c r="K111" i="17"/>
  <c r="K112" i="17" s="1"/>
  <c r="AY111" i="17"/>
  <c r="AY112" i="17" s="1"/>
  <c r="AK111" i="17"/>
  <c r="AK112" i="17" s="1"/>
  <c r="W111" i="17"/>
  <c r="W112" i="17" s="1"/>
  <c r="J111" i="17"/>
  <c r="J112" i="17" s="1"/>
  <c r="AX111" i="17"/>
  <c r="AX112" i="17" s="1"/>
  <c r="AJ111" i="17"/>
  <c r="AJ112" i="17" s="1"/>
  <c r="V111" i="17"/>
  <c r="V112" i="17" s="1"/>
  <c r="I111" i="17"/>
  <c r="I112" i="17" s="1"/>
  <c r="BK111" i="17"/>
  <c r="BK112" i="17" s="1"/>
  <c r="AW111" i="17"/>
  <c r="AW112" i="17" s="1"/>
  <c r="AI111" i="17"/>
  <c r="AI112" i="17" s="1"/>
  <c r="U111" i="17"/>
  <c r="U112" i="17" s="1"/>
  <c r="H111" i="17"/>
  <c r="H112" i="17" s="1"/>
  <c r="BJ111" i="17"/>
  <c r="BJ112" i="17" s="1"/>
  <c r="AV111" i="17"/>
  <c r="AV112" i="17" s="1"/>
  <c r="AH111" i="17"/>
  <c r="AH112" i="17" s="1"/>
  <c r="T111" i="17"/>
  <c r="T112" i="17" s="1"/>
  <c r="G111" i="17"/>
  <c r="G112" i="17" s="1"/>
  <c r="BI111" i="17"/>
  <c r="BI112" i="17" s="1"/>
  <c r="R111" i="17"/>
  <c r="R112" i="17" s="1"/>
  <c r="BH111" i="17"/>
  <c r="BH112" i="17" s="1"/>
  <c r="Q111" i="17"/>
  <c r="Q112" i="17" s="1"/>
  <c r="BG111" i="17"/>
  <c r="BG112" i="17" s="1"/>
  <c r="P111" i="17"/>
  <c r="P112" i="17" s="1"/>
  <c r="BF111" i="17"/>
  <c r="BF112" i="17" s="1"/>
  <c r="O111" i="17"/>
  <c r="O112" i="17" s="1"/>
  <c r="AU111" i="17"/>
  <c r="AU112" i="17" s="1"/>
  <c r="F111" i="17"/>
  <c r="F112" i="17" s="1"/>
  <c r="AT111" i="17"/>
  <c r="AT112" i="17" s="1"/>
  <c r="E111" i="17"/>
  <c r="E112" i="17" s="1"/>
  <c r="AS111" i="17"/>
  <c r="AS112" i="17" s="1"/>
  <c r="D111" i="17"/>
  <c r="AR111" i="17"/>
  <c r="AR112" i="17" s="1"/>
  <c r="AG111" i="17"/>
  <c r="AG112" i="17" s="1"/>
  <c r="AF111" i="17"/>
  <c r="AF112" i="17" s="1"/>
  <c r="AD111" i="17"/>
  <c r="AD112" i="17" s="1"/>
  <c r="AC111" i="17"/>
  <c r="AC112" i="17" s="1"/>
  <c r="BE84" i="15"/>
  <c r="BE85" i="15" s="1"/>
  <c r="AS84" i="15"/>
  <c r="AS85" i="15" s="1"/>
  <c r="AG84" i="15"/>
  <c r="AG85" i="15" s="1"/>
  <c r="U84" i="15"/>
  <c r="U85" i="15" s="1"/>
  <c r="I84" i="15"/>
  <c r="I85" i="15" s="1"/>
  <c r="BD84" i="15"/>
  <c r="BD85" i="15" s="1"/>
  <c r="AR84" i="15"/>
  <c r="AR85" i="15" s="1"/>
  <c r="AF84" i="15"/>
  <c r="AF85" i="15" s="1"/>
  <c r="T84" i="15"/>
  <c r="T85" i="15" s="1"/>
  <c r="H84" i="15"/>
  <c r="H85" i="15" s="1"/>
  <c r="BC84" i="15"/>
  <c r="BC85" i="15" s="1"/>
  <c r="AQ84" i="15"/>
  <c r="AQ85" i="15" s="1"/>
  <c r="AE84" i="15"/>
  <c r="AE85" i="15" s="1"/>
  <c r="S84" i="15"/>
  <c r="S85" i="15" s="1"/>
  <c r="G84" i="15"/>
  <c r="G85" i="15" s="1"/>
  <c r="BB84" i="15"/>
  <c r="BB85" i="15" s="1"/>
  <c r="AP84" i="15"/>
  <c r="AP85" i="15" s="1"/>
  <c r="AD84" i="15"/>
  <c r="AD85" i="15" s="1"/>
  <c r="R84" i="15"/>
  <c r="R85" i="15" s="1"/>
  <c r="F84" i="15"/>
  <c r="F85" i="15" s="1"/>
  <c r="BA84" i="15"/>
  <c r="BA85" i="15" s="1"/>
  <c r="AO84" i="15"/>
  <c r="AO85" i="15" s="1"/>
  <c r="AC84" i="15"/>
  <c r="AC85" i="15" s="1"/>
  <c r="Q84" i="15"/>
  <c r="Q85" i="15" s="1"/>
  <c r="E84" i="15"/>
  <c r="E85" i="15" s="1"/>
  <c r="BL84" i="15"/>
  <c r="BL85" i="15" s="1"/>
  <c r="AZ84" i="15"/>
  <c r="AZ85" i="15" s="1"/>
  <c r="AN84" i="15"/>
  <c r="AN85" i="15" s="1"/>
  <c r="AB84" i="15"/>
  <c r="AB85" i="15" s="1"/>
  <c r="P84" i="15"/>
  <c r="P85" i="15" s="1"/>
  <c r="D84" i="15"/>
  <c r="BK84" i="15"/>
  <c r="BK85" i="15" s="1"/>
  <c r="AY84" i="15"/>
  <c r="AY85" i="15" s="1"/>
  <c r="AM84" i="15"/>
  <c r="AM85" i="15" s="1"/>
  <c r="AA84" i="15"/>
  <c r="AA85" i="15" s="1"/>
  <c r="O84" i="15"/>
  <c r="O85" i="15" s="1"/>
  <c r="BJ84" i="15"/>
  <c r="BJ85" i="15" s="1"/>
  <c r="AX84" i="15"/>
  <c r="AX85" i="15" s="1"/>
  <c r="AL84" i="15"/>
  <c r="AL85" i="15" s="1"/>
  <c r="Z84" i="15"/>
  <c r="Z85" i="15" s="1"/>
  <c r="N84" i="15"/>
  <c r="N85" i="15" s="1"/>
  <c r="BI84" i="15"/>
  <c r="BI85" i="15" s="1"/>
  <c r="AW84" i="15"/>
  <c r="AW85" i="15" s="1"/>
  <c r="AK84" i="15"/>
  <c r="AK85" i="15" s="1"/>
  <c r="Y84" i="15"/>
  <c r="Y85" i="15" s="1"/>
  <c r="M84" i="15"/>
  <c r="M85" i="15" s="1"/>
  <c r="BH84" i="15"/>
  <c r="BH85" i="15" s="1"/>
  <c r="AV84" i="15"/>
  <c r="AV85" i="15" s="1"/>
  <c r="AJ84" i="15"/>
  <c r="AJ85" i="15" s="1"/>
  <c r="X84" i="15"/>
  <c r="X85" i="15" s="1"/>
  <c r="L84" i="15"/>
  <c r="L85" i="15" s="1"/>
  <c r="BG84" i="15"/>
  <c r="BG85" i="15" s="1"/>
  <c r="BF84" i="15"/>
  <c r="BF85" i="15" s="1"/>
  <c r="AU84" i="15"/>
  <c r="AU85" i="15" s="1"/>
  <c r="AT84" i="15"/>
  <c r="AT85" i="15" s="1"/>
  <c r="AI84" i="15"/>
  <c r="AI85" i="15" s="1"/>
  <c r="AH84" i="15"/>
  <c r="AH85" i="15" s="1"/>
  <c r="W84" i="15"/>
  <c r="W85" i="15" s="1"/>
  <c r="V84" i="15"/>
  <c r="V85" i="15" s="1"/>
  <c r="K84" i="15"/>
  <c r="K85" i="15" s="1"/>
  <c r="J84" i="15"/>
  <c r="J85" i="15" s="1"/>
  <c r="K16" i="11"/>
  <c r="I29" i="14"/>
  <c r="K29" i="14" s="1"/>
  <c r="L29" i="14" s="1"/>
  <c r="H167" i="16"/>
  <c r="J56" i="9" s="1"/>
  <c r="D56" i="9"/>
  <c r="BD138" i="16"/>
  <c r="BD139" i="16" s="1"/>
  <c r="AR138" i="16"/>
  <c r="AR139" i="16" s="1"/>
  <c r="AF138" i="16"/>
  <c r="AF139" i="16" s="1"/>
  <c r="T138" i="16"/>
  <c r="T139" i="16" s="1"/>
  <c r="H138" i="16"/>
  <c r="H139" i="16" s="1"/>
  <c r="BC138" i="16"/>
  <c r="BC139" i="16" s="1"/>
  <c r="AQ138" i="16"/>
  <c r="AQ139" i="16" s="1"/>
  <c r="AE138" i="16"/>
  <c r="AE139" i="16" s="1"/>
  <c r="S138" i="16"/>
  <c r="S139" i="16" s="1"/>
  <c r="G138" i="16"/>
  <c r="G139" i="16" s="1"/>
  <c r="BB138" i="16"/>
  <c r="BB139" i="16" s="1"/>
  <c r="AP138" i="16"/>
  <c r="AP139" i="16" s="1"/>
  <c r="AD138" i="16"/>
  <c r="AD139" i="16" s="1"/>
  <c r="R138" i="16"/>
  <c r="R139" i="16" s="1"/>
  <c r="F138" i="16"/>
  <c r="F139" i="16" s="1"/>
  <c r="BA138" i="16"/>
  <c r="BA139" i="16" s="1"/>
  <c r="AO138" i="16"/>
  <c r="AO139" i="16" s="1"/>
  <c r="AC138" i="16"/>
  <c r="AC139" i="16" s="1"/>
  <c r="Q138" i="16"/>
  <c r="Q139" i="16" s="1"/>
  <c r="E138" i="16"/>
  <c r="E139" i="16" s="1"/>
  <c r="BL138" i="16"/>
  <c r="BL139" i="16" s="1"/>
  <c r="AZ138" i="16"/>
  <c r="AZ139" i="16" s="1"/>
  <c r="AN138" i="16"/>
  <c r="AN139" i="16" s="1"/>
  <c r="AB138" i="16"/>
  <c r="AB139" i="16" s="1"/>
  <c r="P138" i="16"/>
  <c r="P139" i="16" s="1"/>
  <c r="D138" i="16"/>
  <c r="AY138" i="16"/>
  <c r="AY139" i="16" s="1"/>
  <c r="AH138" i="16"/>
  <c r="AH139" i="16" s="1"/>
  <c r="L138" i="16"/>
  <c r="L139" i="16" s="1"/>
  <c r="AX138" i="16"/>
  <c r="AX139" i="16" s="1"/>
  <c r="AG138" i="16"/>
  <c r="AG139" i="16" s="1"/>
  <c r="K138" i="16"/>
  <c r="K139" i="16" s="1"/>
  <c r="AW138" i="16"/>
  <c r="AW139" i="16" s="1"/>
  <c r="AA138" i="16"/>
  <c r="AA139" i="16" s="1"/>
  <c r="J138" i="16"/>
  <c r="J139" i="16" s="1"/>
  <c r="AV138" i="16"/>
  <c r="AV139" i="16" s="1"/>
  <c r="Z138" i="16"/>
  <c r="Z139" i="16" s="1"/>
  <c r="I138" i="16"/>
  <c r="I139" i="16" s="1"/>
  <c r="AU138" i="16"/>
  <c r="AU139" i="16" s="1"/>
  <c r="Y138" i="16"/>
  <c r="Y139" i="16" s="1"/>
  <c r="BK138" i="16"/>
  <c r="BK139" i="16" s="1"/>
  <c r="AT138" i="16"/>
  <c r="AT139" i="16" s="1"/>
  <c r="X138" i="16"/>
  <c r="X139" i="16" s="1"/>
  <c r="BJ138" i="16"/>
  <c r="BJ139" i="16" s="1"/>
  <c r="AS138" i="16"/>
  <c r="AS139" i="16" s="1"/>
  <c r="W138" i="16"/>
  <c r="W139" i="16" s="1"/>
  <c r="BI138" i="16"/>
  <c r="BI139" i="16" s="1"/>
  <c r="AM138" i="16"/>
  <c r="AM139" i="16" s="1"/>
  <c r="V138" i="16"/>
  <c r="V139" i="16" s="1"/>
  <c r="BH138" i="16"/>
  <c r="BH139" i="16" s="1"/>
  <c r="AL138" i="16"/>
  <c r="AL139" i="16" s="1"/>
  <c r="U138" i="16"/>
  <c r="U139" i="16" s="1"/>
  <c r="BG138" i="16"/>
  <c r="BG139" i="16" s="1"/>
  <c r="AK138" i="16"/>
  <c r="AK139" i="16" s="1"/>
  <c r="O138" i="16"/>
  <c r="O139" i="16" s="1"/>
  <c r="AI138" i="16"/>
  <c r="AI139" i="16" s="1"/>
  <c r="N138" i="16"/>
  <c r="N139" i="16" s="1"/>
  <c r="M138" i="16"/>
  <c r="M139" i="16" s="1"/>
  <c r="BF138" i="16"/>
  <c r="BF139" i="16" s="1"/>
  <c r="BE138" i="16"/>
  <c r="BE139" i="16" s="1"/>
  <c r="AJ138" i="16"/>
  <c r="AJ139" i="16" s="1"/>
  <c r="I22" i="14"/>
  <c r="K22" i="14" s="1"/>
  <c r="L22" i="14" s="1"/>
  <c r="K33" i="14"/>
  <c r="L33" i="14" s="1"/>
  <c r="E5" i="12"/>
  <c r="F5" i="12" s="1"/>
  <c r="E57" i="9"/>
  <c r="BL178" i="16"/>
  <c r="BL179" i="16" s="1"/>
  <c r="C179" i="16" s="1"/>
  <c r="BK179" i="16"/>
  <c r="BL178" i="17"/>
  <c r="BL179" i="17" s="1"/>
  <c r="BK179" i="17"/>
  <c r="K13" i="11"/>
  <c r="I27" i="14"/>
  <c r="K27" i="14" s="1"/>
  <c r="L27" i="14" s="1"/>
  <c r="E7" i="12"/>
  <c r="F7" i="12" s="1"/>
  <c r="G57" i="9"/>
  <c r="BL30" i="15"/>
  <c r="BL31" i="15" s="1"/>
  <c r="AZ30" i="15"/>
  <c r="AZ31" i="15" s="1"/>
  <c r="AN30" i="15"/>
  <c r="AN31" i="15" s="1"/>
  <c r="AB30" i="15"/>
  <c r="AB31" i="15" s="1"/>
  <c r="P30" i="15"/>
  <c r="P31" i="15" s="1"/>
  <c r="D30" i="15"/>
  <c r="BK30" i="15"/>
  <c r="BK31" i="15" s="1"/>
  <c r="AY30" i="15"/>
  <c r="AY31" i="15" s="1"/>
  <c r="AM30" i="15"/>
  <c r="AM31" i="15" s="1"/>
  <c r="AA30" i="15"/>
  <c r="AA31" i="15" s="1"/>
  <c r="O30" i="15"/>
  <c r="O31" i="15" s="1"/>
  <c r="BJ30" i="15"/>
  <c r="BJ31" i="15" s="1"/>
  <c r="AX30" i="15"/>
  <c r="AX31" i="15" s="1"/>
  <c r="AL30" i="15"/>
  <c r="AL31" i="15" s="1"/>
  <c r="Z30" i="15"/>
  <c r="Z31" i="15" s="1"/>
  <c r="N30" i="15"/>
  <c r="N31" i="15" s="1"/>
  <c r="BI30" i="15"/>
  <c r="BI31" i="15" s="1"/>
  <c r="AW30" i="15"/>
  <c r="AW31" i="15" s="1"/>
  <c r="AK30" i="15"/>
  <c r="AK31" i="15" s="1"/>
  <c r="Y30" i="15"/>
  <c r="Y31" i="15" s="1"/>
  <c r="M30" i="15"/>
  <c r="M31" i="15" s="1"/>
  <c r="BH30" i="15"/>
  <c r="BH31" i="15" s="1"/>
  <c r="AV30" i="15"/>
  <c r="AV31" i="15" s="1"/>
  <c r="AJ30" i="15"/>
  <c r="AJ31" i="15" s="1"/>
  <c r="X30" i="15"/>
  <c r="X31" i="15" s="1"/>
  <c r="L30" i="15"/>
  <c r="L31" i="15" s="1"/>
  <c r="BF30" i="15"/>
  <c r="BF31" i="15" s="1"/>
  <c r="AT30" i="15"/>
  <c r="AT31" i="15" s="1"/>
  <c r="AH30" i="15"/>
  <c r="AH31" i="15" s="1"/>
  <c r="V30" i="15"/>
  <c r="V31" i="15" s="1"/>
  <c r="J30" i="15"/>
  <c r="J31" i="15" s="1"/>
  <c r="AO30" i="15"/>
  <c r="AO31" i="15" s="1"/>
  <c r="Q30" i="15"/>
  <c r="Q31" i="15" s="1"/>
  <c r="BG30" i="15"/>
  <c r="BG31" i="15" s="1"/>
  <c r="AI30" i="15"/>
  <c r="AI31" i="15" s="1"/>
  <c r="K30" i="15"/>
  <c r="K31" i="15" s="1"/>
  <c r="BE30" i="15"/>
  <c r="BE31" i="15" s="1"/>
  <c r="AG30" i="15"/>
  <c r="AG31" i="15" s="1"/>
  <c r="I30" i="15"/>
  <c r="I31" i="15" s="1"/>
  <c r="BD30" i="15"/>
  <c r="BD31" i="15" s="1"/>
  <c r="AF30" i="15"/>
  <c r="AF31" i="15" s="1"/>
  <c r="H30" i="15"/>
  <c r="H31" i="15" s="1"/>
  <c r="BC30" i="15"/>
  <c r="BC31" i="15" s="1"/>
  <c r="AE30" i="15"/>
  <c r="AE31" i="15" s="1"/>
  <c r="G30" i="15"/>
  <c r="G31" i="15" s="1"/>
  <c r="BB30" i="15"/>
  <c r="BB31" i="15" s="1"/>
  <c r="AD30" i="15"/>
  <c r="AD31" i="15" s="1"/>
  <c r="F30" i="15"/>
  <c r="F31" i="15" s="1"/>
  <c r="BA30" i="15"/>
  <c r="BA31" i="15" s="1"/>
  <c r="AC30" i="15"/>
  <c r="AC31" i="15" s="1"/>
  <c r="E30" i="15"/>
  <c r="E31" i="15" s="1"/>
  <c r="AU30" i="15"/>
  <c r="AU31" i="15" s="1"/>
  <c r="W30" i="15"/>
  <c r="W31" i="15" s="1"/>
  <c r="AS30" i="15"/>
  <c r="AS31" i="15" s="1"/>
  <c r="U30" i="15"/>
  <c r="U31" i="15" s="1"/>
  <c r="AR30" i="15"/>
  <c r="AR31" i="15" s="1"/>
  <c r="T30" i="15"/>
  <c r="T31" i="15" s="1"/>
  <c r="AQ30" i="15"/>
  <c r="AQ31" i="15" s="1"/>
  <c r="S30" i="15"/>
  <c r="S31" i="15" s="1"/>
  <c r="AP30" i="15"/>
  <c r="AP31" i="15" s="1"/>
  <c r="R30" i="15"/>
  <c r="R31" i="15" s="1"/>
  <c r="BK30" i="17"/>
  <c r="BK31" i="17" s="1"/>
  <c r="AY30" i="17"/>
  <c r="AY31" i="17" s="1"/>
  <c r="AM30" i="17"/>
  <c r="AM31" i="17" s="1"/>
  <c r="BJ30" i="17"/>
  <c r="BJ31" i="17" s="1"/>
  <c r="AX30" i="17"/>
  <c r="AX31" i="17" s="1"/>
  <c r="AL30" i="17"/>
  <c r="AL31" i="17" s="1"/>
  <c r="Z30" i="17"/>
  <c r="Z31" i="17" s="1"/>
  <c r="N30" i="17"/>
  <c r="N31" i="17" s="1"/>
  <c r="BI30" i="17"/>
  <c r="BI31" i="17" s="1"/>
  <c r="AW30" i="17"/>
  <c r="AW31" i="17" s="1"/>
  <c r="AK30" i="17"/>
  <c r="AK31" i="17" s="1"/>
  <c r="AV30" i="17"/>
  <c r="AV31" i="17" s="1"/>
  <c r="AG30" i="17"/>
  <c r="AG31" i="17" s="1"/>
  <c r="T30" i="17"/>
  <c r="T31" i="17" s="1"/>
  <c r="G30" i="17"/>
  <c r="G31" i="17" s="1"/>
  <c r="AU30" i="17"/>
  <c r="AU31" i="17" s="1"/>
  <c r="AF30" i="17"/>
  <c r="AF31" i="17" s="1"/>
  <c r="S30" i="17"/>
  <c r="S31" i="17" s="1"/>
  <c r="F30" i="17"/>
  <c r="F31" i="17" s="1"/>
  <c r="BL30" i="17"/>
  <c r="BL31" i="17" s="1"/>
  <c r="AT30" i="17"/>
  <c r="AT31" i="17" s="1"/>
  <c r="AE30" i="17"/>
  <c r="AE31" i="17" s="1"/>
  <c r="R30" i="17"/>
  <c r="R31" i="17" s="1"/>
  <c r="E30" i="17"/>
  <c r="E31" i="17" s="1"/>
  <c r="BH30" i="17"/>
  <c r="BH31" i="17" s="1"/>
  <c r="AS30" i="17"/>
  <c r="AS31" i="17" s="1"/>
  <c r="AD30" i="17"/>
  <c r="AD31" i="17" s="1"/>
  <c r="Q30" i="17"/>
  <c r="Q31" i="17" s="1"/>
  <c r="D30" i="17"/>
  <c r="BG30" i="17"/>
  <c r="BG31" i="17" s="1"/>
  <c r="AR30" i="17"/>
  <c r="AR31" i="17" s="1"/>
  <c r="AC30" i="17"/>
  <c r="AC31" i="17" s="1"/>
  <c r="P30" i="17"/>
  <c r="P31" i="17" s="1"/>
  <c r="BF30" i="17"/>
  <c r="BF31" i="17" s="1"/>
  <c r="AQ30" i="17"/>
  <c r="AQ31" i="17" s="1"/>
  <c r="AB30" i="17"/>
  <c r="AB31" i="17" s="1"/>
  <c r="O30" i="17"/>
  <c r="O31" i="17" s="1"/>
  <c r="BE30" i="17"/>
  <c r="BE31" i="17" s="1"/>
  <c r="AP30" i="17"/>
  <c r="AP31" i="17" s="1"/>
  <c r="AA30" i="17"/>
  <c r="AA31" i="17" s="1"/>
  <c r="M30" i="17"/>
  <c r="M31" i="17" s="1"/>
  <c r="BD30" i="17"/>
  <c r="BD31" i="17" s="1"/>
  <c r="AO30" i="17"/>
  <c r="AO31" i="17" s="1"/>
  <c r="Y30" i="17"/>
  <c r="Y31" i="17" s="1"/>
  <c r="L30" i="17"/>
  <c r="L31" i="17" s="1"/>
  <c r="BC30" i="17"/>
  <c r="BC31" i="17" s="1"/>
  <c r="AN30" i="17"/>
  <c r="AN31" i="17" s="1"/>
  <c r="X30" i="17"/>
  <c r="X31" i="17" s="1"/>
  <c r="K30" i="17"/>
  <c r="K31" i="17" s="1"/>
  <c r="BB30" i="17"/>
  <c r="BB31" i="17" s="1"/>
  <c r="AJ30" i="17"/>
  <c r="AJ31" i="17" s="1"/>
  <c r="W30" i="17"/>
  <c r="W31" i="17" s="1"/>
  <c r="J30" i="17"/>
  <c r="J31" i="17" s="1"/>
  <c r="H30" i="17"/>
  <c r="H31" i="17" s="1"/>
  <c r="BA30" i="17"/>
  <c r="BA31" i="17" s="1"/>
  <c r="AZ30" i="17"/>
  <c r="AZ31" i="17" s="1"/>
  <c r="AI30" i="17"/>
  <c r="AI31" i="17" s="1"/>
  <c r="AH30" i="17"/>
  <c r="AH31" i="17" s="1"/>
  <c r="V30" i="17"/>
  <c r="V31" i="17" s="1"/>
  <c r="U30" i="17"/>
  <c r="U31" i="17" s="1"/>
  <c r="I30" i="17"/>
  <c r="I31" i="17" s="1"/>
  <c r="I26" i="14"/>
  <c r="K26" i="14" s="1"/>
  <c r="L26" i="14" s="1"/>
  <c r="K30" i="14"/>
  <c r="L30" i="14" s="1"/>
  <c r="E8" i="12"/>
  <c r="F8" i="12" s="1"/>
  <c r="H57" i="9"/>
  <c r="K25" i="14"/>
  <c r="L25" i="14" s="1"/>
  <c r="D10" i="12"/>
  <c r="I28" i="14"/>
  <c r="K28" i="14" s="1"/>
  <c r="L28" i="14" s="1"/>
  <c r="C9" i="14"/>
  <c r="B169" i="16"/>
  <c r="K15" i="11"/>
  <c r="E6" i="12"/>
  <c r="F6" i="12" s="1"/>
  <c r="F57" i="9"/>
  <c r="J39" i="9"/>
  <c r="H27" i="2" s="1"/>
  <c r="D43" i="9"/>
  <c r="B38" i="2" s="1"/>
  <c r="J33" i="9"/>
  <c r="C169" i="16"/>
  <c r="H167" i="15"/>
  <c r="H167" i="17"/>
  <c r="BG111" i="16"/>
  <c r="BG112" i="16" s="1"/>
  <c r="AU111" i="16"/>
  <c r="AU112" i="16" s="1"/>
  <c r="AI111" i="16"/>
  <c r="AI112" i="16" s="1"/>
  <c r="W111" i="16"/>
  <c r="W112" i="16" s="1"/>
  <c r="K111" i="16"/>
  <c r="K112" i="16" s="1"/>
  <c r="BF111" i="16"/>
  <c r="BF112" i="16" s="1"/>
  <c r="AT111" i="16"/>
  <c r="AT112" i="16" s="1"/>
  <c r="AH111" i="16"/>
  <c r="AH112" i="16" s="1"/>
  <c r="V111" i="16"/>
  <c r="V112" i="16" s="1"/>
  <c r="J111" i="16"/>
  <c r="J112" i="16" s="1"/>
  <c r="BE111" i="16"/>
  <c r="BE112" i="16" s="1"/>
  <c r="AS111" i="16"/>
  <c r="AS112" i="16" s="1"/>
  <c r="AG111" i="16"/>
  <c r="AG112" i="16" s="1"/>
  <c r="U111" i="16"/>
  <c r="U112" i="16" s="1"/>
  <c r="I111" i="16"/>
  <c r="I112" i="16" s="1"/>
  <c r="BD111" i="16"/>
  <c r="BD112" i="16" s="1"/>
  <c r="AR111" i="16"/>
  <c r="AR112" i="16" s="1"/>
  <c r="AF111" i="16"/>
  <c r="AF112" i="16" s="1"/>
  <c r="T111" i="16"/>
  <c r="T112" i="16" s="1"/>
  <c r="H111" i="16"/>
  <c r="H112" i="16" s="1"/>
  <c r="BC111" i="16"/>
  <c r="BC112" i="16" s="1"/>
  <c r="AQ111" i="16"/>
  <c r="AQ112" i="16" s="1"/>
  <c r="AE111" i="16"/>
  <c r="AE112" i="16" s="1"/>
  <c r="S111" i="16"/>
  <c r="S112" i="16" s="1"/>
  <c r="G111" i="16"/>
  <c r="G112" i="16" s="1"/>
  <c r="BB111" i="16"/>
  <c r="BB112" i="16" s="1"/>
  <c r="AP111" i="16"/>
  <c r="AP112" i="16" s="1"/>
  <c r="AD111" i="16"/>
  <c r="AD112" i="16" s="1"/>
  <c r="R111" i="16"/>
  <c r="R112" i="16" s="1"/>
  <c r="F111" i="16"/>
  <c r="F112" i="16" s="1"/>
  <c r="BA111" i="16"/>
  <c r="BA112" i="16" s="1"/>
  <c r="AO111" i="16"/>
  <c r="AO112" i="16" s="1"/>
  <c r="AC111" i="16"/>
  <c r="AC112" i="16" s="1"/>
  <c r="Q111" i="16"/>
  <c r="Q112" i="16" s="1"/>
  <c r="E111" i="16"/>
  <c r="E112" i="16" s="1"/>
  <c r="BL111" i="16"/>
  <c r="BL112" i="16" s="1"/>
  <c r="AZ111" i="16"/>
  <c r="AZ112" i="16" s="1"/>
  <c r="AN111" i="16"/>
  <c r="AN112" i="16" s="1"/>
  <c r="AB111" i="16"/>
  <c r="AB112" i="16" s="1"/>
  <c r="P111" i="16"/>
  <c r="P112" i="16" s="1"/>
  <c r="D111" i="16"/>
  <c r="BK111" i="16"/>
  <c r="BK112" i="16" s="1"/>
  <c r="AY111" i="16"/>
  <c r="AY112" i="16" s="1"/>
  <c r="AM111" i="16"/>
  <c r="AM112" i="16" s="1"/>
  <c r="AA111" i="16"/>
  <c r="AA112" i="16" s="1"/>
  <c r="O111" i="16"/>
  <c r="O112" i="16" s="1"/>
  <c r="BJ111" i="16"/>
  <c r="BJ112" i="16" s="1"/>
  <c r="AX111" i="16"/>
  <c r="AX112" i="16" s="1"/>
  <c r="AL111" i="16"/>
  <c r="AL112" i="16" s="1"/>
  <c r="Z111" i="16"/>
  <c r="Z112" i="16" s="1"/>
  <c r="N111" i="16"/>
  <c r="N112" i="16" s="1"/>
  <c r="X111" i="16"/>
  <c r="X112" i="16" s="1"/>
  <c r="M111" i="16"/>
  <c r="M112" i="16" s="1"/>
  <c r="L111" i="16"/>
  <c r="L112" i="16" s="1"/>
  <c r="BI111" i="16"/>
  <c r="BI112" i="16" s="1"/>
  <c r="BH111" i="16"/>
  <c r="BH112" i="16" s="1"/>
  <c r="AW111" i="16"/>
  <c r="AW112" i="16" s="1"/>
  <c r="AK111" i="16"/>
  <c r="AK112" i="16" s="1"/>
  <c r="AV111" i="16"/>
  <c r="AV112" i="16" s="1"/>
  <c r="AJ111" i="16"/>
  <c r="AJ112" i="16" s="1"/>
  <c r="Y111" i="16"/>
  <c r="Y112" i="16" s="1"/>
  <c r="D169" i="16"/>
  <c r="K14" i="11"/>
  <c r="C30" i="17" l="1"/>
  <c r="D31" i="17"/>
  <c r="C179" i="17"/>
  <c r="D12" i="10" s="1"/>
  <c r="C57" i="17"/>
  <c r="D58" i="17"/>
  <c r="C30" i="15"/>
  <c r="D31" i="15"/>
  <c r="C12" i="10"/>
  <c r="J59" i="9"/>
  <c r="B17" i="2" s="1"/>
  <c r="C138" i="15"/>
  <c r="D139" i="15"/>
  <c r="D33" i="2"/>
  <c r="F60" i="9"/>
  <c r="E33" i="2" s="1"/>
  <c r="F58" i="9"/>
  <c r="H33" i="2" s="1"/>
  <c r="D32" i="2"/>
  <c r="E61" i="9"/>
  <c r="F32" i="2" s="1"/>
  <c r="E58" i="9"/>
  <c r="H32" i="2" s="1"/>
  <c r="E60" i="9"/>
  <c r="E32" i="2" s="1"/>
  <c r="C111" i="15"/>
  <c r="D112" i="15"/>
  <c r="D35" i="2"/>
  <c r="H61" i="9"/>
  <c r="F35" i="2" s="1"/>
  <c r="H58" i="9"/>
  <c r="H35" i="2" s="1"/>
  <c r="H60" i="9"/>
  <c r="E35" i="2" s="1"/>
  <c r="D34" i="2"/>
  <c r="G61" i="9"/>
  <c r="F34" i="2" s="1"/>
  <c r="G58" i="9"/>
  <c r="H34" i="2" s="1"/>
  <c r="G60" i="9"/>
  <c r="E34" i="2" s="1"/>
  <c r="BL84" i="16"/>
  <c r="BL85" i="16" s="1"/>
  <c r="AZ84" i="16"/>
  <c r="AZ85" i="16" s="1"/>
  <c r="AN84" i="16"/>
  <c r="AN85" i="16" s="1"/>
  <c r="AB84" i="16"/>
  <c r="AB85" i="16" s="1"/>
  <c r="P84" i="16"/>
  <c r="P85" i="16" s="1"/>
  <c r="D84" i="16"/>
  <c r="BK84" i="16"/>
  <c r="BK85" i="16" s="1"/>
  <c r="AY84" i="16"/>
  <c r="AY85" i="16" s="1"/>
  <c r="AM84" i="16"/>
  <c r="AM85" i="16" s="1"/>
  <c r="AA84" i="16"/>
  <c r="AA85" i="16" s="1"/>
  <c r="O84" i="16"/>
  <c r="O85" i="16" s="1"/>
  <c r="BJ84" i="16"/>
  <c r="BJ85" i="16" s="1"/>
  <c r="AX84" i="16"/>
  <c r="AX85" i="16" s="1"/>
  <c r="AL84" i="16"/>
  <c r="AL85" i="16" s="1"/>
  <c r="Z84" i="16"/>
  <c r="Z85" i="16" s="1"/>
  <c r="N84" i="16"/>
  <c r="N85" i="16" s="1"/>
  <c r="BI84" i="16"/>
  <c r="BI85" i="16" s="1"/>
  <c r="AW84" i="16"/>
  <c r="AW85" i="16" s="1"/>
  <c r="AK84" i="16"/>
  <c r="AK85" i="16" s="1"/>
  <c r="Y84" i="16"/>
  <c r="Y85" i="16" s="1"/>
  <c r="M84" i="16"/>
  <c r="M85" i="16" s="1"/>
  <c r="BH84" i="16"/>
  <c r="BH85" i="16" s="1"/>
  <c r="AV84" i="16"/>
  <c r="AV85" i="16" s="1"/>
  <c r="AJ84" i="16"/>
  <c r="AJ85" i="16" s="1"/>
  <c r="X84" i="16"/>
  <c r="X85" i="16" s="1"/>
  <c r="L84" i="16"/>
  <c r="L85" i="16" s="1"/>
  <c r="BG84" i="16"/>
  <c r="BG85" i="16" s="1"/>
  <c r="AU84" i="16"/>
  <c r="AU85" i="16" s="1"/>
  <c r="AI84" i="16"/>
  <c r="AI85" i="16" s="1"/>
  <c r="W84" i="16"/>
  <c r="W85" i="16" s="1"/>
  <c r="K84" i="16"/>
  <c r="K85" i="16" s="1"/>
  <c r="BF84" i="16"/>
  <c r="BF85" i="16" s="1"/>
  <c r="AT84" i="16"/>
  <c r="AT85" i="16" s="1"/>
  <c r="AH84" i="16"/>
  <c r="AH85" i="16" s="1"/>
  <c r="V84" i="16"/>
  <c r="V85" i="16" s="1"/>
  <c r="J84" i="16"/>
  <c r="J85" i="16" s="1"/>
  <c r="BE84" i="16"/>
  <c r="BE85" i="16" s="1"/>
  <c r="AS84" i="16"/>
  <c r="AS85" i="16" s="1"/>
  <c r="AG84" i="16"/>
  <c r="AG85" i="16" s="1"/>
  <c r="U84" i="16"/>
  <c r="U85" i="16" s="1"/>
  <c r="I84" i="16"/>
  <c r="I85" i="16" s="1"/>
  <c r="BC84" i="16"/>
  <c r="BC85" i="16" s="1"/>
  <c r="AQ84" i="16"/>
  <c r="AQ85" i="16" s="1"/>
  <c r="AE84" i="16"/>
  <c r="AE85" i="16" s="1"/>
  <c r="S84" i="16"/>
  <c r="S85" i="16" s="1"/>
  <c r="G84" i="16"/>
  <c r="G85" i="16" s="1"/>
  <c r="AD84" i="16"/>
  <c r="AD85" i="16" s="1"/>
  <c r="AC84" i="16"/>
  <c r="AC85" i="16" s="1"/>
  <c r="T84" i="16"/>
  <c r="T85" i="16" s="1"/>
  <c r="R84" i="16"/>
  <c r="R85" i="16" s="1"/>
  <c r="Q84" i="16"/>
  <c r="Q85" i="16" s="1"/>
  <c r="BD84" i="16"/>
  <c r="BD85" i="16" s="1"/>
  <c r="H84" i="16"/>
  <c r="H85" i="16" s="1"/>
  <c r="BB84" i="16"/>
  <c r="BB85" i="16" s="1"/>
  <c r="F84" i="16"/>
  <c r="F85" i="16" s="1"/>
  <c r="BA84" i="16"/>
  <c r="BA85" i="16" s="1"/>
  <c r="E84" i="16"/>
  <c r="E85" i="16" s="1"/>
  <c r="AP84" i="16"/>
  <c r="AP85" i="16" s="1"/>
  <c r="AO84" i="16"/>
  <c r="AO85" i="16" s="1"/>
  <c r="AR84" i="16"/>
  <c r="AR85" i="16" s="1"/>
  <c r="AF84" i="16"/>
  <c r="AF85" i="16" s="1"/>
  <c r="BH30" i="16"/>
  <c r="BH31" i="16" s="1"/>
  <c r="AV30" i="16"/>
  <c r="AV31" i="16" s="1"/>
  <c r="AJ30" i="16"/>
  <c r="AJ31" i="16" s="1"/>
  <c r="X30" i="16"/>
  <c r="X31" i="16" s="1"/>
  <c r="L30" i="16"/>
  <c r="L31" i="16" s="1"/>
  <c r="BG30" i="16"/>
  <c r="BG31" i="16" s="1"/>
  <c r="AU30" i="16"/>
  <c r="AU31" i="16" s="1"/>
  <c r="AI30" i="16"/>
  <c r="AI31" i="16" s="1"/>
  <c r="W30" i="16"/>
  <c r="W31" i="16" s="1"/>
  <c r="K30" i="16"/>
  <c r="K31" i="16" s="1"/>
  <c r="BF30" i="16"/>
  <c r="BF31" i="16" s="1"/>
  <c r="AT30" i="16"/>
  <c r="AT31" i="16" s="1"/>
  <c r="AH30" i="16"/>
  <c r="AH31" i="16" s="1"/>
  <c r="V30" i="16"/>
  <c r="V31" i="16" s="1"/>
  <c r="J30" i="16"/>
  <c r="J31" i="16" s="1"/>
  <c r="BE30" i="16"/>
  <c r="BE31" i="16" s="1"/>
  <c r="AS30" i="16"/>
  <c r="AS31" i="16" s="1"/>
  <c r="AG30" i="16"/>
  <c r="AG31" i="16" s="1"/>
  <c r="U30" i="16"/>
  <c r="U31" i="16" s="1"/>
  <c r="I30" i="16"/>
  <c r="I31" i="16" s="1"/>
  <c r="BD30" i="16"/>
  <c r="BD31" i="16" s="1"/>
  <c r="AR30" i="16"/>
  <c r="AR31" i="16" s="1"/>
  <c r="AF30" i="16"/>
  <c r="AF31" i="16" s="1"/>
  <c r="T30" i="16"/>
  <c r="T31" i="16" s="1"/>
  <c r="H30" i="16"/>
  <c r="H31" i="16" s="1"/>
  <c r="BC30" i="16"/>
  <c r="BC31" i="16" s="1"/>
  <c r="AQ30" i="16"/>
  <c r="AQ31" i="16" s="1"/>
  <c r="AE30" i="16"/>
  <c r="AE31" i="16" s="1"/>
  <c r="S30" i="16"/>
  <c r="S31" i="16" s="1"/>
  <c r="G30" i="16"/>
  <c r="G31" i="16" s="1"/>
  <c r="BB30" i="16"/>
  <c r="BB31" i="16" s="1"/>
  <c r="AP30" i="16"/>
  <c r="AP31" i="16" s="1"/>
  <c r="AD30" i="16"/>
  <c r="AD31" i="16" s="1"/>
  <c r="R30" i="16"/>
  <c r="R31" i="16" s="1"/>
  <c r="F30" i="16"/>
  <c r="F31" i="16" s="1"/>
  <c r="BA30" i="16"/>
  <c r="BA31" i="16" s="1"/>
  <c r="AO30" i="16"/>
  <c r="AO31" i="16" s="1"/>
  <c r="AC30" i="16"/>
  <c r="AC31" i="16" s="1"/>
  <c r="Q30" i="16"/>
  <c r="Q31" i="16" s="1"/>
  <c r="E30" i="16"/>
  <c r="E31" i="16" s="1"/>
  <c r="BK30" i="16"/>
  <c r="BK31" i="16" s="1"/>
  <c r="AY30" i="16"/>
  <c r="AY31" i="16" s="1"/>
  <c r="AM30" i="16"/>
  <c r="AM31" i="16" s="1"/>
  <c r="AA30" i="16"/>
  <c r="AA31" i="16" s="1"/>
  <c r="O30" i="16"/>
  <c r="O31" i="16" s="1"/>
  <c r="Z30" i="16"/>
  <c r="Z31" i="16" s="1"/>
  <c r="Y30" i="16"/>
  <c r="Y31" i="16" s="1"/>
  <c r="BL30" i="16"/>
  <c r="BL31" i="16" s="1"/>
  <c r="P30" i="16"/>
  <c r="P31" i="16" s="1"/>
  <c r="BJ30" i="16"/>
  <c r="BJ31" i="16" s="1"/>
  <c r="N30" i="16"/>
  <c r="N31" i="16" s="1"/>
  <c r="BI30" i="16"/>
  <c r="BI31" i="16" s="1"/>
  <c r="M30" i="16"/>
  <c r="M31" i="16" s="1"/>
  <c r="AZ30" i="16"/>
  <c r="AZ31" i="16" s="1"/>
  <c r="D30" i="16"/>
  <c r="AX30" i="16"/>
  <c r="AX31" i="16" s="1"/>
  <c r="AW30" i="16"/>
  <c r="AW31" i="16" s="1"/>
  <c r="AN30" i="16"/>
  <c r="AN31" i="16" s="1"/>
  <c r="AL30" i="16"/>
  <c r="AL31" i="16" s="1"/>
  <c r="AK30" i="16"/>
  <c r="AK31" i="16" s="1"/>
  <c r="AB30" i="16"/>
  <c r="AB31" i="16" s="1"/>
  <c r="C4" i="14"/>
  <c r="C138" i="16"/>
  <c r="D139" i="16"/>
  <c r="C138" i="17"/>
  <c r="D139" i="17"/>
  <c r="C57" i="15"/>
  <c r="D58" i="15"/>
  <c r="C111" i="16"/>
  <c r="D112" i="16"/>
  <c r="BB57" i="16"/>
  <c r="BB58" i="16" s="1"/>
  <c r="AP57" i="16"/>
  <c r="AP58" i="16" s="1"/>
  <c r="AD57" i="16"/>
  <c r="AD58" i="16" s="1"/>
  <c r="R57" i="16"/>
  <c r="R58" i="16" s="1"/>
  <c r="F57" i="16"/>
  <c r="F58" i="16" s="1"/>
  <c r="BA57" i="16"/>
  <c r="BA58" i="16" s="1"/>
  <c r="AO57" i="16"/>
  <c r="AO58" i="16" s="1"/>
  <c r="AC57" i="16"/>
  <c r="AC58" i="16" s="1"/>
  <c r="Q57" i="16"/>
  <c r="Q58" i="16" s="1"/>
  <c r="E57" i="16"/>
  <c r="E58" i="16" s="1"/>
  <c r="BL57" i="16"/>
  <c r="BL58" i="16" s="1"/>
  <c r="AZ57" i="16"/>
  <c r="AZ58" i="16" s="1"/>
  <c r="AN57" i="16"/>
  <c r="AN58" i="16" s="1"/>
  <c r="AB57" i="16"/>
  <c r="AB58" i="16" s="1"/>
  <c r="P57" i="16"/>
  <c r="P58" i="16" s="1"/>
  <c r="D57" i="16"/>
  <c r="BK57" i="16"/>
  <c r="BK58" i="16" s="1"/>
  <c r="AY57" i="16"/>
  <c r="AY58" i="16" s="1"/>
  <c r="AM57" i="16"/>
  <c r="AM58" i="16" s="1"/>
  <c r="AA57" i="16"/>
  <c r="AA58" i="16" s="1"/>
  <c r="O57" i="16"/>
  <c r="O58" i="16" s="1"/>
  <c r="BJ57" i="16"/>
  <c r="BJ58" i="16" s="1"/>
  <c r="AX57" i="16"/>
  <c r="AX58" i="16" s="1"/>
  <c r="AL57" i="16"/>
  <c r="AL58" i="16" s="1"/>
  <c r="Z57" i="16"/>
  <c r="Z58" i="16" s="1"/>
  <c r="N57" i="16"/>
  <c r="N58" i="16" s="1"/>
  <c r="BI57" i="16"/>
  <c r="BI58" i="16" s="1"/>
  <c r="AW57" i="16"/>
  <c r="AW58" i="16" s="1"/>
  <c r="AK57" i="16"/>
  <c r="AK58" i="16" s="1"/>
  <c r="Y57" i="16"/>
  <c r="Y58" i="16" s="1"/>
  <c r="M57" i="16"/>
  <c r="M58" i="16" s="1"/>
  <c r="BH57" i="16"/>
  <c r="BH58" i="16" s="1"/>
  <c r="AV57" i="16"/>
  <c r="AV58" i="16" s="1"/>
  <c r="AJ57" i="16"/>
  <c r="AJ58" i="16" s="1"/>
  <c r="X57" i="16"/>
  <c r="X58" i="16" s="1"/>
  <c r="L57" i="16"/>
  <c r="L58" i="16" s="1"/>
  <c r="BG57" i="16"/>
  <c r="BG58" i="16" s="1"/>
  <c r="AU57" i="16"/>
  <c r="AU58" i="16" s="1"/>
  <c r="AI57" i="16"/>
  <c r="AI58" i="16" s="1"/>
  <c r="W57" i="16"/>
  <c r="W58" i="16" s="1"/>
  <c r="K57" i="16"/>
  <c r="K58" i="16" s="1"/>
  <c r="BE57" i="16"/>
  <c r="BE58" i="16" s="1"/>
  <c r="AS57" i="16"/>
  <c r="AS58" i="16" s="1"/>
  <c r="AG57" i="16"/>
  <c r="AG58" i="16" s="1"/>
  <c r="U57" i="16"/>
  <c r="U58" i="16" s="1"/>
  <c r="I57" i="16"/>
  <c r="I58" i="16" s="1"/>
  <c r="T57" i="16"/>
  <c r="T58" i="16" s="1"/>
  <c r="S57" i="16"/>
  <c r="S58" i="16" s="1"/>
  <c r="BF57" i="16"/>
  <c r="BF58" i="16" s="1"/>
  <c r="J57" i="16"/>
  <c r="J58" i="16" s="1"/>
  <c r="BD57" i="16"/>
  <c r="BD58" i="16" s="1"/>
  <c r="H57" i="16"/>
  <c r="H58" i="16" s="1"/>
  <c r="BC57" i="16"/>
  <c r="BC58" i="16" s="1"/>
  <c r="G57" i="16"/>
  <c r="G58" i="16" s="1"/>
  <c r="AT57" i="16"/>
  <c r="AT58" i="16" s="1"/>
  <c r="AR57" i="16"/>
  <c r="AR58" i="16" s="1"/>
  <c r="AQ57" i="16"/>
  <c r="AQ58" i="16" s="1"/>
  <c r="AF57" i="16"/>
  <c r="AF58" i="16" s="1"/>
  <c r="AH57" i="16"/>
  <c r="AH58" i="16" s="1"/>
  <c r="AE57" i="16"/>
  <c r="AE58" i="16" s="1"/>
  <c r="V57" i="16"/>
  <c r="V58" i="16" s="1"/>
  <c r="E4" i="12"/>
  <c r="D57" i="9"/>
  <c r="C84" i="15"/>
  <c r="D85" i="15"/>
  <c r="C111" i="17"/>
  <c r="D112" i="17"/>
  <c r="C84" i="17"/>
  <c r="D85" i="17"/>
  <c r="E43" i="9"/>
  <c r="E46" i="9"/>
  <c r="J57" i="9"/>
  <c r="E45" i="9"/>
  <c r="C6" i="14"/>
  <c r="E44" i="9"/>
  <c r="D140" i="17" l="1"/>
  <c r="E140" i="17" s="1"/>
  <c r="C139" i="17"/>
  <c r="D140" i="15"/>
  <c r="E140" i="15" s="1"/>
  <c r="C139" i="15"/>
  <c r="D140" i="16"/>
  <c r="E140" i="16" s="1"/>
  <c r="C139" i="16"/>
  <c r="D113" i="15"/>
  <c r="E113" i="15" s="1"/>
  <c r="C112" i="15"/>
  <c r="C31" i="15"/>
  <c r="D32" i="15"/>
  <c r="E32" i="15" s="1"/>
  <c r="C30" i="16"/>
  <c r="D31" i="16"/>
  <c r="D31" i="2"/>
  <c r="D61" i="9"/>
  <c r="F31" i="2" s="1"/>
  <c r="J61" i="9"/>
  <c r="B20" i="2" s="1"/>
  <c r="D58" i="9"/>
  <c r="H31" i="2" s="1"/>
  <c r="D60" i="9"/>
  <c r="E31" i="2" s="1"/>
  <c r="C57" i="16"/>
  <c r="D58" i="16"/>
  <c r="D59" i="17"/>
  <c r="E59" i="17" s="1"/>
  <c r="C58" i="17"/>
  <c r="D113" i="17"/>
  <c r="E113" i="17" s="1"/>
  <c r="C112" i="17"/>
  <c r="E10" i="12"/>
  <c r="F4" i="12"/>
  <c r="F10" i="12" s="1"/>
  <c r="D86" i="17"/>
  <c r="E86" i="17" s="1"/>
  <c r="C85" i="17"/>
  <c r="D113" i="16"/>
  <c r="E113" i="16" s="1"/>
  <c r="C112" i="16"/>
  <c r="D86" i="15"/>
  <c r="E86" i="15" s="1"/>
  <c r="C85" i="15"/>
  <c r="C131" i="13"/>
  <c r="C40" i="2"/>
  <c r="C31" i="17"/>
  <c r="D32" i="17"/>
  <c r="E32" i="17" s="1"/>
  <c r="C84" i="16"/>
  <c r="D85" i="16"/>
  <c r="C130" i="13"/>
  <c r="C39" i="2"/>
  <c r="B14" i="2"/>
  <c r="B5" i="11"/>
  <c r="B6" i="11" s="1"/>
  <c r="J60" i="9"/>
  <c r="B18" i="2" s="1"/>
  <c r="J58" i="9"/>
  <c r="B16" i="2" s="1"/>
  <c r="C132" i="13"/>
  <c r="C41" i="2"/>
  <c r="C129" i="13"/>
  <c r="E47" i="9"/>
  <c r="C10" i="14" s="1"/>
  <c r="C16" i="14" s="1"/>
  <c r="B49" i="2" s="1"/>
  <c r="C38" i="2"/>
  <c r="D59" i="15"/>
  <c r="E59" i="15" s="1"/>
  <c r="C58" i="15"/>
  <c r="F59" i="17" l="1"/>
  <c r="E60" i="17"/>
  <c r="F32" i="15"/>
  <c r="E33" i="15"/>
  <c r="F113" i="15"/>
  <c r="E114" i="15"/>
  <c r="F19" i="11"/>
  <c r="F16" i="11"/>
  <c r="E19" i="11"/>
  <c r="E16" i="11"/>
  <c r="F13" i="11"/>
  <c r="E13" i="11"/>
  <c r="F17" i="11"/>
  <c r="F14" i="11"/>
  <c r="E17" i="11"/>
  <c r="E14" i="11"/>
  <c r="F18" i="11"/>
  <c r="F15" i="11"/>
  <c r="E18" i="11"/>
  <c r="E15" i="11"/>
  <c r="J17" i="11"/>
  <c r="J18" i="11"/>
  <c r="I18" i="11"/>
  <c r="I17" i="11"/>
  <c r="J19" i="11"/>
  <c r="I19" i="11"/>
  <c r="J13" i="11"/>
  <c r="I13" i="11"/>
  <c r="L13" i="11" s="1"/>
  <c r="I15" i="11"/>
  <c r="J14" i="11"/>
  <c r="J15" i="11"/>
  <c r="I14" i="11"/>
  <c r="I16" i="11"/>
  <c r="J16" i="11"/>
  <c r="F32" i="17"/>
  <c r="E33" i="17"/>
  <c r="F113" i="16"/>
  <c r="E114" i="16"/>
  <c r="F140" i="16"/>
  <c r="E141" i="16"/>
  <c r="F86" i="15"/>
  <c r="E87" i="15"/>
  <c r="F86" i="17"/>
  <c r="E87" i="17"/>
  <c r="F140" i="15"/>
  <c r="E141" i="15"/>
  <c r="C58" i="16"/>
  <c r="D59" i="16"/>
  <c r="E59" i="16" s="1"/>
  <c r="F59" i="15"/>
  <c r="E60" i="15"/>
  <c r="D86" i="16"/>
  <c r="E86" i="16" s="1"/>
  <c r="C85" i="16"/>
  <c r="G7" i="12"/>
  <c r="G5" i="12"/>
  <c r="G9" i="12"/>
  <c r="G8" i="12"/>
  <c r="G6" i="12"/>
  <c r="G4" i="12"/>
  <c r="G10" i="12" s="1"/>
  <c r="F113" i="17"/>
  <c r="E114" i="17"/>
  <c r="D32" i="16"/>
  <c r="E32" i="16" s="1"/>
  <c r="C31" i="16"/>
  <c r="F140" i="17"/>
  <c r="E141" i="17"/>
  <c r="B23" i="11" l="1"/>
  <c r="B52" i="2" s="1"/>
  <c r="B24" i="11"/>
  <c r="B53" i="2" s="1"/>
  <c r="G16" i="11"/>
  <c r="G13" i="11"/>
  <c r="G19" i="11"/>
  <c r="G86" i="17"/>
  <c r="F87" i="17"/>
  <c r="G140" i="15"/>
  <c r="F141" i="15"/>
  <c r="G18" i="11"/>
  <c r="H18" i="11" s="1"/>
  <c r="F86" i="16"/>
  <c r="E87" i="16"/>
  <c r="G140" i="16"/>
  <c r="F141" i="16"/>
  <c r="G113" i="15"/>
  <c r="F114" i="15"/>
  <c r="G15" i="11"/>
  <c r="G86" i="15"/>
  <c r="F87" i="15"/>
  <c r="G59" i="15"/>
  <c r="F60" i="15"/>
  <c r="G113" i="16"/>
  <c r="F114" i="16"/>
  <c r="G32" i="15"/>
  <c r="F33" i="15"/>
  <c r="G140" i="17"/>
  <c r="F141" i="17"/>
  <c r="G14" i="11"/>
  <c r="F32" i="16"/>
  <c r="E33" i="16"/>
  <c r="F59" i="16"/>
  <c r="E60" i="16"/>
  <c r="G113" i="17"/>
  <c r="F114" i="17"/>
  <c r="G32" i="17"/>
  <c r="F33" i="17"/>
  <c r="G17" i="11"/>
  <c r="G59" i="17"/>
  <c r="F60" i="17"/>
  <c r="H14" i="11" l="1"/>
  <c r="H140" i="15"/>
  <c r="G141" i="15"/>
  <c r="H86" i="15"/>
  <c r="G87" i="15"/>
  <c r="H17" i="11"/>
  <c r="H113" i="17"/>
  <c r="G114" i="17"/>
  <c r="H15" i="11"/>
  <c r="G59" i="16"/>
  <c r="F60" i="16"/>
  <c r="H32" i="15"/>
  <c r="G33" i="15"/>
  <c r="H86" i="17"/>
  <c r="G87" i="17"/>
  <c r="H113" i="15"/>
  <c r="G114" i="15"/>
  <c r="G32" i="16"/>
  <c r="F33" i="16"/>
  <c r="H113" i="16"/>
  <c r="G114" i="16"/>
  <c r="H19" i="11"/>
  <c r="G86" i="16"/>
  <c r="F87" i="16"/>
  <c r="H140" i="16"/>
  <c r="G141" i="16"/>
  <c r="H13" i="11"/>
  <c r="H59" i="17"/>
  <c r="G60" i="17"/>
  <c r="H32" i="17"/>
  <c r="G33" i="17"/>
  <c r="H140" i="17"/>
  <c r="G141" i="17"/>
  <c r="H59" i="15"/>
  <c r="G60" i="15"/>
  <c r="H16" i="11"/>
  <c r="I86" i="15" l="1"/>
  <c r="H87" i="15"/>
  <c r="I86" i="17"/>
  <c r="H87" i="17"/>
  <c r="I140" i="15"/>
  <c r="H141" i="15"/>
  <c r="B29" i="11"/>
  <c r="D54" i="2" s="1"/>
  <c r="B28" i="11"/>
  <c r="C54" i="2" s="1"/>
  <c r="B27" i="11"/>
  <c r="B54" i="2" s="1"/>
  <c r="I113" i="16"/>
  <c r="H114" i="16"/>
  <c r="I32" i="17"/>
  <c r="H33" i="17"/>
  <c r="I113" i="17"/>
  <c r="H114" i="17"/>
  <c r="I59" i="17"/>
  <c r="H60" i="17"/>
  <c r="I59" i="15"/>
  <c r="H60" i="15"/>
  <c r="H86" i="16"/>
  <c r="G87" i="16"/>
  <c r="I32" i="15"/>
  <c r="H33" i="15"/>
  <c r="H32" i="16"/>
  <c r="G33" i="16"/>
  <c r="I113" i="15"/>
  <c r="H114" i="15"/>
  <c r="I140" i="16"/>
  <c r="H141" i="16"/>
  <c r="I140" i="17"/>
  <c r="H141" i="17"/>
  <c r="H59" i="16"/>
  <c r="G60" i="16"/>
  <c r="J86" i="15" l="1"/>
  <c r="I87" i="15"/>
  <c r="I59" i="16"/>
  <c r="H60" i="16"/>
  <c r="J113" i="17"/>
  <c r="I114" i="17"/>
  <c r="J32" i="17"/>
  <c r="I33" i="17"/>
  <c r="J59" i="17"/>
  <c r="I60" i="17"/>
  <c r="J140" i="17"/>
  <c r="I141" i="17"/>
  <c r="J86" i="17"/>
  <c r="I87" i="17"/>
  <c r="J113" i="16"/>
  <c r="I114" i="16"/>
  <c r="J32" i="15"/>
  <c r="I33" i="15"/>
  <c r="J140" i="16"/>
  <c r="I141" i="16"/>
  <c r="I86" i="16"/>
  <c r="H87" i="16"/>
  <c r="J113" i="15"/>
  <c r="I114" i="15"/>
  <c r="J59" i="15"/>
  <c r="I60" i="15"/>
  <c r="I32" i="16"/>
  <c r="H33" i="16"/>
  <c r="J140" i="15"/>
  <c r="I141" i="15"/>
  <c r="K140" i="15" l="1"/>
  <c r="J141" i="15"/>
  <c r="K113" i="17"/>
  <c r="J114" i="17"/>
  <c r="J59" i="16"/>
  <c r="I60" i="16"/>
  <c r="K86" i="17"/>
  <c r="J87" i="17"/>
  <c r="K59" i="15"/>
  <c r="J60" i="15"/>
  <c r="K113" i="16"/>
  <c r="J114" i="16"/>
  <c r="J86" i="16"/>
  <c r="I87" i="16"/>
  <c r="K59" i="17"/>
  <c r="J60" i="17"/>
  <c r="J32" i="16"/>
  <c r="I33" i="16"/>
  <c r="K113" i="15"/>
  <c r="J114" i="15"/>
  <c r="K32" i="15"/>
  <c r="J33" i="15"/>
  <c r="K86" i="15"/>
  <c r="J87" i="15"/>
  <c r="K140" i="17"/>
  <c r="J141" i="17"/>
  <c r="K140" i="16"/>
  <c r="J141" i="16"/>
  <c r="K32" i="17"/>
  <c r="J33" i="17"/>
  <c r="L140" i="16" l="1"/>
  <c r="K141" i="16"/>
  <c r="L59" i="15"/>
  <c r="K60" i="15"/>
  <c r="L113" i="17"/>
  <c r="K114" i="17"/>
  <c r="L32" i="17"/>
  <c r="K33" i="17"/>
  <c r="L86" i="17"/>
  <c r="K87" i="17"/>
  <c r="L32" i="15"/>
  <c r="K33" i="15"/>
  <c r="L113" i="15"/>
  <c r="K114" i="15"/>
  <c r="L140" i="17"/>
  <c r="K141" i="17"/>
  <c r="L59" i="17"/>
  <c r="K60" i="17"/>
  <c r="L86" i="15"/>
  <c r="K87" i="15"/>
  <c r="K86" i="16"/>
  <c r="J87" i="16"/>
  <c r="L140" i="15"/>
  <c r="K141" i="15"/>
  <c r="K32" i="16"/>
  <c r="J33" i="16"/>
  <c r="K59" i="16"/>
  <c r="J60" i="16"/>
  <c r="L113" i="16"/>
  <c r="K114" i="16"/>
  <c r="M59" i="17" l="1"/>
  <c r="L60" i="17"/>
  <c r="M32" i="15"/>
  <c r="L33" i="15"/>
  <c r="M140" i="15"/>
  <c r="L141" i="15"/>
  <c r="L59" i="16"/>
  <c r="K60" i="16"/>
  <c r="M59" i="15"/>
  <c r="L60" i="15"/>
  <c r="M86" i="17"/>
  <c r="L87" i="17"/>
  <c r="L86" i="16"/>
  <c r="K87" i="16"/>
  <c r="M86" i="15"/>
  <c r="L87" i="15"/>
  <c r="M32" i="17"/>
  <c r="L33" i="17"/>
  <c r="M113" i="16"/>
  <c r="L114" i="16"/>
  <c r="M113" i="17"/>
  <c r="L114" i="17"/>
  <c r="M140" i="17"/>
  <c r="L141" i="17"/>
  <c r="L32" i="16"/>
  <c r="K33" i="16"/>
  <c r="M113" i="15"/>
  <c r="L114" i="15"/>
  <c r="M140" i="16"/>
  <c r="L141" i="16"/>
  <c r="N113" i="17" l="1"/>
  <c r="M114" i="17"/>
  <c r="N140" i="17"/>
  <c r="M141" i="17"/>
  <c r="N59" i="15"/>
  <c r="M60" i="15"/>
  <c r="N113" i="16"/>
  <c r="M114" i="16"/>
  <c r="M59" i="16"/>
  <c r="L60" i="16"/>
  <c r="N140" i="15"/>
  <c r="M141" i="15"/>
  <c r="N32" i="15"/>
  <c r="M33" i="15"/>
  <c r="N86" i="17"/>
  <c r="M87" i="17"/>
  <c r="N140" i="16"/>
  <c r="M141" i="16"/>
  <c r="N32" i="17"/>
  <c r="M33" i="17"/>
  <c r="N113" i="15"/>
  <c r="M114" i="15"/>
  <c r="N86" i="15"/>
  <c r="M87" i="15"/>
  <c r="M32" i="16"/>
  <c r="L33" i="16"/>
  <c r="M86" i="16"/>
  <c r="L87" i="16"/>
  <c r="N59" i="17"/>
  <c r="M60" i="17"/>
  <c r="O113" i="16" l="1"/>
  <c r="N114" i="16"/>
  <c r="O32" i="17"/>
  <c r="N33" i="17"/>
  <c r="O59" i="15"/>
  <c r="N60" i="15"/>
  <c r="N59" i="16"/>
  <c r="M60" i="16"/>
  <c r="O86" i="17"/>
  <c r="N87" i="17"/>
  <c r="O140" i="17"/>
  <c r="N141" i="17"/>
  <c r="O86" i="15"/>
  <c r="N87" i="15"/>
  <c r="O113" i="15"/>
  <c r="N114" i="15"/>
  <c r="O140" i="15"/>
  <c r="N141" i="15"/>
  <c r="O59" i="17"/>
  <c r="N60" i="17"/>
  <c r="O140" i="16"/>
  <c r="N141" i="16"/>
  <c r="N86" i="16"/>
  <c r="M87" i="16"/>
  <c r="N32" i="16"/>
  <c r="M33" i="16"/>
  <c r="O32" i="15"/>
  <c r="N33" i="15"/>
  <c r="O113" i="17"/>
  <c r="N114" i="17"/>
  <c r="P59" i="15" l="1"/>
  <c r="O60" i="15"/>
  <c r="P86" i="17"/>
  <c r="O87" i="17"/>
  <c r="O59" i="16"/>
  <c r="N60" i="16"/>
  <c r="P113" i="17"/>
  <c r="O114" i="17"/>
  <c r="P113" i="15"/>
  <c r="O114" i="15"/>
  <c r="P32" i="17"/>
  <c r="O33" i="17"/>
  <c r="P140" i="17"/>
  <c r="O141" i="17"/>
  <c r="P140" i="16"/>
  <c r="O141" i="16"/>
  <c r="P59" i="17"/>
  <c r="O60" i="17"/>
  <c r="O86" i="16"/>
  <c r="N87" i="16"/>
  <c r="P140" i="15"/>
  <c r="O141" i="15"/>
  <c r="P32" i="15"/>
  <c r="O33" i="15"/>
  <c r="O32" i="16"/>
  <c r="N33" i="16"/>
  <c r="P86" i="15"/>
  <c r="O87" i="15"/>
  <c r="P113" i="16"/>
  <c r="O114" i="16"/>
  <c r="Q113" i="17" l="1"/>
  <c r="P114" i="17"/>
  <c r="Q113" i="15"/>
  <c r="P114" i="15"/>
  <c r="Q140" i="15"/>
  <c r="P141" i="15"/>
  <c r="P86" i="16"/>
  <c r="O87" i="16"/>
  <c r="Q86" i="17"/>
  <c r="P87" i="17"/>
  <c r="Q32" i="15"/>
  <c r="P33" i="15"/>
  <c r="P59" i="16"/>
  <c r="O60" i="16"/>
  <c r="Q32" i="17"/>
  <c r="P33" i="17"/>
  <c r="Q113" i="16"/>
  <c r="P114" i="16"/>
  <c r="Q59" i="17"/>
  <c r="P60" i="17"/>
  <c r="Q86" i="15"/>
  <c r="P87" i="15"/>
  <c r="Q140" i="16"/>
  <c r="P141" i="16"/>
  <c r="P32" i="16"/>
  <c r="O33" i="16"/>
  <c r="Q140" i="17"/>
  <c r="P141" i="17"/>
  <c r="Q59" i="15"/>
  <c r="P60" i="15"/>
  <c r="R140" i="16" l="1"/>
  <c r="Q141" i="16"/>
  <c r="R59" i="17"/>
  <c r="Q60" i="17"/>
  <c r="R140" i="15"/>
  <c r="Q141" i="15"/>
  <c r="Q86" i="16"/>
  <c r="P87" i="16"/>
  <c r="R32" i="17"/>
  <c r="Q33" i="17"/>
  <c r="R113" i="15"/>
  <c r="Q114" i="15"/>
  <c r="R32" i="15"/>
  <c r="Q33" i="15"/>
  <c r="R86" i="15"/>
  <c r="Q87" i="15"/>
  <c r="R113" i="16"/>
  <c r="Q114" i="16"/>
  <c r="R86" i="17"/>
  <c r="Q87" i="17"/>
  <c r="R59" i="15"/>
  <c r="Q60" i="15"/>
  <c r="R140" i="17"/>
  <c r="Q141" i="17"/>
  <c r="Q32" i="16"/>
  <c r="P33" i="16"/>
  <c r="Q59" i="16"/>
  <c r="P60" i="16"/>
  <c r="R113" i="17"/>
  <c r="Q114" i="17"/>
  <c r="S113" i="17" l="1"/>
  <c r="R114" i="17"/>
  <c r="S113" i="16"/>
  <c r="R114" i="16"/>
  <c r="S140" i="15"/>
  <c r="R141" i="15"/>
  <c r="S86" i="15"/>
  <c r="R87" i="15"/>
  <c r="S59" i="17"/>
  <c r="R60" i="17"/>
  <c r="S113" i="15"/>
  <c r="R114" i="15"/>
  <c r="S59" i="15"/>
  <c r="R60" i="15"/>
  <c r="S86" i="17"/>
  <c r="R87" i="17"/>
  <c r="S140" i="17"/>
  <c r="R141" i="17"/>
  <c r="S32" i="17"/>
  <c r="R33" i="17"/>
  <c r="R86" i="16"/>
  <c r="Q87" i="16"/>
  <c r="R59" i="16"/>
  <c r="Q60" i="16"/>
  <c r="R32" i="16"/>
  <c r="Q33" i="16"/>
  <c r="S32" i="15"/>
  <c r="R33" i="15"/>
  <c r="S140" i="16"/>
  <c r="R141" i="16"/>
  <c r="T86" i="15" l="1"/>
  <c r="S87" i="15"/>
  <c r="T32" i="17"/>
  <c r="S33" i="17"/>
  <c r="T140" i="15"/>
  <c r="S141" i="15"/>
  <c r="T59" i="17"/>
  <c r="S60" i="17"/>
  <c r="T86" i="17"/>
  <c r="S87" i="17"/>
  <c r="T113" i="16"/>
  <c r="S114" i="16"/>
  <c r="S59" i="16"/>
  <c r="R60" i="16"/>
  <c r="S86" i="16"/>
  <c r="R87" i="16"/>
  <c r="T140" i="17"/>
  <c r="S141" i="17"/>
  <c r="T113" i="15"/>
  <c r="S114" i="15"/>
  <c r="T140" i="16"/>
  <c r="S141" i="16"/>
  <c r="T32" i="15"/>
  <c r="S33" i="15"/>
  <c r="S32" i="16"/>
  <c r="R33" i="16"/>
  <c r="T59" i="15"/>
  <c r="S60" i="15"/>
  <c r="T113" i="17"/>
  <c r="S114" i="17"/>
  <c r="U113" i="16" l="1"/>
  <c r="T114" i="16"/>
  <c r="U113" i="17"/>
  <c r="T114" i="17"/>
  <c r="U140" i="15"/>
  <c r="T141" i="15"/>
  <c r="U59" i="15"/>
  <c r="T60" i="15"/>
  <c r="U32" i="17"/>
  <c r="T33" i="17"/>
  <c r="U32" i="15"/>
  <c r="T33" i="15"/>
  <c r="U86" i="17"/>
  <c r="T87" i="17"/>
  <c r="U113" i="15"/>
  <c r="T114" i="15"/>
  <c r="U140" i="16"/>
  <c r="T141" i="16"/>
  <c r="U59" i="17"/>
  <c r="T60" i="17"/>
  <c r="U140" i="17"/>
  <c r="T141" i="17"/>
  <c r="T86" i="16"/>
  <c r="S87" i="16"/>
  <c r="T32" i="16"/>
  <c r="S33" i="16"/>
  <c r="T59" i="16"/>
  <c r="S60" i="16"/>
  <c r="U86" i="15"/>
  <c r="T87" i="15"/>
  <c r="V32" i="17" l="1"/>
  <c r="U33" i="17"/>
  <c r="V140" i="16"/>
  <c r="U141" i="16"/>
  <c r="V59" i="15"/>
  <c r="U60" i="15"/>
  <c r="V32" i="15"/>
  <c r="U33" i="15"/>
  <c r="V113" i="15"/>
  <c r="U114" i="15"/>
  <c r="V113" i="17"/>
  <c r="U114" i="17"/>
  <c r="V140" i="17"/>
  <c r="U141" i="17"/>
  <c r="V59" i="17"/>
  <c r="U60" i="17"/>
  <c r="V86" i="15"/>
  <c r="U87" i="15"/>
  <c r="U86" i="16"/>
  <c r="T87" i="16"/>
  <c r="V140" i="15"/>
  <c r="U141" i="15"/>
  <c r="U59" i="16"/>
  <c r="T60" i="16"/>
  <c r="U32" i="16"/>
  <c r="T33" i="16"/>
  <c r="V86" i="17"/>
  <c r="U87" i="17"/>
  <c r="V113" i="16"/>
  <c r="U114" i="16"/>
  <c r="W113" i="17" l="1"/>
  <c r="V114" i="17"/>
  <c r="W86" i="15"/>
  <c r="V87" i="15"/>
  <c r="W140" i="15"/>
  <c r="V141" i="15"/>
  <c r="W32" i="15"/>
  <c r="V33" i="15"/>
  <c r="W86" i="17"/>
  <c r="V87" i="17"/>
  <c r="W59" i="17"/>
  <c r="V60" i="17"/>
  <c r="W140" i="16"/>
  <c r="V141" i="16"/>
  <c r="W113" i="15"/>
  <c r="V114" i="15"/>
  <c r="V86" i="16"/>
  <c r="U87" i="16"/>
  <c r="W59" i="15"/>
  <c r="V60" i="15"/>
  <c r="V59" i="16"/>
  <c r="U60" i="16"/>
  <c r="W113" i="16"/>
  <c r="V114" i="16"/>
  <c r="V32" i="16"/>
  <c r="U33" i="16"/>
  <c r="W140" i="17"/>
  <c r="V141" i="17"/>
  <c r="W32" i="17"/>
  <c r="V33" i="17"/>
  <c r="W86" i="16" l="1"/>
  <c r="V87" i="16"/>
  <c r="X59" i="17"/>
  <c r="W60" i="17"/>
  <c r="X86" i="17"/>
  <c r="W87" i="17"/>
  <c r="X32" i="15"/>
  <c r="W33" i="15"/>
  <c r="X113" i="15"/>
  <c r="W114" i="15"/>
  <c r="X86" i="15"/>
  <c r="W87" i="15"/>
  <c r="W59" i="16"/>
  <c r="V60" i="16"/>
  <c r="X59" i="15"/>
  <c r="W60" i="15"/>
  <c r="X32" i="17"/>
  <c r="W33" i="17"/>
  <c r="X113" i="16"/>
  <c r="W114" i="16"/>
  <c r="X140" i="15"/>
  <c r="W141" i="15"/>
  <c r="X140" i="17"/>
  <c r="W141" i="17"/>
  <c r="W32" i="16"/>
  <c r="V33" i="16"/>
  <c r="X140" i="16"/>
  <c r="W141" i="16"/>
  <c r="X113" i="17"/>
  <c r="W114" i="17"/>
  <c r="Y140" i="17" l="1"/>
  <c r="X141" i="17"/>
  <c r="Y86" i="15"/>
  <c r="X87" i="15"/>
  <c r="Y32" i="17"/>
  <c r="X33" i="17"/>
  <c r="Y59" i="15"/>
  <c r="X60" i="15"/>
  <c r="Y59" i="17"/>
  <c r="X60" i="17"/>
  <c r="Y113" i="15"/>
  <c r="X114" i="15"/>
  <c r="Y113" i="16"/>
  <c r="X114" i="16"/>
  <c r="Y32" i="15"/>
  <c r="X33" i="15"/>
  <c r="Y113" i="17"/>
  <c r="X114" i="17"/>
  <c r="Y140" i="15"/>
  <c r="X141" i="15"/>
  <c r="Y86" i="17"/>
  <c r="X87" i="17"/>
  <c r="Y140" i="16"/>
  <c r="X141" i="16"/>
  <c r="X32" i="16"/>
  <c r="W33" i="16"/>
  <c r="X59" i="16"/>
  <c r="W60" i="16"/>
  <c r="X86" i="16"/>
  <c r="W87" i="16"/>
  <c r="Z140" i="16" l="1"/>
  <c r="Y141" i="16"/>
  <c r="Z86" i="17"/>
  <c r="Y87" i="17"/>
  <c r="Z113" i="15"/>
  <c r="Y114" i="15"/>
  <c r="Z59" i="17"/>
  <c r="Y60" i="17"/>
  <c r="Z32" i="15"/>
  <c r="Y33" i="15"/>
  <c r="Z86" i="15"/>
  <c r="Y87" i="15"/>
  <c r="Z113" i="17"/>
  <c r="Y114" i="17"/>
  <c r="Z140" i="15"/>
  <c r="Y141" i="15"/>
  <c r="Z59" i="15"/>
  <c r="Y60" i="15"/>
  <c r="Y86" i="16"/>
  <c r="X87" i="16"/>
  <c r="Z32" i="17"/>
  <c r="Y33" i="17"/>
  <c r="Y59" i="16"/>
  <c r="X60" i="16"/>
  <c r="Y32" i="16"/>
  <c r="X33" i="16"/>
  <c r="Z113" i="16"/>
  <c r="Y114" i="16"/>
  <c r="Z140" i="17"/>
  <c r="Y141" i="17"/>
  <c r="AA86" i="15" l="1"/>
  <c r="Z87" i="15"/>
  <c r="AA32" i="17"/>
  <c r="Z33" i="17"/>
  <c r="AA59" i="17"/>
  <c r="Z60" i="17"/>
  <c r="AA32" i="15"/>
  <c r="Z33" i="15"/>
  <c r="AA113" i="15"/>
  <c r="Z114" i="15"/>
  <c r="AA113" i="16"/>
  <c r="Z114" i="16"/>
  <c r="AA86" i="17"/>
  <c r="Z87" i="17"/>
  <c r="Z86" i="16"/>
  <c r="Y87" i="16"/>
  <c r="AA140" i="17"/>
  <c r="Z141" i="17"/>
  <c r="Z59" i="16"/>
  <c r="Y60" i="16"/>
  <c r="AA59" i="15"/>
  <c r="Z60" i="15"/>
  <c r="AA140" i="15"/>
  <c r="Z141" i="15"/>
  <c r="Z32" i="16"/>
  <c r="Y33" i="16"/>
  <c r="AA113" i="17"/>
  <c r="Z114" i="17"/>
  <c r="AA140" i="16"/>
  <c r="Z141" i="16"/>
  <c r="AB113" i="16" l="1"/>
  <c r="AA114" i="16"/>
  <c r="AB59" i="15"/>
  <c r="AA60" i="15"/>
  <c r="AB32" i="15"/>
  <c r="AA33" i="15"/>
  <c r="AB113" i="15"/>
  <c r="AA114" i="15"/>
  <c r="AB140" i="17"/>
  <c r="AA141" i="17"/>
  <c r="AB59" i="17"/>
  <c r="AA60" i="17"/>
  <c r="AB32" i="17"/>
  <c r="AA33" i="17"/>
  <c r="AB140" i="15"/>
  <c r="AA141" i="15"/>
  <c r="AA59" i="16"/>
  <c r="Z60" i="16"/>
  <c r="AB140" i="16"/>
  <c r="AA141" i="16"/>
  <c r="AB113" i="17"/>
  <c r="AA114" i="17"/>
  <c r="AA86" i="16"/>
  <c r="Z87" i="16"/>
  <c r="AA32" i="16"/>
  <c r="Z33" i="16"/>
  <c r="AB86" i="17"/>
  <c r="AA87" i="17"/>
  <c r="AB86" i="15"/>
  <c r="AA87" i="15"/>
  <c r="AC113" i="17" l="1"/>
  <c r="AB114" i="17"/>
  <c r="AB86" i="16"/>
  <c r="AA87" i="16"/>
  <c r="AC140" i="16"/>
  <c r="AB141" i="16"/>
  <c r="AC113" i="15"/>
  <c r="AB114" i="15"/>
  <c r="AC59" i="15"/>
  <c r="AB60" i="15"/>
  <c r="AC59" i="17"/>
  <c r="AB60" i="17"/>
  <c r="AC140" i="17"/>
  <c r="AB141" i="17"/>
  <c r="AC86" i="15"/>
  <c r="AB87" i="15"/>
  <c r="AC32" i="15"/>
  <c r="AB33" i="15"/>
  <c r="AB59" i="16"/>
  <c r="AA60" i="16"/>
  <c r="AC86" i="17"/>
  <c r="AB87" i="17"/>
  <c r="AC140" i="15"/>
  <c r="AB141" i="15"/>
  <c r="AB32" i="16"/>
  <c r="AA33" i="16"/>
  <c r="AC32" i="17"/>
  <c r="AB33" i="17"/>
  <c r="AC113" i="16"/>
  <c r="AB114" i="16"/>
  <c r="AD113" i="16" l="1"/>
  <c r="AC114" i="16"/>
  <c r="AD140" i="15"/>
  <c r="AC141" i="15"/>
  <c r="AD113" i="15"/>
  <c r="AC114" i="15"/>
  <c r="AD86" i="15"/>
  <c r="AC87" i="15"/>
  <c r="AC86" i="16"/>
  <c r="AB87" i="16"/>
  <c r="AD86" i="17"/>
  <c r="AC87" i="17"/>
  <c r="AC59" i="16"/>
  <c r="AB60" i="16"/>
  <c r="AD140" i="16"/>
  <c r="AC141" i="16"/>
  <c r="AD59" i="17"/>
  <c r="AC60" i="17"/>
  <c r="AD59" i="15"/>
  <c r="AC60" i="15"/>
  <c r="AD32" i="15"/>
  <c r="AC33" i="15"/>
  <c r="AD32" i="17"/>
  <c r="AC33" i="17"/>
  <c r="AC32" i="16"/>
  <c r="AB33" i="16"/>
  <c r="AD140" i="17"/>
  <c r="AC141" i="17"/>
  <c r="AD113" i="17"/>
  <c r="AC114" i="17"/>
  <c r="AE86" i="17" l="1"/>
  <c r="AD87" i="17"/>
  <c r="AE32" i="15"/>
  <c r="AD33" i="15"/>
  <c r="AE59" i="15"/>
  <c r="AD60" i="15"/>
  <c r="AE59" i="17"/>
  <c r="AD60" i="17"/>
  <c r="AE32" i="17"/>
  <c r="AD33" i="17"/>
  <c r="AE86" i="15"/>
  <c r="AD87" i="15"/>
  <c r="AE140" i="17"/>
  <c r="AD141" i="17"/>
  <c r="AE140" i="16"/>
  <c r="AD141" i="16"/>
  <c r="AE140" i="15"/>
  <c r="AD141" i="15"/>
  <c r="AD86" i="16"/>
  <c r="AC87" i="16"/>
  <c r="AE113" i="17"/>
  <c r="AD114" i="17"/>
  <c r="AE113" i="15"/>
  <c r="AD114" i="15"/>
  <c r="AD32" i="16"/>
  <c r="AC33" i="16"/>
  <c r="AD59" i="16"/>
  <c r="AC60" i="16"/>
  <c r="AE113" i="16"/>
  <c r="AD114" i="16"/>
  <c r="AF113" i="15" l="1"/>
  <c r="AE114" i="15"/>
  <c r="AF86" i="15"/>
  <c r="AE87" i="15"/>
  <c r="AF113" i="17"/>
  <c r="AE114" i="17"/>
  <c r="AE86" i="16"/>
  <c r="AD87" i="16"/>
  <c r="AF113" i="16"/>
  <c r="AE114" i="16"/>
  <c r="AF59" i="15"/>
  <c r="AE60" i="15"/>
  <c r="AE59" i="16"/>
  <c r="AD60" i="16"/>
  <c r="AF140" i="16"/>
  <c r="AE141" i="16"/>
  <c r="AF32" i="15"/>
  <c r="AE33" i="15"/>
  <c r="AF32" i="17"/>
  <c r="AE33" i="17"/>
  <c r="AF59" i="17"/>
  <c r="AE60" i="17"/>
  <c r="AF140" i="15"/>
  <c r="AE141" i="15"/>
  <c r="AE32" i="16"/>
  <c r="AD33" i="16"/>
  <c r="AF140" i="17"/>
  <c r="AE141" i="17"/>
  <c r="AF86" i="17"/>
  <c r="AE87" i="17"/>
  <c r="AG32" i="15" l="1"/>
  <c r="AF33" i="15"/>
  <c r="AG59" i="17"/>
  <c r="AF60" i="17"/>
  <c r="AF86" i="16"/>
  <c r="AE87" i="16"/>
  <c r="AG113" i="17"/>
  <c r="AF114" i="17"/>
  <c r="AG140" i="17"/>
  <c r="AF141" i="17"/>
  <c r="AG140" i="16"/>
  <c r="AF141" i="16"/>
  <c r="AG86" i="15"/>
  <c r="AF87" i="15"/>
  <c r="AG59" i="15"/>
  <c r="AF60" i="15"/>
  <c r="AG113" i="16"/>
  <c r="AF114" i="16"/>
  <c r="AG140" i="15"/>
  <c r="AF141" i="15"/>
  <c r="AG32" i="17"/>
  <c r="AF33" i="17"/>
  <c r="AG86" i="17"/>
  <c r="AF87" i="17"/>
  <c r="AF32" i="16"/>
  <c r="AE33" i="16"/>
  <c r="AF59" i="16"/>
  <c r="AE60" i="16"/>
  <c r="AG113" i="15"/>
  <c r="AF114" i="15"/>
  <c r="AH140" i="16" l="1"/>
  <c r="AG141" i="16"/>
  <c r="AH140" i="15"/>
  <c r="AG141" i="15"/>
  <c r="AH140" i="17"/>
  <c r="AG141" i="17"/>
  <c r="AH59" i="15"/>
  <c r="AG60" i="15"/>
  <c r="AH59" i="17"/>
  <c r="AG60" i="17"/>
  <c r="AH86" i="17"/>
  <c r="AG87" i="17"/>
  <c r="AH32" i="17"/>
  <c r="AG33" i="17"/>
  <c r="AH113" i="17"/>
  <c r="AG114" i="17"/>
  <c r="AH113" i="15"/>
  <c r="AG114" i="15"/>
  <c r="AH113" i="16"/>
  <c r="AG114" i="16"/>
  <c r="AG86" i="16"/>
  <c r="AF87" i="16"/>
  <c r="AG59" i="16"/>
  <c r="AF60" i="16"/>
  <c r="AG32" i="16"/>
  <c r="AF33" i="16"/>
  <c r="AH86" i="15"/>
  <c r="AG87" i="15"/>
  <c r="AH32" i="15"/>
  <c r="AG33" i="15"/>
  <c r="AI59" i="17" l="1"/>
  <c r="AH60" i="17"/>
  <c r="AI113" i="15"/>
  <c r="AH114" i="15"/>
  <c r="AI113" i="17"/>
  <c r="AH114" i="17"/>
  <c r="AI140" i="15"/>
  <c r="AH141" i="15"/>
  <c r="AI86" i="17"/>
  <c r="AH87" i="17"/>
  <c r="AH86" i="16"/>
  <c r="AG87" i="16"/>
  <c r="AI113" i="16"/>
  <c r="AH114" i="16"/>
  <c r="AI59" i="15"/>
  <c r="AH60" i="15"/>
  <c r="AI140" i="17"/>
  <c r="AH141" i="17"/>
  <c r="AH59" i="16"/>
  <c r="AG60" i="16"/>
  <c r="AI32" i="15"/>
  <c r="AH33" i="15"/>
  <c r="AI86" i="15"/>
  <c r="AH87" i="15"/>
  <c r="AH32" i="16"/>
  <c r="AG33" i="16"/>
  <c r="AI32" i="17"/>
  <c r="AH33" i="17"/>
  <c r="AI140" i="16"/>
  <c r="AH141" i="16"/>
  <c r="AJ86" i="15" l="1"/>
  <c r="AI87" i="15"/>
  <c r="AI59" i="16"/>
  <c r="AH60" i="16"/>
  <c r="AJ140" i="16"/>
  <c r="AI141" i="16"/>
  <c r="AJ86" i="17"/>
  <c r="AI87" i="17"/>
  <c r="AJ140" i="15"/>
  <c r="AI141" i="15"/>
  <c r="AJ113" i="17"/>
  <c r="AI114" i="17"/>
  <c r="AJ59" i="15"/>
  <c r="AI60" i="15"/>
  <c r="AJ113" i="15"/>
  <c r="AI114" i="15"/>
  <c r="AJ140" i="17"/>
  <c r="AI141" i="17"/>
  <c r="AI86" i="16"/>
  <c r="AH87" i="16"/>
  <c r="AJ32" i="15"/>
  <c r="AI33" i="15"/>
  <c r="AJ32" i="17"/>
  <c r="AI33" i="17"/>
  <c r="AI32" i="16"/>
  <c r="AH33" i="16"/>
  <c r="AJ113" i="16"/>
  <c r="AI114" i="16"/>
  <c r="AJ59" i="17"/>
  <c r="AI60" i="17"/>
  <c r="AK113" i="17" l="1"/>
  <c r="AJ114" i="17"/>
  <c r="AJ86" i="16"/>
  <c r="AI87" i="16"/>
  <c r="AK59" i="17"/>
  <c r="AJ60" i="17"/>
  <c r="AK113" i="15"/>
  <c r="AJ114" i="15"/>
  <c r="AJ59" i="16"/>
  <c r="AI60" i="16"/>
  <c r="AK32" i="17"/>
  <c r="AJ33" i="17"/>
  <c r="AK140" i="15"/>
  <c r="AJ141" i="15"/>
  <c r="AK140" i="17"/>
  <c r="AJ141" i="17"/>
  <c r="AK113" i="16"/>
  <c r="AJ114" i="16"/>
  <c r="AK32" i="15"/>
  <c r="AJ33" i="15"/>
  <c r="AK86" i="17"/>
  <c r="AJ87" i="17"/>
  <c r="AK140" i="16"/>
  <c r="AJ141" i="16"/>
  <c r="AJ32" i="16"/>
  <c r="AI33" i="16"/>
  <c r="AK59" i="15"/>
  <c r="AJ60" i="15"/>
  <c r="AK86" i="15"/>
  <c r="AJ87" i="15"/>
  <c r="AL113" i="16" l="1"/>
  <c r="AK114" i="16"/>
  <c r="AL32" i="17"/>
  <c r="AK33" i="17"/>
  <c r="AL86" i="17"/>
  <c r="AK87" i="17"/>
  <c r="AK59" i="16"/>
  <c r="AJ60" i="16"/>
  <c r="AL32" i="15"/>
  <c r="AK33" i="15"/>
  <c r="AL59" i="17"/>
  <c r="AK60" i="17"/>
  <c r="AK86" i="16"/>
  <c r="AJ87" i="16"/>
  <c r="AL59" i="15"/>
  <c r="AK60" i="15"/>
  <c r="AL140" i="16"/>
  <c r="AK141" i="16"/>
  <c r="AL113" i="15"/>
  <c r="AK114" i="15"/>
  <c r="AL86" i="15"/>
  <c r="AK87" i="15"/>
  <c r="AL140" i="17"/>
  <c r="AK141" i="17"/>
  <c r="AK32" i="16"/>
  <c r="AJ33" i="16"/>
  <c r="AL140" i="15"/>
  <c r="AK141" i="15"/>
  <c r="AL113" i="17"/>
  <c r="AK114" i="17"/>
  <c r="AM140" i="17" l="1"/>
  <c r="AL141" i="17"/>
  <c r="AM86" i="15"/>
  <c r="AL87" i="15"/>
  <c r="AM113" i="15"/>
  <c r="AL114" i="15"/>
  <c r="AL59" i="16"/>
  <c r="AK60" i="16"/>
  <c r="AM113" i="17"/>
  <c r="AL114" i="17"/>
  <c r="AM140" i="15"/>
  <c r="AL141" i="15"/>
  <c r="AM32" i="17"/>
  <c r="AL33" i="17"/>
  <c r="AM140" i="16"/>
  <c r="AL141" i="16"/>
  <c r="AM59" i="17"/>
  <c r="AL60" i="17"/>
  <c r="AM32" i="15"/>
  <c r="AL33" i="15"/>
  <c r="AM86" i="17"/>
  <c r="AL87" i="17"/>
  <c r="AM59" i="15"/>
  <c r="AL60" i="15"/>
  <c r="AL32" i="16"/>
  <c r="AK33" i="16"/>
  <c r="AL86" i="16"/>
  <c r="AK87" i="16"/>
  <c r="AM113" i="16"/>
  <c r="AL114" i="16"/>
  <c r="AN140" i="15" l="1"/>
  <c r="AM141" i="15"/>
  <c r="AN86" i="17"/>
  <c r="AM87" i="17"/>
  <c r="AN59" i="17"/>
  <c r="AM60" i="17"/>
  <c r="AN59" i="15"/>
  <c r="AM60" i="15"/>
  <c r="AN113" i="17"/>
  <c r="AM114" i="17"/>
  <c r="AN113" i="16"/>
  <c r="AM114" i="16"/>
  <c r="AN32" i="15"/>
  <c r="AM33" i="15"/>
  <c r="AM59" i="16"/>
  <c r="AL60" i="16"/>
  <c r="AN113" i="15"/>
  <c r="AM114" i="15"/>
  <c r="AM86" i="16"/>
  <c r="AL87" i="16"/>
  <c r="AN140" i="16"/>
  <c r="AM141" i="16"/>
  <c r="AN86" i="15"/>
  <c r="AM87" i="15"/>
  <c r="AM32" i="16"/>
  <c r="AL33" i="16"/>
  <c r="AN32" i="17"/>
  <c r="AM33" i="17"/>
  <c r="AN140" i="17"/>
  <c r="AM141" i="17"/>
  <c r="AO113" i="16" l="1"/>
  <c r="AN114" i="16"/>
  <c r="AO140" i="16"/>
  <c r="AN141" i="16"/>
  <c r="AO59" i="17"/>
  <c r="AN60" i="17"/>
  <c r="AO86" i="15"/>
  <c r="AN87" i="15"/>
  <c r="AN86" i="16"/>
  <c r="AM87" i="16"/>
  <c r="AO113" i="15"/>
  <c r="AN114" i="15"/>
  <c r="AO140" i="17"/>
  <c r="AN141" i="17"/>
  <c r="AO32" i="17"/>
  <c r="AN33" i="17"/>
  <c r="AN59" i="16"/>
  <c r="AM60" i="16"/>
  <c r="AO86" i="17"/>
  <c r="AN87" i="17"/>
  <c r="AO113" i="17"/>
  <c r="AN114" i="17"/>
  <c r="AO59" i="15"/>
  <c r="AN60" i="15"/>
  <c r="AN32" i="16"/>
  <c r="AM33" i="16"/>
  <c r="AO32" i="15"/>
  <c r="AN33" i="15"/>
  <c r="AO140" i="15"/>
  <c r="AN141" i="15"/>
  <c r="AO59" i="16" l="1"/>
  <c r="AN60" i="16"/>
  <c r="AP86" i="17"/>
  <c r="AO87" i="17"/>
  <c r="AP86" i="15"/>
  <c r="AO87" i="15"/>
  <c r="AP140" i="15"/>
  <c r="AO141" i="15"/>
  <c r="AP59" i="15"/>
  <c r="AO60" i="15"/>
  <c r="AO86" i="16"/>
  <c r="AN87" i="16"/>
  <c r="AP59" i="17"/>
  <c r="AO60" i="17"/>
  <c r="AP32" i="17"/>
  <c r="AO33" i="17"/>
  <c r="AP140" i="16"/>
  <c r="AO141" i="16"/>
  <c r="AP113" i="15"/>
  <c r="AO114" i="15"/>
  <c r="AP113" i="17"/>
  <c r="AO114" i="17"/>
  <c r="AP32" i="15"/>
  <c r="AO33" i="15"/>
  <c r="AO32" i="16"/>
  <c r="AN33" i="16"/>
  <c r="AP140" i="17"/>
  <c r="AO141" i="17"/>
  <c r="AP113" i="16"/>
  <c r="AO114" i="16"/>
  <c r="AP86" i="16" l="1"/>
  <c r="AO87" i="16"/>
  <c r="AQ113" i="17"/>
  <c r="AP114" i="17"/>
  <c r="AQ140" i="16"/>
  <c r="AP141" i="16"/>
  <c r="AQ113" i="15"/>
  <c r="AP114" i="15"/>
  <c r="AQ86" i="15"/>
  <c r="AP87" i="15"/>
  <c r="AQ32" i="17"/>
  <c r="AP33" i="17"/>
  <c r="AQ86" i="17"/>
  <c r="AP87" i="17"/>
  <c r="AQ59" i="15"/>
  <c r="AP60" i="15"/>
  <c r="AQ140" i="17"/>
  <c r="AP141" i="17"/>
  <c r="AQ32" i="15"/>
  <c r="AP33" i="15"/>
  <c r="AQ140" i="15"/>
  <c r="AP141" i="15"/>
  <c r="AQ113" i="16"/>
  <c r="AP114" i="16"/>
  <c r="AP32" i="16"/>
  <c r="AO33" i="16"/>
  <c r="AQ59" i="17"/>
  <c r="AP60" i="17"/>
  <c r="AP59" i="16"/>
  <c r="AO60" i="16"/>
  <c r="AR32" i="17" l="1"/>
  <c r="AQ33" i="17"/>
  <c r="AR86" i="15"/>
  <c r="AQ87" i="15"/>
  <c r="AR140" i="16"/>
  <c r="AQ141" i="16"/>
  <c r="AR113" i="15"/>
  <c r="AQ114" i="15"/>
  <c r="AQ59" i="16"/>
  <c r="AP60" i="16"/>
  <c r="AR140" i="17"/>
  <c r="AQ141" i="17"/>
  <c r="AR59" i="17"/>
  <c r="AQ60" i="17"/>
  <c r="AR59" i="15"/>
  <c r="AQ60" i="15"/>
  <c r="AR113" i="17"/>
  <c r="AQ114" i="17"/>
  <c r="AR113" i="16"/>
  <c r="AQ114" i="16"/>
  <c r="AR32" i="15"/>
  <c r="AQ33" i="15"/>
  <c r="AR140" i="15"/>
  <c r="AQ141" i="15"/>
  <c r="AQ32" i="16"/>
  <c r="AP33" i="16"/>
  <c r="AR86" i="17"/>
  <c r="AQ87" i="17"/>
  <c r="AQ86" i="16"/>
  <c r="AP87" i="16"/>
  <c r="AS140" i="15" l="1"/>
  <c r="AR141" i="15"/>
  <c r="AR59" i="16"/>
  <c r="AQ60" i="16"/>
  <c r="AS140" i="16"/>
  <c r="AR141" i="16"/>
  <c r="AS59" i="15"/>
  <c r="AR60" i="15"/>
  <c r="AS86" i="15"/>
  <c r="AR87" i="15"/>
  <c r="AS140" i="17"/>
  <c r="AR141" i="17"/>
  <c r="AS32" i="15"/>
  <c r="AR33" i="15"/>
  <c r="AS113" i="16"/>
  <c r="AR114" i="16"/>
  <c r="AS113" i="15"/>
  <c r="AR114" i="15"/>
  <c r="AS113" i="17"/>
  <c r="AR114" i="17"/>
  <c r="AR86" i="16"/>
  <c r="AQ87" i="16"/>
  <c r="AS86" i="17"/>
  <c r="AR87" i="17"/>
  <c r="AR32" i="16"/>
  <c r="AQ33" i="16"/>
  <c r="AS59" i="17"/>
  <c r="AR60" i="17"/>
  <c r="AS32" i="17"/>
  <c r="AR33" i="17"/>
  <c r="AT86" i="17" l="1"/>
  <c r="AS87" i="17"/>
  <c r="AS86" i="16"/>
  <c r="AR87" i="16"/>
  <c r="AT140" i="16"/>
  <c r="AS141" i="16"/>
  <c r="AT113" i="16"/>
  <c r="AS114" i="16"/>
  <c r="AS59" i="16"/>
  <c r="AR60" i="16"/>
  <c r="AT140" i="17"/>
  <c r="AS141" i="17"/>
  <c r="AT86" i="15"/>
  <c r="AS87" i="15"/>
  <c r="AT59" i="15"/>
  <c r="AS60" i="15"/>
  <c r="AT113" i="15"/>
  <c r="AS114" i="15"/>
  <c r="AT113" i="17"/>
  <c r="AS114" i="17"/>
  <c r="AT32" i="17"/>
  <c r="AS33" i="17"/>
  <c r="AT59" i="17"/>
  <c r="AS60" i="17"/>
  <c r="AS32" i="16"/>
  <c r="AR33" i="16"/>
  <c r="AT32" i="15"/>
  <c r="AS33" i="15"/>
  <c r="AT140" i="15"/>
  <c r="AS141" i="15"/>
  <c r="AU32" i="17" l="1"/>
  <c r="AT33" i="17"/>
  <c r="AU140" i="16"/>
  <c r="AT141" i="16"/>
  <c r="AU59" i="17"/>
  <c r="AT60" i="17"/>
  <c r="AT59" i="16"/>
  <c r="AS60" i="16"/>
  <c r="AU140" i="15"/>
  <c r="AT141" i="15"/>
  <c r="AU59" i="15"/>
  <c r="AT60" i="15"/>
  <c r="AT86" i="16"/>
  <c r="AS87" i="16"/>
  <c r="AU140" i="17"/>
  <c r="AT141" i="17"/>
  <c r="AU113" i="17"/>
  <c r="AT114" i="17"/>
  <c r="AU113" i="16"/>
  <c r="AT114" i="16"/>
  <c r="AU113" i="15"/>
  <c r="AT114" i="15"/>
  <c r="AU32" i="15"/>
  <c r="AT33" i="15"/>
  <c r="AT32" i="16"/>
  <c r="AS33" i="16"/>
  <c r="AU86" i="15"/>
  <c r="AT87" i="15"/>
  <c r="AU86" i="17"/>
  <c r="AT87" i="17"/>
  <c r="AV140" i="15" l="1"/>
  <c r="AU141" i="15"/>
  <c r="AU59" i="16"/>
  <c r="AT60" i="16"/>
  <c r="AV113" i="17"/>
  <c r="AU114" i="17"/>
  <c r="AV59" i="15"/>
  <c r="AU60" i="15"/>
  <c r="AV32" i="15"/>
  <c r="AU33" i="15"/>
  <c r="AV86" i="17"/>
  <c r="AU87" i="17"/>
  <c r="AV59" i="17"/>
  <c r="AU60" i="17"/>
  <c r="AV86" i="15"/>
  <c r="AU87" i="15"/>
  <c r="AV140" i="16"/>
  <c r="AU141" i="16"/>
  <c r="AV113" i="15"/>
  <c r="AU114" i="15"/>
  <c r="AV113" i="16"/>
  <c r="AU114" i="16"/>
  <c r="AV140" i="17"/>
  <c r="AU141" i="17"/>
  <c r="AU32" i="16"/>
  <c r="AT33" i="16"/>
  <c r="AU86" i="16"/>
  <c r="AT87" i="16"/>
  <c r="AV32" i="17"/>
  <c r="AU33" i="17"/>
  <c r="AW86" i="17" l="1"/>
  <c r="AV87" i="17"/>
  <c r="AW113" i="16"/>
  <c r="AV114" i="16"/>
  <c r="AW32" i="15"/>
  <c r="AV33" i="15"/>
  <c r="AW113" i="15"/>
  <c r="AV114" i="15"/>
  <c r="AW59" i="15"/>
  <c r="AV60" i="15"/>
  <c r="AW113" i="17"/>
  <c r="AV114" i="17"/>
  <c r="AV59" i="16"/>
  <c r="AU60" i="16"/>
  <c r="AW32" i="17"/>
  <c r="AV33" i="17"/>
  <c r="AW140" i="16"/>
  <c r="AV141" i="16"/>
  <c r="AW140" i="17"/>
  <c r="AV141" i="17"/>
  <c r="AV86" i="16"/>
  <c r="AU87" i="16"/>
  <c r="AW86" i="15"/>
  <c r="AV87" i="15"/>
  <c r="AV32" i="16"/>
  <c r="AU33" i="16"/>
  <c r="AW59" i="17"/>
  <c r="AV60" i="17"/>
  <c r="AW140" i="15"/>
  <c r="AV141" i="15"/>
  <c r="AX32" i="15" l="1"/>
  <c r="AW33" i="15"/>
  <c r="AW86" i="16"/>
  <c r="AV87" i="16"/>
  <c r="AX113" i="15"/>
  <c r="AW114" i="15"/>
  <c r="AX140" i="16"/>
  <c r="AW141" i="16"/>
  <c r="AX113" i="16"/>
  <c r="AW114" i="16"/>
  <c r="AX59" i="17"/>
  <c r="AW60" i="17"/>
  <c r="AX86" i="15"/>
  <c r="AW87" i="15"/>
  <c r="AX113" i="17"/>
  <c r="AW114" i="17"/>
  <c r="AX59" i="15"/>
  <c r="AW60" i="15"/>
  <c r="AX140" i="17"/>
  <c r="AW141" i="17"/>
  <c r="AX140" i="15"/>
  <c r="AW141" i="15"/>
  <c r="AX32" i="17"/>
  <c r="AW33" i="17"/>
  <c r="AW32" i="16"/>
  <c r="AV33" i="16"/>
  <c r="AW59" i="16"/>
  <c r="AV60" i="16"/>
  <c r="AX86" i="17"/>
  <c r="AW87" i="17"/>
  <c r="AY140" i="16" l="1"/>
  <c r="AX141" i="16"/>
  <c r="AY140" i="17"/>
  <c r="AX141" i="17"/>
  <c r="AY113" i="16"/>
  <c r="AX114" i="16"/>
  <c r="AX59" i="16"/>
  <c r="AW60" i="16"/>
  <c r="AY113" i="17"/>
  <c r="AX114" i="17"/>
  <c r="AX86" i="16"/>
  <c r="AW87" i="16"/>
  <c r="AY59" i="17"/>
  <c r="AX60" i="17"/>
  <c r="AY140" i="15"/>
  <c r="AX141" i="15"/>
  <c r="AY113" i="15"/>
  <c r="AX114" i="15"/>
  <c r="AY32" i="17"/>
  <c r="AX33" i="17"/>
  <c r="AY86" i="17"/>
  <c r="AX87" i="17"/>
  <c r="AY59" i="15"/>
  <c r="AX60" i="15"/>
  <c r="AX32" i="16"/>
  <c r="AW33" i="16"/>
  <c r="AY86" i="15"/>
  <c r="AX87" i="15"/>
  <c r="AY32" i="15"/>
  <c r="AX33" i="15"/>
  <c r="AZ86" i="17" l="1"/>
  <c r="AY87" i="17"/>
  <c r="AY86" i="16"/>
  <c r="AX87" i="16"/>
  <c r="AZ113" i="17"/>
  <c r="AY114" i="17"/>
  <c r="AY59" i="16"/>
  <c r="AX60" i="16"/>
  <c r="AZ113" i="15"/>
  <c r="AY114" i="15"/>
  <c r="AZ113" i="16"/>
  <c r="AY114" i="16"/>
  <c r="AZ86" i="15"/>
  <c r="AY87" i="15"/>
  <c r="AZ140" i="15"/>
  <c r="AY141" i="15"/>
  <c r="AZ140" i="17"/>
  <c r="AY141" i="17"/>
  <c r="AZ32" i="17"/>
  <c r="AY33" i="17"/>
  <c r="AZ59" i="15"/>
  <c r="AY60" i="15"/>
  <c r="AZ32" i="15"/>
  <c r="AY33" i="15"/>
  <c r="AY32" i="16"/>
  <c r="AX33" i="16"/>
  <c r="AZ59" i="17"/>
  <c r="AY60" i="17"/>
  <c r="AZ140" i="16"/>
  <c r="AY141" i="16"/>
  <c r="BA140" i="16" l="1"/>
  <c r="AZ141" i="16"/>
  <c r="BA113" i="16"/>
  <c r="AZ114" i="16"/>
  <c r="BA59" i="15"/>
  <c r="AZ60" i="15"/>
  <c r="BA32" i="17"/>
  <c r="AZ33" i="17"/>
  <c r="BA59" i="17"/>
  <c r="AZ60" i="17"/>
  <c r="BA140" i="15"/>
  <c r="AZ141" i="15"/>
  <c r="AZ86" i="16"/>
  <c r="AY87" i="16"/>
  <c r="BA32" i="15"/>
  <c r="AZ33" i="15"/>
  <c r="BA113" i="15"/>
  <c r="AZ114" i="15"/>
  <c r="AZ59" i="16"/>
  <c r="AY60" i="16"/>
  <c r="BA113" i="17"/>
  <c r="AZ114" i="17"/>
  <c r="BA140" i="17"/>
  <c r="AZ141" i="17"/>
  <c r="AZ32" i="16"/>
  <c r="AY33" i="16"/>
  <c r="BA86" i="15"/>
  <c r="AZ87" i="15"/>
  <c r="BA86" i="17"/>
  <c r="AZ87" i="17"/>
  <c r="BB140" i="15" l="1"/>
  <c r="BA141" i="15"/>
  <c r="BB32" i="17"/>
  <c r="BA33" i="17"/>
  <c r="BB140" i="17"/>
  <c r="BA141" i="17"/>
  <c r="BB59" i="17"/>
  <c r="BA60" i="17"/>
  <c r="BB32" i="15"/>
  <c r="BA33" i="15"/>
  <c r="BB113" i="16"/>
  <c r="BA114" i="16"/>
  <c r="BB86" i="17"/>
  <c r="BA87" i="17"/>
  <c r="BB59" i="15"/>
  <c r="BA60" i="15"/>
  <c r="BB113" i="17"/>
  <c r="BA114" i="17"/>
  <c r="BA59" i="16"/>
  <c r="AZ60" i="16"/>
  <c r="BB113" i="15"/>
  <c r="BA114" i="15"/>
  <c r="BB86" i="15"/>
  <c r="BA87" i="15"/>
  <c r="BA32" i="16"/>
  <c r="AZ33" i="16"/>
  <c r="BA86" i="16"/>
  <c r="AZ87" i="16"/>
  <c r="BB140" i="16"/>
  <c r="BA141" i="16"/>
  <c r="BC86" i="15" l="1"/>
  <c r="BB87" i="15"/>
  <c r="BC140" i="16"/>
  <c r="BB141" i="16"/>
  <c r="BC113" i="16"/>
  <c r="BB114" i="16"/>
  <c r="BC32" i="15"/>
  <c r="BB33" i="15"/>
  <c r="BB59" i="16"/>
  <c r="BA60" i="16"/>
  <c r="BB86" i="16"/>
  <c r="BA87" i="16"/>
  <c r="BC59" i="15"/>
  <c r="BB60" i="15"/>
  <c r="BC32" i="17"/>
  <c r="BB33" i="17"/>
  <c r="BC113" i="15"/>
  <c r="BB114" i="15"/>
  <c r="BC59" i="17"/>
  <c r="BB60" i="17"/>
  <c r="BC113" i="17"/>
  <c r="BB114" i="17"/>
  <c r="BC140" i="17"/>
  <c r="BB141" i="17"/>
  <c r="BB32" i="16"/>
  <c r="BA33" i="16"/>
  <c r="BC86" i="17"/>
  <c r="BB87" i="17"/>
  <c r="BC140" i="15"/>
  <c r="BB141" i="15"/>
  <c r="BC59" i="16" l="1"/>
  <c r="BB60" i="16"/>
  <c r="BD113" i="15"/>
  <c r="BC114" i="15"/>
  <c r="BD32" i="15"/>
  <c r="BC33" i="15"/>
  <c r="BC86" i="16"/>
  <c r="BB87" i="16"/>
  <c r="BD113" i="17"/>
  <c r="BC114" i="17"/>
  <c r="BD113" i="16"/>
  <c r="BC114" i="16"/>
  <c r="BD86" i="17"/>
  <c r="BC87" i="17"/>
  <c r="BD140" i="16"/>
  <c r="BC141" i="16"/>
  <c r="BD140" i="17"/>
  <c r="BC141" i="17"/>
  <c r="BD59" i="17"/>
  <c r="BC60" i="17"/>
  <c r="BD140" i="15"/>
  <c r="BC141" i="15"/>
  <c r="BD32" i="17"/>
  <c r="BC33" i="17"/>
  <c r="BC32" i="16"/>
  <c r="BB33" i="16"/>
  <c r="BD59" i="15"/>
  <c r="BC60" i="15"/>
  <c r="BD86" i="15"/>
  <c r="BC87" i="15"/>
  <c r="BE113" i="16" l="1"/>
  <c r="BD114" i="16"/>
  <c r="BE86" i="15"/>
  <c r="BD87" i="15"/>
  <c r="BE32" i="15"/>
  <c r="BD33" i="15"/>
  <c r="BE140" i="15"/>
  <c r="BD141" i="15"/>
  <c r="BE140" i="16"/>
  <c r="BD141" i="16"/>
  <c r="BE113" i="15"/>
  <c r="BD114" i="15"/>
  <c r="BE32" i="17"/>
  <c r="BD33" i="17"/>
  <c r="BE113" i="17"/>
  <c r="BD114" i="17"/>
  <c r="BE59" i="17"/>
  <c r="BD60" i="17"/>
  <c r="BD86" i="16"/>
  <c r="BC87" i="16"/>
  <c r="BE140" i="17"/>
  <c r="BD141" i="17"/>
  <c r="BE59" i="15"/>
  <c r="BD60" i="15"/>
  <c r="BD32" i="16"/>
  <c r="BC33" i="16"/>
  <c r="BE86" i="17"/>
  <c r="BD87" i="17"/>
  <c r="BD59" i="16"/>
  <c r="BC60" i="16"/>
  <c r="BF59" i="17" l="1"/>
  <c r="BE60" i="17"/>
  <c r="BF59" i="15"/>
  <c r="BE60" i="15"/>
  <c r="BF140" i="16"/>
  <c r="BE141" i="16"/>
  <c r="BF140" i="15"/>
  <c r="BE141" i="15"/>
  <c r="BF113" i="17"/>
  <c r="BE114" i="17"/>
  <c r="BF86" i="15"/>
  <c r="BE87" i="15"/>
  <c r="BF140" i="17"/>
  <c r="BE141" i="17"/>
  <c r="BE86" i="16"/>
  <c r="BD87" i="16"/>
  <c r="BF32" i="15"/>
  <c r="BE33" i="15"/>
  <c r="BF113" i="15"/>
  <c r="BE114" i="15"/>
  <c r="BE59" i="16"/>
  <c r="BD60" i="16"/>
  <c r="BF86" i="17"/>
  <c r="BE87" i="17"/>
  <c r="BE32" i="16"/>
  <c r="BD33" i="16"/>
  <c r="BF32" i="17"/>
  <c r="BE33" i="17"/>
  <c r="BF113" i="16"/>
  <c r="BE114" i="16"/>
  <c r="BG140" i="15" l="1"/>
  <c r="BF141" i="15"/>
  <c r="BF59" i="16"/>
  <c r="BE60" i="16"/>
  <c r="BG86" i="15"/>
  <c r="BF87" i="15"/>
  <c r="BG113" i="16"/>
  <c r="BF114" i="16"/>
  <c r="BG32" i="15"/>
  <c r="BF33" i="15"/>
  <c r="BG140" i="16"/>
  <c r="BF141" i="16"/>
  <c r="BG113" i="17"/>
  <c r="BF114" i="17"/>
  <c r="BG113" i="15"/>
  <c r="BF114" i="15"/>
  <c r="BG32" i="17"/>
  <c r="BF33" i="17"/>
  <c r="BG59" i="15"/>
  <c r="BF60" i="15"/>
  <c r="BG86" i="17"/>
  <c r="BF87" i="17"/>
  <c r="BF86" i="16"/>
  <c r="BE87" i="16"/>
  <c r="BF32" i="16"/>
  <c r="BE33" i="16"/>
  <c r="BG140" i="17"/>
  <c r="BF141" i="17"/>
  <c r="BG59" i="17"/>
  <c r="BF60" i="17"/>
  <c r="BG86" i="16" l="1"/>
  <c r="BF87" i="16"/>
  <c r="BH86" i="17"/>
  <c r="BG87" i="17"/>
  <c r="BH140" i="16"/>
  <c r="BG141" i="16"/>
  <c r="BH59" i="17"/>
  <c r="BG60" i="17"/>
  <c r="BG59" i="16"/>
  <c r="BF60" i="16"/>
  <c r="BH113" i="16"/>
  <c r="BG114" i="16"/>
  <c r="BH86" i="15"/>
  <c r="BG87" i="15"/>
  <c r="BH140" i="17"/>
  <c r="BG141" i="17"/>
  <c r="BH32" i="15"/>
  <c r="BG33" i="15"/>
  <c r="BH59" i="15"/>
  <c r="BG60" i="15"/>
  <c r="BH32" i="17"/>
  <c r="BG33" i="17"/>
  <c r="BH113" i="15"/>
  <c r="BG114" i="15"/>
  <c r="BG32" i="16"/>
  <c r="BF33" i="16"/>
  <c r="BH113" i="17"/>
  <c r="BG114" i="17"/>
  <c r="BH140" i="15"/>
  <c r="BG141" i="15"/>
  <c r="BI113" i="15" l="1"/>
  <c r="BH114" i="15"/>
  <c r="BI140" i="15"/>
  <c r="BH141" i="15"/>
  <c r="BI140" i="16"/>
  <c r="BH141" i="16"/>
  <c r="BI113" i="16"/>
  <c r="BH114" i="16"/>
  <c r="BI32" i="15"/>
  <c r="BH33" i="15"/>
  <c r="BI113" i="17"/>
  <c r="BH114" i="17"/>
  <c r="BI140" i="17"/>
  <c r="BH141" i="17"/>
  <c r="BI32" i="17"/>
  <c r="BH33" i="17"/>
  <c r="BH59" i="16"/>
  <c r="BG60" i="16"/>
  <c r="BI59" i="15"/>
  <c r="BH60" i="15"/>
  <c r="BI59" i="17"/>
  <c r="BH60" i="17"/>
  <c r="BI86" i="17"/>
  <c r="BH87" i="17"/>
  <c r="BH32" i="16"/>
  <c r="BG33" i="16"/>
  <c r="BI86" i="15"/>
  <c r="BH87" i="15"/>
  <c r="BH86" i="16"/>
  <c r="BG87" i="16"/>
  <c r="BJ113" i="17" l="1"/>
  <c r="BI114" i="17"/>
  <c r="BJ32" i="15"/>
  <c r="BI33" i="15"/>
  <c r="BJ113" i="16"/>
  <c r="BI114" i="16"/>
  <c r="BJ140" i="16"/>
  <c r="BI141" i="16"/>
  <c r="BJ86" i="17"/>
  <c r="BI87" i="17"/>
  <c r="BJ59" i="17"/>
  <c r="BI60" i="17"/>
  <c r="BI59" i="16"/>
  <c r="BH60" i="16"/>
  <c r="BJ140" i="15"/>
  <c r="BI141" i="15"/>
  <c r="BJ59" i="15"/>
  <c r="BI60" i="15"/>
  <c r="BI86" i="16"/>
  <c r="BH87" i="16"/>
  <c r="BJ86" i="15"/>
  <c r="BI87" i="15"/>
  <c r="BJ32" i="17"/>
  <c r="BI33" i="17"/>
  <c r="BI32" i="16"/>
  <c r="BH33" i="16"/>
  <c r="BJ140" i="17"/>
  <c r="BI141" i="17"/>
  <c r="BJ113" i="15"/>
  <c r="BI114" i="15"/>
  <c r="BJ86" i="16" l="1"/>
  <c r="BI87" i="16"/>
  <c r="BK113" i="16"/>
  <c r="BJ114" i="16"/>
  <c r="BK113" i="15"/>
  <c r="BJ114" i="15"/>
  <c r="BK32" i="17"/>
  <c r="BJ33" i="17"/>
  <c r="BK59" i="17"/>
  <c r="BJ60" i="17"/>
  <c r="BK86" i="17"/>
  <c r="BJ87" i="17"/>
  <c r="BK140" i="16"/>
  <c r="BJ141" i="16"/>
  <c r="BK140" i="17"/>
  <c r="BJ141" i="17"/>
  <c r="BK140" i="15"/>
  <c r="BJ141" i="15"/>
  <c r="BK32" i="15"/>
  <c r="BJ33" i="15"/>
  <c r="BK86" i="15"/>
  <c r="BJ87" i="15"/>
  <c r="BK59" i="15"/>
  <c r="BJ60" i="15"/>
  <c r="BJ32" i="16"/>
  <c r="BI33" i="16"/>
  <c r="BJ59" i="16"/>
  <c r="BI60" i="16"/>
  <c r="BK113" i="17"/>
  <c r="BJ114" i="17"/>
  <c r="BL86" i="17" l="1"/>
  <c r="BL87" i="17" s="1"/>
  <c r="BK87" i="17"/>
  <c r="BL59" i="17"/>
  <c r="BL60" i="17" s="1"/>
  <c r="C60" i="17" s="1"/>
  <c r="BK60" i="17"/>
  <c r="BL140" i="15"/>
  <c r="BL141" i="15" s="1"/>
  <c r="C141" i="15" s="1"/>
  <c r="BK141" i="15"/>
  <c r="BL86" i="15"/>
  <c r="BL87" i="15" s="1"/>
  <c r="C87" i="15" s="1"/>
  <c r="BK87" i="15"/>
  <c r="BL113" i="17"/>
  <c r="BL114" i="17" s="1"/>
  <c r="C114" i="17" s="1"/>
  <c r="BK114" i="17"/>
  <c r="BL32" i="15"/>
  <c r="BL33" i="15" s="1"/>
  <c r="C33" i="15" s="1"/>
  <c r="BK33" i="15"/>
  <c r="BL32" i="17"/>
  <c r="BL33" i="17" s="1"/>
  <c r="C33" i="17" s="1"/>
  <c r="BK33" i="17"/>
  <c r="BL140" i="17"/>
  <c r="BL141" i="17" s="1"/>
  <c r="C141" i="17" s="1"/>
  <c r="BK141" i="17"/>
  <c r="BL113" i="16"/>
  <c r="BL114" i="16" s="1"/>
  <c r="BK114" i="16"/>
  <c r="BL59" i="15"/>
  <c r="BL60" i="15" s="1"/>
  <c r="BK60" i="15"/>
  <c r="BL113" i="15"/>
  <c r="BL114" i="15" s="1"/>
  <c r="BK114" i="15"/>
  <c r="BK59" i="16"/>
  <c r="BJ60" i="16"/>
  <c r="BK32" i="16"/>
  <c r="BJ33" i="16"/>
  <c r="BL140" i="16"/>
  <c r="BL141" i="16" s="1"/>
  <c r="C141" i="16" s="1"/>
  <c r="H59" i="9" s="1"/>
  <c r="I35" i="2" s="1"/>
  <c r="BK141" i="16"/>
  <c r="BK86" i="16"/>
  <c r="BJ87" i="16"/>
  <c r="C60" i="15" l="1"/>
  <c r="C114" i="15"/>
  <c r="BL86" i="16"/>
  <c r="BL87" i="16" s="1"/>
  <c r="BK87" i="16"/>
  <c r="BL59" i="16"/>
  <c r="BL60" i="16" s="1"/>
  <c r="C60" i="16" s="1"/>
  <c r="E59" i="9" s="1"/>
  <c r="I32" i="2" s="1"/>
  <c r="BK60" i="16"/>
  <c r="C114" i="16"/>
  <c r="G59" i="9" s="1"/>
  <c r="I34" i="2" s="1"/>
  <c r="BL32" i="16"/>
  <c r="BL33" i="16" s="1"/>
  <c r="BK33" i="16"/>
  <c r="C87" i="17"/>
  <c r="C33" i="16" l="1"/>
  <c r="D59" i="9" s="1"/>
  <c r="I31" i="2" s="1"/>
  <c r="C87" i="16"/>
  <c r="F59" i="9" s="1"/>
  <c r="I33" i="2" s="1"/>
</calcChain>
</file>

<file path=xl/sharedStrings.xml><?xml version="1.0" encoding="utf-8"?>
<sst xmlns="http://schemas.openxmlformats.org/spreadsheetml/2006/main" count="3414" uniqueCount="1043">
  <si>
    <t>AI unit economics: summary</t>
  </si>
  <si>
    <t>FICTIONAL WORKED EXAMPLE. Every input is an assumption (grade D) except dated primary prices (grade A). Not a forecast for any real organization.</t>
  </si>
  <si>
    <t>Settings (change them on the Org sheet)</t>
  </si>
  <si>
    <t>Organization</t>
  </si>
  <si>
    <t>Scenario</t>
  </si>
  <si>
    <t>Value case</t>
  </si>
  <si>
    <t>Org shape</t>
  </si>
  <si>
    <t>Allocation rule</t>
  </si>
  <si>
    <t>Horizon (months)</t>
  </si>
  <si>
    <t>Headline (enterprise, over the horizon)</t>
  </si>
  <si>
    <t>Total cost</t>
  </si>
  <si>
    <t>Benefit</t>
  </si>
  <si>
    <t>Net value</t>
  </si>
  <si>
    <t>Payback month</t>
  </si>
  <si>
    <t>Cost per outcome</t>
  </si>
  <si>
    <t>Benefit per outcome</t>
  </si>
  <si>
    <t>Cost per active user per month</t>
  </si>
  <si>
    <t>Run-rate at the last horizon month (per month)</t>
  </si>
  <si>
    <t>Cost by layer</t>
  </si>
  <si>
    <t>Hub (after shape)</t>
  </si>
  <si>
    <t>Enterprise</t>
  </si>
  <si>
    <t>L1 Data readiness</t>
  </si>
  <si>
    <t>L2 Setup and infrastructure</t>
  </si>
  <si>
    <t>L3 Inference and usage</t>
  </si>
  <si>
    <t>L4 Run and maintenance</t>
  </si>
  <si>
    <t>L5 People and change</t>
  </si>
  <si>
    <t>Teams (cost includes the allocated hub share)</t>
  </si>
  <si>
    <t>Buying model</t>
  </si>
  <si>
    <t>Outcomes</t>
  </si>
  <si>
    <t>How much of the cost rests on what evidence</t>
  </si>
  <si>
    <t>Cost</t>
  </si>
  <si>
    <t>Share</t>
  </si>
  <si>
    <t>Dated primary prices (A)</t>
  </si>
  <si>
    <t>Ranges with a warning (B*/C)</t>
  </si>
  <si>
    <t>Starter values (D)</t>
  </si>
  <si>
    <t>Enterprise-entered, off until entered</t>
  </si>
  <si>
    <t>Cost lines that are OFF (they understate cost until entered)</t>
  </si>
  <si>
    <t>Acceptance tests (Tests sheet)</t>
  </si>
  <si>
    <t>The number that would kill the case</t>
  </si>
  <si>
    <t>Smallest margin of safety</t>
  </si>
  <si>
    <t>How far it can move before net value reaches zero</t>
  </si>
  <si>
    <t>Top three drivers by swing in net value</t>
  </si>
  <si>
    <t>AI unit economics planning tool (v0.1, thin workbook)</t>
  </si>
  <si>
    <t>Built 2026-09-20. Status: first build from the approved spec. FICTIONAL WORKED EXAMPLE: every organization input is an assumption (grade D). Only dated primary prices are grade A.</t>
  </si>
  <si>
    <t>What it is</t>
  </si>
  <si>
    <t>A planning workbook an enterprise runs before it builds AI. Enter the org shape, teams, users and usage; it returns cost by layer, by team and for the organization, plus payback, sensitivity and the one number that would kill the case. Formulas are visible and there are no macros.</t>
  </si>
  <si>
    <t>How to use it (about 30 minutes)</t>
  </si>
  <si>
    <t>1. Org: set the organization, horizon (up to 60 months), scenario, value case, org shape and allocation rule.</t>
  </si>
  <si>
    <t>2. Teams: replace the five fictional teams (one team per business unit in v0.1; Teams 1 and 5 are the same kind of seat-based assistant at two calibrations, on purpose). Blue text on pale yellow is an input.</t>
  </si>
  <si>
    <t>3. Params: review every starter value (grade D). Replace any you can with the enterprise's own value; the Summary shows how much cost still rests on starters.</t>
  </si>
  <si>
    <t>4. PriceBook: check every price against the provider's page and follow the refresh procedure at the bottom of that sheet.</t>
  </si>
  <si>
    <t>5. Read Summary, then Sensitivity (kill number), Scenarios, Allocation (cost-center table) and Tests (all twelve should pass).</t>
  </si>
  <si>
    <t>Colours</t>
  </si>
  <si>
    <t>Blue text on pale yellow = input. Black = formula. Green = link to another sheet.</t>
  </si>
  <si>
    <t>Evidence grades</t>
  </si>
  <si>
    <t>A dated primary price. B named survey with a visible method. C blog, vendor or a number without a visible method. D our assumption. * = original not opened. Details in evidence/README.md.</t>
  </si>
  <si>
    <t>Sheets</t>
  </si>
  <si>
    <t>Summary, Org, Teams, Params, PriceBook, Lines (the 35 taxonomy lines), Levers (fixed lever order and fixtures), Results (selected scenario), Scenarios, Sensitivity, Allocation, Evidence (assumptions register), Tests, and Calc_Low, Calc_Base, Calc_High (monthly grids).</t>
  </si>
  <si>
    <t>v0.1 simplifications (deviations from the full spec, by design)</t>
  </si>
  <si>
    <t>One team per business unit. Lines owned H+S are modelled at team level. The top-10% segment only changes cost when a plan has an included-usage allowance. Committed capacity is a fixed monthly cost (no utilization calculation) and is off until entered. Migration events cover one workflow per team.</t>
  </si>
  <si>
    <t>Sensitivity is one-at-a-time with linear scaling of the selected scenario's cost components, not a full recalculation. Per-team payback includes the allocated hub share.</t>
  </si>
  <si>
    <t>Four lines have no starter value and are OFF until entered (CL-14, CL-15, CL-31, CL-32), so cost is understated until they are.</t>
  </si>
  <si>
    <t>Licence and provenance</t>
  </si>
  <si>
    <t>Copyright 2026 Shruti Sharma. Licensed under the Apache License, Version 2.0 (see LICENSE in the repository); provided as is, without warranty. The organization and usage in this workbook are fictional. Prices are quoted from providers' public pages on the dates shown; company and product names belong to their owners, and no provider endorses or is affiliated with this work. Built with AI assistance (Claude, Anthropic) under the project owner's direction.</t>
  </si>
  <si>
    <t>Provenance</t>
  </si>
  <si>
    <t>Evidence base: evidence/. Design: research/ and spec/. Build scripts and the independent reference model used to verify this workbook: model/build/.</t>
  </si>
  <si>
    <t>Organization inputs</t>
  </si>
  <si>
    <t>Blue text on pale yellow = input. Everything here is a fictional assumption (grade D) unless stated.</t>
  </si>
  <si>
    <t>Field</t>
  </si>
  <si>
    <t>Value</t>
  </si>
  <si>
    <t>Unit / options</t>
  </si>
  <si>
    <t>Label</t>
  </si>
  <si>
    <t>Source</t>
  </si>
  <si>
    <t>Grade</t>
  </si>
  <si>
    <t>Organization name</t>
  </si>
  <si>
    <t>Northwind Example Co (fictional)</t>
  </si>
  <si>
    <t>text</t>
  </si>
  <si>
    <t>assumed</t>
  </si>
  <si>
    <t>Fictional worked example (Claude, 2026-09-20)</t>
  </si>
  <si>
    <t>D</t>
  </si>
  <si>
    <t>Horizon</t>
  </si>
  <si>
    <t>months (max 60)</t>
  </si>
  <si>
    <t>Project owner's choice, 2026-09-20</t>
  </si>
  <si>
    <t>Scenario shown on Summary</t>
  </si>
  <si>
    <t>Base</t>
  </si>
  <si>
    <t>Low-cost / Base / High-cost (High-cost is a stress case: every parameter at its high value at once)</t>
  </si>
  <si>
    <t>User choice</t>
  </si>
  <si>
    <t>Value case (realisation share)</t>
  </si>
  <si>
    <t>Low / Base / High</t>
  </si>
  <si>
    <t>Hub-and-spoke</t>
  </si>
  <si>
    <t>Centralized / Federated / Hub-and-spoke</t>
  </si>
  <si>
    <t>User choice; definitions in research/enterprise-structure.md</t>
  </si>
  <si>
    <t>Usage-proportional</t>
  </si>
  <si>
    <t>Usage-proportional / Headcount proxy / Even split / Central budget</t>
  </si>
  <si>
    <t>Default per shape (D), research/enterprise-structure.md</t>
  </si>
  <si>
    <t>Person-day rate</t>
  </si>
  <si>
    <t>USD per person-day</t>
  </si>
  <si>
    <t>spec/starter-values.md (Claude, 2026-09-20); cross-check BLS LAB-02 (S41, S42)</t>
  </si>
  <si>
    <t>Hours per person-day</t>
  </si>
  <si>
    <t>hours</t>
  </si>
  <si>
    <t>spec/starter-values.md (Claude, 2026-09-20)</t>
  </si>
  <si>
    <t>Working days per year</t>
  </si>
  <si>
    <t>days</t>
  </si>
  <si>
    <t>Monitoring units per outcome</t>
  </si>
  <si>
    <t>units</t>
  </si>
  <si>
    <t>Derived</t>
  </si>
  <si>
    <t>Scenario index (1 low-cost, 2 base, 3 high-cost)</t>
  </si>
  <si>
    <t>Value-case index (1 low, 2 base, 3 high)</t>
  </si>
  <si>
    <t>Number of active teams</t>
  </si>
  <si>
    <t>Number of business units (v0.1: one team per unit)</t>
  </si>
  <si>
    <t>Teams (worked example: fictional)</t>
  </si>
  <si>
    <t>One team per business unit in v0.1. Blue text on pale yellow = input. IDs refer to the PriceBook.</t>
  </si>
  <si>
    <t>Team 1</t>
  </si>
  <si>
    <t>Team 2</t>
  </si>
  <si>
    <t>Team 3</t>
  </si>
  <si>
    <t>Team 4</t>
  </si>
  <si>
    <t>Team 5</t>
  </si>
  <si>
    <t>Team name</t>
  </si>
  <si>
    <t>Corporate knowledge assistant (conservative calibration)</t>
  </si>
  <si>
    <t>Engineering assistant</t>
  </si>
  <si>
    <t>Customer service agent</t>
  </si>
  <si>
    <t>Regulated document review</t>
  </si>
  <si>
    <t>Sales assistant (published-range calibration)</t>
  </si>
  <si>
    <t>Fictional worked example (Claude, 2026-09-20); prices come from PriceBook (A)</t>
  </si>
  <si>
    <t>Team is active (1 = counted, 0 = ignored)</t>
  </si>
  <si>
    <t>1 / 0</t>
  </si>
  <si>
    <t>Archetype</t>
  </si>
  <si>
    <t>A1 Knowledge-worker assistant</t>
  </si>
  <si>
    <t>A2 Developer productivity and agents</t>
  </si>
  <si>
    <t>A3 High-volume service operations</t>
  </si>
  <si>
    <t>A4 Regulated document and decision work</t>
  </si>
  <si>
    <t>Business unit and cost center</t>
  </si>
  <si>
    <t>Corporate functions</t>
  </si>
  <si>
    <t>Engineering</t>
  </si>
  <si>
    <t>Customer operations</t>
  </si>
  <si>
    <t>Risk and legal</t>
  </si>
  <si>
    <t>Sales and marketing</t>
  </si>
  <si>
    <t>Seat / Seat + usage / Per-unit / Committed capacity</t>
  </si>
  <si>
    <t>Seat</t>
  </si>
  <si>
    <t>Seat + usage</t>
  </si>
  <si>
    <t>Per-unit</t>
  </si>
  <si>
    <t>Seat price (price book ID)</t>
  </si>
  <si>
    <t>ID</t>
  </si>
  <si>
    <t>SEAT_TEAM_STD</t>
  </si>
  <si>
    <t>SEAT_ENT</t>
  </si>
  <si>
    <t>Premium seat price (price book ID)</t>
  </si>
  <si>
    <t>SEAT_TEAM_PREM</t>
  </si>
  <si>
    <t>Share of licensed users on premium seats</t>
  </si>
  <si>
    <t>share</t>
  </si>
  <si>
    <t>Usage included per seat per month (hybrid)</t>
  </si>
  <si>
    <t>USD</t>
  </si>
  <si>
    <t>Top segment share of active users</t>
  </si>
  <si>
    <t>Top segment intensity vs the rest</t>
  </si>
  <si>
    <t>multiple</t>
  </si>
  <si>
    <t>Vendor per-outcome price (price book ID, or none)</t>
  </si>
  <si>
    <t>OUT_FIN</t>
  </si>
  <si>
    <t>Committed capacity cost</t>
  </si>
  <si>
    <t>USD per month</t>
  </si>
  <si>
    <t>Committed capacity outcomes per month</t>
  </si>
  <si>
    <t>outcomes</t>
  </si>
  <si>
    <t>Licensed users</t>
  </si>
  <si>
    <t>users</t>
  </si>
  <si>
    <t>Active share of licensed users at plateau</t>
  </si>
  <si>
    <t>Launch month</t>
  </si>
  <si>
    <t>month</t>
  </si>
  <si>
    <t>Months to plateau</t>
  </si>
  <si>
    <t>months</t>
  </si>
  <si>
    <t>Ramp curve</t>
  </si>
  <si>
    <t>Linear / S</t>
  </si>
  <si>
    <t>S</t>
  </si>
  <si>
    <t>Linear</t>
  </si>
  <si>
    <t>Outcome basis</t>
  </si>
  <si>
    <t>per user / direct volume</t>
  </si>
  <si>
    <t>per user</t>
  </si>
  <si>
    <t>direct volume</t>
  </si>
  <si>
    <t>Outcomes per active user per month</t>
  </si>
  <si>
    <t>Direct volume at plateau</t>
  </si>
  <si>
    <t>outcomes per month</t>
  </si>
  <si>
    <t>Main model (price book ID)</t>
  </si>
  <si>
    <t>M_SONNET5</t>
  </si>
  <si>
    <t>M_OPUS5</t>
  </si>
  <si>
    <t>Cheaper model (price book ID)</t>
  </si>
  <si>
    <t>M_HAIKU45</t>
  </si>
  <si>
    <t>Share routed to cheaper model</t>
  </si>
  <si>
    <t>Input tokens per outcome</t>
  </si>
  <si>
    <t>tokens</t>
  </si>
  <si>
    <t>Output tokens per outcome</t>
  </si>
  <si>
    <t>Context-management reduction</t>
  </si>
  <si>
    <t>Cached share of input</t>
  </si>
  <si>
    <t>Cache-write share of input</t>
  </si>
  <si>
    <t>Asynchronous (batch) share</t>
  </si>
  <si>
    <t>Residency multiplier</t>
  </si>
  <si>
    <t>multiplier</t>
  </si>
  <si>
    <t>Agentic workflow</t>
  </si>
  <si>
    <t>Yes / No</t>
  </si>
  <si>
    <t>No</t>
  </si>
  <si>
    <t>Yes</t>
  </si>
  <si>
    <t>Tool calls per outcome</t>
  </si>
  <si>
    <t>calls</t>
  </si>
  <si>
    <t>Tool price (price book ID)</t>
  </si>
  <si>
    <t>U_TOOL_SEARCH</t>
  </si>
  <si>
    <t>Guardrail text units per outcome</t>
  </si>
  <si>
    <t>Guardrail price (price book ID)</t>
  </si>
  <si>
    <t>U_GUARD_CF</t>
  </si>
  <si>
    <t>Human review share of outputs</t>
  </si>
  <si>
    <t>Reviewer loaded rate</t>
  </si>
  <si>
    <t>USD per hour</t>
  </si>
  <si>
    <t>Source systems</t>
  </si>
  <si>
    <t>count</t>
  </si>
  <si>
    <t>Documents</t>
  </si>
  <si>
    <t>Pages per document</t>
  </si>
  <si>
    <t>pages</t>
  </si>
  <si>
    <t>Parsing price (price book ID)</t>
  </si>
  <si>
    <t>U_TEXTRACT_TXT</t>
  </si>
  <si>
    <t>U_TEXTRACT_TBL</t>
  </si>
  <si>
    <t>Embedding tokens per document</t>
  </si>
  <si>
    <t>Embedding price (price book ID)</t>
  </si>
  <si>
    <t>U_EMB_3L</t>
  </si>
  <si>
    <t>Team runs its own index</t>
  </si>
  <si>
    <t>Index storage</t>
  </si>
  <si>
    <t>GB</t>
  </si>
  <si>
    <t>Read units per outcome</t>
  </si>
  <si>
    <t>Index plan minimum (price book ID)</t>
  </si>
  <si>
    <t>PL_PINE_STD</t>
  </si>
  <si>
    <t>Storage price (price book ID)</t>
  </si>
  <si>
    <t>U_PINE_STORE</t>
  </si>
  <si>
    <t>Read price (price book ID)</t>
  </si>
  <si>
    <t>U_PINE_READ</t>
  </si>
  <si>
    <t>Minutes saved per outcome</t>
  </si>
  <si>
    <t>minutes</t>
  </si>
  <si>
    <t>Loaded hourly rate of time saved</t>
  </si>
  <si>
    <t>Quality or acceptance rate</t>
  </si>
  <si>
    <t>Derived from inputs and the PriceBook (formulas)</t>
  </si>
  <si>
    <t>Seat billed (1/0)</t>
  </si>
  <si>
    <t>Seat + usage (1/0)</t>
  </si>
  <si>
    <t>Per-unit, token-billed (1/0)</t>
  </si>
  <si>
    <t>Per-unit, vendor outcome price (1/0)</t>
  </si>
  <si>
    <t>Committed capacity (1/0)</t>
  </si>
  <si>
    <t>API-billed extras apply (1/0)</t>
  </si>
  <si>
    <t>Blended seat price (USD per licensed user per month)</t>
  </si>
  <si>
    <t>Vendor per-outcome price (USD)</t>
  </si>
  <si>
    <t>Blended input price (USD per million tokens)</t>
  </si>
  <si>
    <t>Blended output price (USD per million tokens)</t>
  </si>
  <si>
    <t>Input price factor after caching</t>
  </si>
  <si>
    <t>Price factor after batch share</t>
  </si>
  <si>
    <t>Outcomes per user, non-top segment</t>
  </si>
  <si>
    <t>Outcomes per user, top segment</t>
  </si>
  <si>
    <t>Tool and guardrail cost per outcome (USD)</t>
  </si>
  <si>
    <t>Parsing price (USD per page)</t>
  </si>
  <si>
    <t>Embedding price (USD per million tokens)</t>
  </si>
  <si>
    <t>Index plan minimum (USD per month)</t>
  </si>
  <si>
    <t>Storage price (USD per GB per month)</t>
  </si>
  <si>
    <t>Read price (USD per million read units)</t>
  </si>
  <si>
    <t>Effective launch month (9999 when the team is not active)</t>
  </si>
  <si>
    <t>Licensed users counted (0 when the team is not active)</t>
  </si>
  <si>
    <t>Calibration note: Team 1 assumes 2 minutes saved per interaction, about 5.5 minutes per working day, far below published self-reported figures. Team 5 is the same kind of team calibrated to the low published figure (7 minutes per interaction, about 19 minutes per working day, grade C*). Both are shown on purpose.</t>
  </si>
  <si>
    <t>Scenario parameters (starter values)</t>
  </si>
  <si>
    <t>Grade D unless stated. Low, Base and High are the low-cost, base and high-cost values. Source: spec/starter-values.md. Every value is editable.</t>
  </si>
  <si>
    <t>Key</t>
  </si>
  <si>
    <t>Parameter</t>
  </si>
  <si>
    <t>Unit</t>
  </si>
  <si>
    <t>Low-cost</t>
  </si>
  <si>
    <t>High-cost (stress)</t>
  </si>
  <si>
    <t>Taxonomy line</t>
  </si>
  <si>
    <t>How it was built</t>
  </si>
  <si>
    <t>src_pd</t>
  </si>
  <si>
    <t>Assess one source system</t>
  </si>
  <si>
    <t>person-days</t>
  </si>
  <si>
    <t>CL-01</t>
  </si>
  <si>
    <t>Owner interview, access check, sample review</t>
  </si>
  <si>
    <t>clean_pd</t>
  </si>
  <si>
    <t>Clean and label 100,000 documents</t>
  </si>
  <si>
    <t>CL-02</t>
  </si>
  <si>
    <t>Pipeline plus sampled review; range wide because published shares conflict (CST-07)</t>
  </si>
  <si>
    <t>conn_pd</t>
  </si>
  <si>
    <t>Build one connector</t>
  </si>
  <si>
    <t>CL-03</t>
  </si>
  <si>
    <t>Standard vs custom source</t>
  </si>
  <si>
    <t>conn_up</t>
  </si>
  <si>
    <t>Connector upkeep per year</t>
  </si>
  <si>
    <t>share of build</t>
  </si>
  <si>
    <t>Yearly upkeep share</t>
  </si>
  <si>
    <t>perm_pd</t>
  </si>
  <si>
    <t>Map permissions for one source</t>
  </si>
  <si>
    <t>CL-04</t>
  </si>
  <si>
    <t>Map groups once, revise on org change</t>
  </si>
  <si>
    <t>perm_up</t>
  </si>
  <si>
    <t>Permission upkeep per year</t>
  </si>
  <si>
    <t>Org change rate</t>
  </si>
  <si>
    <t>change_rate</t>
  </si>
  <si>
    <t>Share of documents changing per month</t>
  </si>
  <si>
    <t>CL-08</t>
  </si>
  <si>
    <t>Slow policy content vs fast tickets</t>
  </si>
  <si>
    <t>plat_pd</t>
  </si>
  <si>
    <t>Platform or gateway, one-time</t>
  </si>
  <si>
    <t>CL-09</t>
  </si>
  <si>
    <t>Configure or build gateway with logging and access control; base x rate = $96,000 vs ENV-01 (B*, 2024)</t>
  </si>
  <si>
    <t>plat_run</t>
  </si>
  <si>
    <t>Platform run per year</t>
  </si>
  <si>
    <t>share of one-time</t>
  </si>
  <si>
    <t>Yearly run share</t>
  </si>
  <si>
    <t>int_pd</t>
  </si>
  <si>
    <t>Integrate one use case</t>
  </si>
  <si>
    <t>CL-10</t>
  </si>
  <si>
    <t>Connect one workflow and its systems</t>
  </si>
  <si>
    <t>rev_uc_pd</t>
  </si>
  <si>
    <t>Security, privacy, legal review per use case</t>
  </si>
  <si>
    <t>CL-11</t>
  </si>
  <si>
    <t>A few days each from three reviewers</t>
  </si>
  <si>
    <t>rev_once_pd</t>
  </si>
  <si>
    <t>Platform-level review, once</t>
  </si>
  <si>
    <t>One-time platform review</t>
  </si>
  <si>
    <t>eval_pd</t>
  </si>
  <si>
    <t>Evaluation harness per use case</t>
  </si>
  <si>
    <t>CL-12</t>
  </si>
  <si>
    <t>Build a test set and scoring</t>
  </si>
  <si>
    <t>eval_rerun</t>
  </si>
  <si>
    <t>Share of harness re-done per model change</t>
  </si>
  <si>
    <t>Re-run when the model changes</t>
  </si>
  <si>
    <t>rt_pd</t>
  </si>
  <si>
    <t>Red-team one use case</t>
  </si>
  <si>
    <t>CL-13</t>
  </si>
  <si>
    <t>Adversarial testing before launch</t>
  </si>
  <si>
    <t>rt_rep</t>
  </si>
  <si>
    <t>Red-team repeat per year</t>
  </si>
  <si>
    <t>Periodic repeat</t>
  </si>
  <si>
    <t>env_month</t>
  </si>
  <si>
    <t>Environments and base infrastructure</t>
  </si>
  <si>
    <t>CL-14</t>
  </si>
  <si>
    <t>No starter: off until entered (approved 2026-09-20)</t>
  </si>
  <si>
    <t>retry</t>
  </si>
  <si>
    <t>Retry and failure multiplier on tokens</t>
  </si>
  <si>
    <t>CL-17</t>
  </si>
  <si>
    <t>Minority of calls retried (G8)</t>
  </si>
  <si>
    <t>steps</t>
  </si>
  <si>
    <t>Agent steps per outcome (agentic teams)</t>
  </si>
  <si>
    <t>Plan, tool calls, check (G8)</t>
  </si>
  <si>
    <t>evalcases</t>
  </si>
  <si>
    <t>Quality-review cases per month per use case</t>
  </si>
  <si>
    <t>cases</t>
  </si>
  <si>
    <t>CL-25</t>
  </si>
  <si>
    <t>Sample outputs and score them</t>
  </si>
  <si>
    <t>eval_min</t>
  </si>
  <si>
    <t>Minutes per quality-review case</t>
  </si>
  <si>
    <t>Read and score one output</t>
  </si>
  <si>
    <t>mig_int</t>
  </si>
  <si>
    <t>Months between model migration events</t>
  </si>
  <si>
    <t>CL-26</t>
  </si>
  <si>
    <t>Derived from retirement data: min 12, median 14.5, max 25.4 (PRC-06, one provider)</t>
  </si>
  <si>
    <t>C</t>
  </si>
  <si>
    <t>mig_pd</t>
  </si>
  <si>
    <t>Re-evaluate one workflow per migration event</t>
  </si>
  <si>
    <t>Effort per workflow (G12)</t>
  </si>
  <si>
    <t>maint</t>
  </si>
  <si>
    <t>Workflow maintenance per year</t>
  </si>
  <si>
    <t>share of integration</t>
  </si>
  <si>
    <t>CL-27</t>
  </si>
  <si>
    <t>Prompt changes and fixes</t>
  </si>
  <si>
    <t>tickets</t>
  </si>
  <si>
    <t>Support tickets per 1,000 active users per month</t>
  </si>
  <si>
    <t>CL-28</t>
  </si>
  <si>
    <t>Questions and incidents</t>
  </si>
  <si>
    <t>tkt_hours</t>
  </si>
  <si>
    <t>Hours per support ticket</t>
  </si>
  <si>
    <t>Handle one ticket</t>
  </si>
  <si>
    <t>plat_fte</t>
  </si>
  <si>
    <t>Hub platform team</t>
  </si>
  <si>
    <t>FTE</t>
  </si>
  <si>
    <t>CL-29</t>
  </si>
  <si>
    <t>Product owner, two engineers, data engineer, governance lead</t>
  </si>
  <si>
    <t>gov_fte</t>
  </si>
  <si>
    <t>AI cost governance</t>
  </si>
  <si>
    <t>CL-30</t>
  </si>
  <si>
    <t>AI share of a FinOps function; ORG-07 covers the whole function (B)</t>
  </si>
  <si>
    <t>comp_year</t>
  </si>
  <si>
    <t>Compliance audit and governance</t>
  </si>
  <si>
    <t>USD per year</t>
  </si>
  <si>
    <t>CL-31</t>
  </si>
  <si>
    <t>lic_year</t>
  </si>
  <si>
    <t>Platform and vendor licences</t>
  </si>
  <si>
    <t>CL-32</t>
  </si>
  <si>
    <t>No starter: enter quotes</t>
  </si>
  <si>
    <t>train_hours</t>
  </si>
  <si>
    <t>Training per active user, one-time</t>
  </si>
  <si>
    <t>CL-33</t>
  </si>
  <si>
    <t>Short course plus practice</t>
  </si>
  <si>
    <t>rev_mult</t>
  </si>
  <si>
    <t>Human review share multiplier</t>
  </si>
  <si>
    <t>multiplier (capped at 100%)</t>
  </si>
  <si>
    <t>CL-34</t>
  </si>
  <si>
    <t>Low is base x 0.5; high is base x 2</t>
  </si>
  <si>
    <t>rev_min</t>
  </si>
  <si>
    <t>Minutes per human review</t>
  </si>
  <si>
    <t>Review one output; ORG-06 review shares (B*). Range narrowed from 1/3/10 at Phase 5 approval</t>
  </si>
  <si>
    <t>cm_ramp</t>
  </si>
  <si>
    <t>Change champions during first 6 months</t>
  </si>
  <si>
    <t>FTE per 1,000 licensed</t>
  </si>
  <si>
    <t>CL-35</t>
  </si>
  <si>
    <t>Champions and communications during ramp</t>
  </si>
  <si>
    <t>cm_after</t>
  </si>
  <si>
    <t>Change champions after ramp</t>
  </si>
  <si>
    <t>Sustaining communications</t>
  </si>
  <si>
    <t>tok_mult</t>
  </si>
  <si>
    <t>Tokens-per-outcome scenario multiplier</t>
  </si>
  <si>
    <t>CL-16</t>
  </si>
  <si>
    <t>Wide band by design (FCS-01, C)</t>
  </si>
  <si>
    <t>fed_dup</t>
  </si>
  <si>
    <t>Federated: each unit's platform as share of a full hub platform</t>
  </si>
  <si>
    <t>org shape</t>
  </si>
  <si>
    <t>No evidence on duplication (G4)</t>
  </si>
  <si>
    <t>realise</t>
  </si>
  <si>
    <t>Realisation share of self-reported time saved</t>
  </si>
  <si>
    <t>value</t>
  </si>
  <si>
    <t>No evidence converts self-reported time saved to cash (G5)</t>
  </si>
  <si>
    <t>Price book (dated primary prices, grade A)</t>
  </si>
  <si>
    <t>Fetched 2026-09-20 from each provider's own page (see evidence/source-register.md). 'Effective from' is the first date the price was seen. Confirm on the page before use. Model names are as extracted. Refresh: add a new row with a NEW unique ID, keep the old row, never overwrite (adoption/price-book-refresh.md). Dates and status are recorded, not applied in calculations.</t>
  </si>
  <si>
    <t>Provider</t>
  </si>
  <si>
    <t>Product</t>
  </si>
  <si>
    <t>Kind</t>
  </si>
  <si>
    <t>Price / input</t>
  </si>
  <si>
    <t>Output</t>
  </si>
  <si>
    <t>Cache read x</t>
  </si>
  <si>
    <t>Cache write x</t>
  </si>
  <si>
    <t>Batch factor</t>
  </si>
  <si>
    <t>Effective from</t>
  </si>
  <si>
    <t>Effective to</t>
  </si>
  <si>
    <t>Status</t>
  </si>
  <si>
    <t>Date fetched</t>
  </si>
  <si>
    <t>Included units</t>
  </si>
  <si>
    <t>Anthropic</t>
  </si>
  <si>
    <t>Claude Haiku 4.5</t>
  </si>
  <si>
    <t>Model</t>
  </si>
  <si>
    <t>USD per million tokens</t>
  </si>
  <si>
    <t>standard</t>
  </si>
  <si>
    <t>S09</t>
  </si>
  <si>
    <t>A</t>
  </si>
  <si>
    <t>quoted</t>
  </si>
  <si>
    <t>Claude Sonnet 5</t>
  </si>
  <si>
    <t>Claude Opus 5</t>
  </si>
  <si>
    <t>M_GPT54MINI</t>
  </si>
  <si>
    <t>OpenAI</t>
  </si>
  <si>
    <t>GPT-5.4 Mini (name as extracted)</t>
  </si>
  <si>
    <t>S12</t>
  </si>
  <si>
    <t>M_GEM38FLASH</t>
  </si>
  <si>
    <t>Google</t>
  </si>
  <si>
    <t>Gemini 3.8 Flash (name as extracted)</t>
  </si>
  <si>
    <t>promotional</t>
  </si>
  <si>
    <t>S11</t>
  </si>
  <si>
    <t>Claude Team standard seat (annual billing)</t>
  </si>
  <si>
    <t>USD per user per month</t>
  </si>
  <si>
    <t>S33</t>
  </si>
  <si>
    <t>Claude Team premium seat (annual billing)</t>
  </si>
  <si>
    <t>Claude Enterprise seat (annual); usage billed at API rates</t>
  </si>
  <si>
    <t>SEAT_M365_BUS</t>
  </si>
  <si>
    <t>Microsoft</t>
  </si>
  <si>
    <t>Microsoft 365 Copilot Business (annual, promotional)</t>
  </si>
  <si>
    <t>S08</t>
  </si>
  <si>
    <t>SEAT_M365</t>
  </si>
  <si>
    <t>Microsoft 365 Copilot (paid yearly)</t>
  </si>
  <si>
    <t>S35</t>
  </si>
  <si>
    <t>Intercom</t>
  </si>
  <si>
    <t>Fin AI agent, per outcome (outcome definition in BUY-06)</t>
  </si>
  <si>
    <t>Outcome</t>
  </si>
  <si>
    <t>USD per outcome</t>
  </si>
  <si>
    <t>S37</t>
  </si>
  <si>
    <t>AWS</t>
  </si>
  <si>
    <t>Textract detect text, first 1M pages</t>
  </si>
  <si>
    <t>USD per page</t>
  </si>
  <si>
    <t>S45</t>
  </si>
  <si>
    <t>Textract tables, first 1M pages</t>
  </si>
  <si>
    <t>text-embedding-3-large</t>
  </si>
  <si>
    <t>Pinecone</t>
  </si>
  <si>
    <t>Read units (low end of range)</t>
  </si>
  <si>
    <t>USD per million read units</t>
  </si>
  <si>
    <t>S43</t>
  </si>
  <si>
    <t>Storage, Standard plan</t>
  </si>
  <si>
    <t>USD per GB per month</t>
  </si>
  <si>
    <t>Standard plan minimum</t>
  </si>
  <si>
    <t>Plan</t>
  </si>
  <si>
    <t>Bedrock Guardrails content filters</t>
  </si>
  <si>
    <t>USD per 1,000 text units</t>
  </si>
  <si>
    <t>S46</t>
  </si>
  <si>
    <t>Anthropic/OpenAI</t>
  </si>
  <si>
    <t>Web search tool</t>
  </si>
  <si>
    <t>USD per 1,000 calls</t>
  </si>
  <si>
    <t>PL_LANGFUSE_PRO</t>
  </si>
  <si>
    <t>Langfuse</t>
  </si>
  <si>
    <t>Pro plan (100k units included)</t>
  </si>
  <si>
    <t>S44</t>
  </si>
  <si>
    <t>U_LANGFUSE_OVER</t>
  </si>
  <si>
    <t>Overage per 100k units</t>
  </si>
  <si>
    <t>USD per 100k units</t>
  </si>
  <si>
    <t>The 35 cost lines (taxonomy index)</t>
  </si>
  <si>
    <t>Source: research/cost-taxonomy.md. Policy: P dated primary price, R range with warning, E enterprise-entered (starter value unless off).</t>
  </si>
  <si>
    <t>Line</t>
  </si>
  <si>
    <t>Layer</t>
  </si>
  <si>
    <t>Type</t>
  </si>
  <si>
    <t>Owner (hub-and-spoke)</t>
  </si>
  <si>
    <t>Policy</t>
  </si>
  <si>
    <t>Evidence</t>
  </si>
  <si>
    <t>Where it is computed</t>
  </si>
  <si>
    <t>Source inventory and assessment</t>
  </si>
  <si>
    <t>L1</t>
  </si>
  <si>
    <t>One-time</t>
  </si>
  <si>
    <t>H+S</t>
  </si>
  <si>
    <t>E</t>
  </si>
  <si>
    <t>none (G1)</t>
  </si>
  <si>
    <t>ON</t>
  </si>
  <si>
    <t>Team: one-time assess, clean, connect</t>
  </si>
  <si>
    <t>Cleaning, deduplication, labelling</t>
  </si>
  <si>
    <t>One-time, then refresh</t>
  </si>
  <si>
    <t>CST-07 (C), CST-08</t>
  </si>
  <si>
    <t>Connectors to source systems</t>
  </si>
  <si>
    <t>One-time plus upkeep</t>
  </si>
  <si>
    <t>Team: one-time row and connector upkeep</t>
  </si>
  <si>
    <t>Permission and access mapping</t>
  </si>
  <si>
    <t>One-time, then on org change</t>
  </si>
  <si>
    <t>H</t>
  </si>
  <si>
    <t>ORG-03</t>
  </si>
  <si>
    <t>Hub: permission mapping and upkeep</t>
  </si>
  <si>
    <t>CL-05</t>
  </si>
  <si>
    <t>Document parsing and OCR</t>
  </si>
  <si>
    <t>Variable</t>
  </si>
  <si>
    <t>P</t>
  </si>
  <si>
    <t>COMP-01</t>
  </si>
  <si>
    <t>Team: parsing, embeddings, index row and initial load</t>
  </si>
  <si>
    <t>CL-06</t>
  </si>
  <si>
    <t>Embeddings</t>
  </si>
  <si>
    <t>COMP-02</t>
  </si>
  <si>
    <t>CL-07</t>
  </si>
  <si>
    <t>Index and retrieval infrastructure</t>
  </si>
  <si>
    <t>Recurring fixed plus variable</t>
  </si>
  <si>
    <t>COMP-03</t>
  </si>
  <si>
    <t>Team: parsing, embeddings, index row</t>
  </si>
  <si>
    <t>Refresh and sync</t>
  </si>
  <si>
    <t>Recurring</t>
  </si>
  <si>
    <t>none</t>
  </si>
  <si>
    <t>Team: parsing, embeddings, index row (change rate)</t>
  </si>
  <si>
    <t>Platform or gateway, build or buy</t>
  </si>
  <si>
    <t>L2</t>
  </si>
  <si>
    <t>One-time plus recurring</t>
  </si>
  <si>
    <t>ENV-01 (B*)</t>
  </si>
  <si>
    <t>Hub: platform one-time and run</t>
  </si>
  <si>
    <t>Workflow and application integration</t>
  </si>
  <si>
    <t>none (G11)</t>
  </si>
  <si>
    <t>Team: one-time integrate, evaluation harness</t>
  </si>
  <si>
    <t>Security, privacy and legal review</t>
  </si>
  <si>
    <t>One-time, and on material change</t>
  </si>
  <si>
    <t>Hub: review one-time</t>
  </si>
  <si>
    <t>Evaluation harness and test sets</t>
  </si>
  <si>
    <t>One-time, and per model change</t>
  </si>
  <si>
    <t>Team: one-time row; migration events</t>
  </si>
  <si>
    <t>Red-teaming and adversarial testing</t>
  </si>
  <si>
    <t>One-time, then periodic</t>
  </si>
  <si>
    <t>Hub: red-team one-time and repeat</t>
  </si>
  <si>
    <t>Environments and base cloud infrastructure</t>
  </si>
  <si>
    <t>Recurring fixed</t>
  </si>
  <si>
    <t>Hub: environments</t>
  </si>
  <si>
    <t>CL-15</t>
  </si>
  <si>
    <t>Committed capacity (provisioned cloud or self-hosted GPUs)</t>
  </si>
  <si>
    <t>H or S</t>
  </si>
  <si>
    <t>BUY-05, CST-09 (C)</t>
  </si>
  <si>
    <t>Team: committed capacity row</t>
  </si>
  <si>
    <t>Model tokens</t>
  </si>
  <si>
    <t>L3</t>
  </si>
  <si>
    <t>PRC-01 to PRC-04</t>
  </si>
  <si>
    <t>Team: model tokens row</t>
  </si>
  <si>
    <t>Retries, failed calls, agent steps</t>
  </si>
  <si>
    <t>none (G8)</t>
  </si>
  <si>
    <t>Multiplier inside the model tokens row</t>
  </si>
  <si>
    <t>CL-18</t>
  </si>
  <si>
    <t>Tool and retrieval calls</t>
  </si>
  <si>
    <t>COMP-03, COMP-04</t>
  </si>
  <si>
    <t>Team: tool and guardrail row</t>
  </si>
  <si>
    <t>CL-19</t>
  </si>
  <si>
    <t>Guardrails and moderation</t>
  </si>
  <si>
    <t>COMP-05, COMP-02</t>
  </si>
  <si>
    <t>CL-20</t>
  </si>
  <si>
    <t>Voice and image</t>
  </si>
  <si>
    <t>COMP-04</t>
  </si>
  <si>
    <t>n/a (not used in this example)</t>
  </si>
  <si>
    <t>Not used in the worked example</t>
  </si>
  <si>
    <t>CL-21</t>
  </si>
  <si>
    <t>Seats</t>
  </si>
  <si>
    <t>BUY-02, BUY-03</t>
  </si>
  <si>
    <t>Team: seats row</t>
  </si>
  <si>
    <t>CL-22</t>
  </si>
  <si>
    <t>Credits and outcomes</t>
  </si>
  <si>
    <t>BUY-04, BUY-06</t>
  </si>
  <si>
    <t>Team: vendor per-outcome row</t>
  </si>
  <si>
    <t>CL-23</t>
  </si>
  <si>
    <t>Residency and regional premium</t>
  </si>
  <si>
    <t>Multiplier</t>
  </si>
  <si>
    <t>PRC-01, PRC-02, BUY-05</t>
  </si>
  <si>
    <t>Residency multiplier inside the model tokens row</t>
  </si>
  <si>
    <t>CL-24</t>
  </si>
  <si>
    <t>Monitoring and observability</t>
  </si>
  <si>
    <t>L4</t>
  </si>
  <si>
    <t>COMP-06</t>
  </si>
  <si>
    <t>Hub: monitoring</t>
  </si>
  <si>
    <t>Ongoing evaluation and quality review</t>
  </si>
  <si>
    <t>Team: quality review, maintenance, support row</t>
  </si>
  <si>
    <t>Model migration events</t>
  </si>
  <si>
    <t>Recurring event</t>
  </si>
  <si>
    <t>R</t>
  </si>
  <si>
    <t>PRC-06 (cadence, one provider)</t>
  </si>
  <si>
    <t>Team: migration row</t>
  </si>
  <si>
    <t>Prompt and workflow maintenance</t>
  </si>
  <si>
    <t>Support and incident response</t>
  </si>
  <si>
    <t>Platform team</t>
  </si>
  <si>
    <t>LAB-01, LAB-02 (cross-check)</t>
  </si>
  <si>
    <t>Hub: platform team</t>
  </si>
  <si>
    <t>Cost governance (FinOps)</t>
  </si>
  <si>
    <t>ORG-07 (B)</t>
  </si>
  <si>
    <t>Hub: cost governance</t>
  </si>
  <si>
    <t>none (G7)</t>
  </si>
  <si>
    <t>Hub: compliance audit</t>
  </si>
  <si>
    <t>Hub: licences</t>
  </si>
  <si>
    <t>Training and enablement</t>
  </si>
  <si>
    <t>L5</t>
  </si>
  <si>
    <t>One-time, plus new joiners</t>
  </si>
  <si>
    <t>Team: one-time training</t>
  </si>
  <si>
    <t>Human review of output</t>
  </si>
  <si>
    <t>ORG-06 (B*), LAB-01</t>
  </si>
  <si>
    <t>Team: human review row</t>
  </si>
  <si>
    <t>Change management and champions</t>
  </si>
  <si>
    <t>Team: change champions row</t>
  </si>
  <si>
    <t>Tally by policy</t>
  </si>
  <si>
    <t>Lines with no starter value are OFF and understate cost until the enterprise enters a value (CL-14, CL-15, CL-31, CL-32).</t>
  </si>
  <si>
    <t>Levers in their fixed order (Base scenario)</t>
  </si>
  <si>
    <t>Order: context and scenario scale, routing, caching, batch, residency. Below: two hand-calculated fixtures used by acceptance test 5.</t>
  </si>
  <si>
    <t>Step</t>
  </si>
  <si>
    <t>Input tokens per outcome (entered)</t>
  </si>
  <si>
    <t>Output tokens per outcome (entered)</t>
  </si>
  <si>
    <t>Scale: (1 - context) x scenario x retries x steps</t>
  </si>
  <si>
    <t>Input tokens after scale</t>
  </si>
  <si>
    <t>Output tokens after scale</t>
  </si>
  <si>
    <t>Blended input price after routing (USD per million)</t>
  </si>
  <si>
    <t>Blended output price after routing (USD per million)</t>
  </si>
  <si>
    <t>Token cost per outcome (this sheet)</t>
  </si>
  <si>
    <t>Token cost per outcome (Calc_Base)</t>
  </si>
  <si>
    <t>Difference</t>
  </si>
  <si>
    <t>Fixtures (typed inputs; expected values hand-calculated, see build/build_out_c.py)</t>
  </si>
  <si>
    <t>Fixture 1</t>
  </si>
  <si>
    <t>Fixture 2</t>
  </si>
  <si>
    <t>Fixture 3 (provider example, no cache)</t>
  </si>
  <si>
    <t>Fixture 4 (provider example, 80% cached)</t>
  </si>
  <si>
    <t>Tokens scenario multiplier</t>
  </si>
  <si>
    <t>Retry multiplier</t>
  </si>
  <si>
    <t>Agent steps</t>
  </si>
  <si>
    <t>Main model input price</t>
  </si>
  <si>
    <t>Main model output price</t>
  </si>
  <si>
    <t>Cheaper model input price</t>
  </si>
  <si>
    <t>Cheaper model output price</t>
  </si>
  <si>
    <t>Cache read multiplier</t>
  </si>
  <si>
    <t>Cache write multiplier</t>
  </si>
  <si>
    <t>Batch price factor</t>
  </si>
  <si>
    <t>Computed cost per outcome</t>
  </si>
  <si>
    <t>Expected (fixtures 1 and 2 hand-calculated; 3 and 4 from the provider's published example)</t>
  </si>
  <si>
    <t>Fixtures 3 and 4 reproduce the worked example on Anthropic's pricing page (evidence S09, read 2026-09-20): Opus 5, 50,000 input and 15,000 output tokens. The page's totals, $0.705 without caching and $0.525 with 40,000 tokens read from cache, include $0.08 of session runtime, which is not a token cost.</t>
  </si>
  <si>
    <t>Results for the selected scenario</t>
  </si>
  <si>
    <t>Every cell picks the Low-cost, Base or High-cost Calc sheet using the scenario chosen on Org.</t>
  </si>
  <si>
    <t>Shape factor on raw hub cost</t>
  </si>
  <si>
    <t>Cost group</t>
  </si>
  <si>
    <t>Hub (raw)</t>
  </si>
  <si>
    <t>Seats (CL-21)</t>
  </si>
  <si>
    <t>Model tokens incl. retries and agent steps (CL-16, CL-17)</t>
  </si>
  <si>
    <t>Vendor per-outcome price (CL-22)</t>
  </si>
  <si>
    <t>Tool and guardrail calls (CL-18, CL-19)</t>
  </si>
  <si>
    <t>Committed capacity (CL-15)</t>
  </si>
  <si>
    <t>Parsing, embeddings, index, retrieval (CL-05 to CL-08)</t>
  </si>
  <si>
    <t>Connector upkeep (CL-03)</t>
  </si>
  <si>
    <t>Quality review, maintenance, support (CL-25, CL-27, CL-28)</t>
  </si>
  <si>
    <t>Model migration events (CL-26)</t>
  </si>
  <si>
    <t>Human review of output (CL-34)</t>
  </si>
  <si>
    <t>Change champions (CL-35)</t>
  </si>
  <si>
    <t>One-time: assess, clean, connect (CL-01 to CL-03)</t>
  </si>
  <si>
    <t>One-time: initial parse and embed (CL-05, CL-06)</t>
  </si>
  <si>
    <t>One-time: integrate, evaluation harness (CL-10, CL-12)</t>
  </si>
  <si>
    <t>One-time: training (CL-33)</t>
  </si>
  <si>
    <t>Hub: One-time: platform or gateway (CL-09)</t>
  </si>
  <si>
    <t>Hub: One-time: permission mapping (CL-04)</t>
  </si>
  <si>
    <t>Hub: One-time: security, privacy, legal review (CL-11)</t>
  </si>
  <si>
    <t>Hub: One-time: red-teaming (CL-13)</t>
  </si>
  <si>
    <t>Hub: Platform run (CL-09)</t>
  </si>
  <si>
    <t>Hub: Permission upkeep (CL-04)</t>
  </si>
  <si>
    <t>Hub: Red-team repeat (CL-13)</t>
  </si>
  <si>
    <t>Hub: Environments (CL-14)</t>
  </si>
  <si>
    <t>Hub: Monitoring and observability (CL-24)</t>
  </si>
  <si>
    <t>Hub: Platform team (CL-29)</t>
  </si>
  <si>
    <t>Hub: Cost governance (CL-30)</t>
  </si>
  <si>
    <t>Hub: Compliance audit (CL-31)</t>
  </si>
  <si>
    <t>Hub: Platform and vendor licences (CL-32)</t>
  </si>
  <si>
    <t>Total cost over the horizon</t>
  </si>
  <si>
    <t>By layer</t>
  </si>
  <si>
    <t>By evidence category</t>
  </si>
  <si>
    <t>Sum of shares</t>
  </si>
  <si>
    <t>Team and enterprise metrics</t>
  </si>
  <si>
    <t>Licensed users (active teams)</t>
  </si>
  <si>
    <t>Outcomes over the horizon</t>
  </si>
  <si>
    <t>Active user-months</t>
  </si>
  <si>
    <t>Direct cost</t>
  </si>
  <si>
    <t>Allocated hub cost</t>
  </si>
  <si>
    <t>Total cost including allocation</t>
  </si>
  <si>
    <t>Net value (benefit minus cost)</t>
  </si>
  <si>
    <t>Cost per active user per month (teams with per-user outcomes; n/a for direct-volume teams)</t>
  </si>
  <si>
    <t>Run-rate at the last horizon month (team direct + hub)</t>
  </si>
  <si>
    <t>Unallocated hub cost (central budget)</t>
  </si>
  <si>
    <t>Scenarios side by side</t>
  </si>
  <si>
    <t>Low-cost, Base and High-cost, each from its own Calc sheet. Value case follows the Org selection.</t>
  </si>
  <si>
    <t>Enterprise, over the horizon</t>
  </si>
  <si>
    <t>High-cost (stress case)</t>
  </si>
  <si>
    <t>Low &lt;= Base &lt;= High</t>
  </si>
  <si>
    <t>High-cost is a stress case: every parameter at its high value at once. It is not a likely outcome. Published forecast-miss rates (FCS-01, grade C) are much narrower.</t>
  </si>
  <si>
    <t>Sensitivity and the kill number</t>
  </si>
  <si>
    <t>One-at-a-time, linear scaling of the selected scenario's components. Checked in Phase 5 by full recalculation: exact for realisation, minutes saved, acceptance, tokens, review minutes and effort; approximate for adoption and volume (about 8% of that driver's swing at x0.7). Multipliers are grade D inputs.</t>
  </si>
  <si>
    <t>Benefit (B)</t>
  </si>
  <si>
    <t>Net value (N0 = B minus cost)</t>
  </si>
  <si>
    <t>Model token cost</t>
  </si>
  <si>
    <t>Human review cost</t>
  </si>
  <si>
    <t>Volume-driven cost (tokens, vendor, tools, review)</t>
  </si>
  <si>
    <t>Person-day-rate-driven effort cost (starter effort lines, migration, cost governance; hub after shape)</t>
  </si>
  <si>
    <t>Driver</t>
  </si>
  <si>
    <t>Effect on net value per +100% (USD)</t>
  </si>
  <si>
    <t>Low multiplier</t>
  </si>
  <si>
    <t>High multiplier</t>
  </si>
  <si>
    <t>Net value at low</t>
  </si>
  <si>
    <t>Net value at high</t>
  </si>
  <si>
    <t>Swing</t>
  </si>
  <si>
    <t>Rank</t>
  </si>
  <si>
    <t>Break-even multiplier</t>
  </si>
  <si>
    <t>Margin of safety</t>
  </si>
  <si>
    <t>Direction</t>
  </si>
  <si>
    <t>Break-even value (where a single scalar exists)</t>
  </si>
  <si>
    <t>Adoption and volume (active share, outcomes)</t>
  </si>
  <si>
    <t>Tokens per outcome</t>
  </si>
  <si>
    <t>Human review minutes</t>
  </si>
  <si>
    <t>Effort (person-day-rate-driven lines)</t>
  </si>
  <si>
    <t>The number that would kill the case (smallest margin of safety)</t>
  </si>
  <si>
    <t>How far it can move</t>
  </si>
  <si>
    <t>Top three drivers by swing</t>
  </si>
  <si>
    <t>Rank 1</t>
  </si>
  <si>
    <t>Rank 2</t>
  </si>
  <si>
    <t>Rank 3</t>
  </si>
  <si>
    <t>Cost-center table (showback)</t>
  </si>
  <si>
    <t>CSV-ready: each row is one cost center. Direct cost plus the allocated hub share. Fictional cost centers.</t>
  </si>
  <si>
    <t>Cost center</t>
  </si>
  <si>
    <t>Business unit</t>
  </si>
  <si>
    <t>Team</t>
  </si>
  <si>
    <t>Share of total</t>
  </si>
  <si>
    <t>CC-1001</t>
  </si>
  <si>
    <t>CC-1002</t>
  </si>
  <si>
    <t>CC-1003</t>
  </si>
  <si>
    <t>CC-1004</t>
  </si>
  <si>
    <t>CC-1005</t>
  </si>
  <si>
    <t>HUB-UNALLOC</t>
  </si>
  <si>
    <t>Hub (central budget)</t>
  </si>
  <si>
    <t>Unallocated shared cost</t>
  </si>
  <si>
    <t>Total</t>
  </si>
  <si>
    <t>Assumptions register</t>
  </si>
  <si>
    <t>Every input with its label, source, date, grade, owner and review date. Values link to the input cells.</t>
  </si>
  <si>
    <t>Input ID</t>
  </si>
  <si>
    <t>Name</t>
  </si>
  <si>
    <t>Value (base)</t>
  </si>
  <si>
    <t>Date</t>
  </si>
  <si>
    <t>Owner</t>
  </si>
  <si>
    <t>Last reviewed</t>
  </si>
  <si>
    <t>ORG.name</t>
  </si>
  <si>
    <t>AI program lead (fictional)</t>
  </si>
  <si>
    <t>ORG.horizon</t>
  </si>
  <si>
    <t>ORG.scenario</t>
  </si>
  <si>
    <t>ORG.value_case</t>
  </si>
  <si>
    <t>ORG.shape</t>
  </si>
  <si>
    <t>ORG.alloc</t>
  </si>
  <si>
    <t>ORG.pd_rate</t>
  </si>
  <si>
    <t>ORG.hours_day</t>
  </si>
  <si>
    <t>ORG.work_days</t>
  </si>
  <si>
    <t>ORG.obs_per_out</t>
  </si>
  <si>
    <t>PARAM.src_pd</t>
  </si>
  <si>
    <t>spec/starter-values.md (CL-01); Owner interview, access check, sample review</t>
  </si>
  <si>
    <t>PARAM.clean_pd</t>
  </si>
  <si>
    <t>spec/starter-values.md (CL-02); Pipeline plus sampled review; range wide because published shares conflict (CST-07)</t>
  </si>
  <si>
    <t>PARAM.conn_pd</t>
  </si>
  <si>
    <t>spec/starter-values.md (CL-03); Standard vs custom source</t>
  </si>
  <si>
    <t>PARAM.conn_up</t>
  </si>
  <si>
    <t>spec/starter-values.md (CL-03); Yearly upkeep share</t>
  </si>
  <si>
    <t>PARAM.perm_pd</t>
  </si>
  <si>
    <t>spec/starter-values.md (CL-04); Map groups once, revise on org change</t>
  </si>
  <si>
    <t>PARAM.perm_up</t>
  </si>
  <si>
    <t>spec/starter-values.md (CL-04); Org change rate</t>
  </si>
  <si>
    <t>PARAM.change_rate</t>
  </si>
  <si>
    <t>spec/starter-values.md (CL-08); Slow policy content vs fast tickets</t>
  </si>
  <si>
    <t>PARAM.plat_pd</t>
  </si>
  <si>
    <t>spec/starter-values.md (CL-09); Configure or build gateway with logging and access control; base x rate = $96,000 vs ENV-01 (B*, 2024)</t>
  </si>
  <si>
    <t>PARAM.plat_run</t>
  </si>
  <si>
    <t>spec/starter-values.md (CL-09); Yearly run share</t>
  </si>
  <si>
    <t>PARAM.int_pd</t>
  </si>
  <si>
    <t>spec/starter-values.md (CL-10); Connect one workflow and its systems</t>
  </si>
  <si>
    <t>PARAM.rev_uc_pd</t>
  </si>
  <si>
    <t>spec/starter-values.md (CL-11); A few days each from three reviewers</t>
  </si>
  <si>
    <t>PARAM.rev_once_pd</t>
  </si>
  <si>
    <t>spec/starter-values.md (CL-11); One-time platform review</t>
  </si>
  <si>
    <t>PARAM.eval_pd</t>
  </si>
  <si>
    <t>spec/starter-values.md (CL-12); Build a test set and scoring</t>
  </si>
  <si>
    <t>PARAM.eval_rerun</t>
  </si>
  <si>
    <t>spec/starter-values.md (CL-12); Re-run when the model changes</t>
  </si>
  <si>
    <t>PARAM.rt_pd</t>
  </si>
  <si>
    <t>spec/starter-values.md (CL-13); Adversarial testing before launch</t>
  </si>
  <si>
    <t>PARAM.rt_rep</t>
  </si>
  <si>
    <t>spec/starter-values.md (CL-13); Periodic repeat</t>
  </si>
  <si>
    <t>PARAM.env_month</t>
  </si>
  <si>
    <t>spec/starter-values.md (CL-14); No starter: off until entered (approved 2026-09-20)</t>
  </si>
  <si>
    <t>PARAM.retry</t>
  </si>
  <si>
    <t>spec/starter-values.md (CL-17); Minority of calls retried (G8)</t>
  </si>
  <si>
    <t>PARAM.steps</t>
  </si>
  <si>
    <t>spec/starter-values.md (CL-17); Plan, tool calls, check (G8)</t>
  </si>
  <si>
    <t>PARAM.evalcases</t>
  </si>
  <si>
    <t>spec/starter-values.md (CL-25); Sample outputs and score them</t>
  </si>
  <si>
    <t>PARAM.eval_min</t>
  </si>
  <si>
    <t>spec/starter-values.md (CL-25); Read and score one output</t>
  </si>
  <si>
    <t>PARAM.mig_int</t>
  </si>
  <si>
    <t>spec/starter-values.md (CL-26); Derived from retirement data: min 12, median 14.5, max 25.4 (PRC-06, one provider)</t>
  </si>
  <si>
    <t>PARAM.mig_pd</t>
  </si>
  <si>
    <t>spec/starter-values.md (CL-26); Effort per workflow (G12)</t>
  </si>
  <si>
    <t>PARAM.maint</t>
  </si>
  <si>
    <t>spec/starter-values.md (CL-27); Prompt changes and fixes</t>
  </si>
  <si>
    <t>PARAM.tickets</t>
  </si>
  <si>
    <t>spec/starter-values.md (CL-28); Questions and incidents</t>
  </si>
  <si>
    <t>PARAM.tkt_hours</t>
  </si>
  <si>
    <t>spec/starter-values.md (CL-28); Handle one ticket</t>
  </si>
  <si>
    <t>PARAM.plat_fte</t>
  </si>
  <si>
    <t>spec/starter-values.md (CL-29); Product owner, two engineers, data engineer, governance lead</t>
  </si>
  <si>
    <t>PARAM.gov_fte</t>
  </si>
  <si>
    <t>spec/starter-values.md (CL-30); AI share of a FinOps function; ORG-07 covers the whole function (B)</t>
  </si>
  <si>
    <t>PARAM.comp_year</t>
  </si>
  <si>
    <t>spec/starter-values.md (CL-31); No starter: off until entered (approved 2026-09-20)</t>
  </si>
  <si>
    <t>PARAM.lic_year</t>
  </si>
  <si>
    <t>spec/starter-values.md (CL-32); No starter: enter quotes</t>
  </si>
  <si>
    <t>PARAM.train_hours</t>
  </si>
  <si>
    <t>spec/starter-values.md (CL-33); Short course plus practice</t>
  </si>
  <si>
    <t>PARAM.rev_mult</t>
  </si>
  <si>
    <t>spec/starter-values.md (CL-34); Low is base x 0.5; high is base x 2</t>
  </si>
  <si>
    <t>PARAM.rev_min</t>
  </si>
  <si>
    <t>spec/starter-values.md (CL-34); Review one output; ORG-06 review shares (B*). Range narrowed from 1/3/10 at Phase 5 approval</t>
  </si>
  <si>
    <t>PARAM.cm_ramp</t>
  </si>
  <si>
    <t>spec/starter-values.md (CL-35); Champions and communications during ramp</t>
  </si>
  <si>
    <t>PARAM.cm_after</t>
  </si>
  <si>
    <t>spec/starter-values.md (CL-35); Sustaining communications</t>
  </si>
  <si>
    <t>PARAM.tok_mult</t>
  </si>
  <si>
    <t>spec/starter-values.md (CL-16); Wide band by design (FCS-01, C)</t>
  </si>
  <si>
    <t>PARAM.fed_dup</t>
  </si>
  <si>
    <t>spec/starter-values.md (org shape); No evidence on duplication (G4)</t>
  </si>
  <si>
    <t>PARAM.realise</t>
  </si>
  <si>
    <t>spec/starter-values.md (value); No evidence converts self-reported time saved to cash (G5)</t>
  </si>
  <si>
    <t>TEAM.name</t>
  </si>
  <si>
    <t>see Teams sheet (one value per team)</t>
  </si>
  <si>
    <t>Team product owner (fictional)</t>
  </si>
  <si>
    <t>TEAM.active</t>
  </si>
  <si>
    <t>TEAM.archetype</t>
  </si>
  <si>
    <t>TEAM.bu</t>
  </si>
  <si>
    <t>TEAM.buy</t>
  </si>
  <si>
    <t>TEAM.seat_std</t>
  </si>
  <si>
    <t>TEAM.seat_prem</t>
  </si>
  <si>
    <t>TEAM.prem_share</t>
  </si>
  <si>
    <t>TEAM.allow</t>
  </si>
  <si>
    <t>TEAM.top_share</t>
  </si>
  <si>
    <t>TEAM.top_mult</t>
  </si>
  <si>
    <t>TEAM.unit_price</t>
  </si>
  <si>
    <t>TEAM.cap_cost</t>
  </si>
  <si>
    <t>TEAM.cap_outcomes</t>
  </si>
  <si>
    <t>TEAM.licensed</t>
  </si>
  <si>
    <t>TEAM.plateau</t>
  </si>
  <si>
    <t>TEAM.start</t>
  </si>
  <si>
    <t>TEAM.ramp</t>
  </si>
  <si>
    <t>TEAM.curve</t>
  </si>
  <si>
    <t>TEAM.basis</t>
  </si>
  <si>
    <t>TEAM.o_user</t>
  </si>
  <si>
    <t>TEAM.direct</t>
  </si>
  <si>
    <t>TEAM.model</t>
  </si>
  <si>
    <t>TEAM.cheap</t>
  </si>
  <si>
    <t>TEAM.route</t>
  </si>
  <si>
    <t>TEAM.tok_in</t>
  </si>
  <si>
    <t>TEAM.tok_out</t>
  </si>
  <si>
    <t>TEAM.ctx</t>
  </si>
  <si>
    <t>TEAM.cached</t>
  </si>
  <si>
    <t>TEAM.cwrite</t>
  </si>
  <si>
    <t>TEAM.async_</t>
  </si>
  <si>
    <t>TEAM.resid</t>
  </si>
  <si>
    <t>TEAM.agentic</t>
  </si>
  <si>
    <t>TEAM.tool_calls</t>
  </si>
  <si>
    <t>TEAM.tool_price</t>
  </si>
  <si>
    <t>TEAM.guard_units</t>
  </si>
  <si>
    <t>TEAM.guard_price</t>
  </si>
  <si>
    <t>TEAM.review</t>
  </si>
  <si>
    <t>TEAM.rev_rate</t>
  </si>
  <si>
    <t>TEAM.nsrc</t>
  </si>
  <si>
    <t>TEAM.ndocs</t>
  </si>
  <si>
    <t>TEAM.pages</t>
  </si>
  <si>
    <t>TEAM.parse_price</t>
  </si>
  <si>
    <t>TEAM.emb_tok</t>
  </si>
  <si>
    <t>TEAM.emb_price</t>
  </si>
  <si>
    <t>TEAM.own_index</t>
  </si>
  <si>
    <t>TEAM.gb</t>
  </si>
  <si>
    <t>TEAM.read_units</t>
  </si>
  <si>
    <t>TEAM.plan_price</t>
  </si>
  <si>
    <t>TEAM.store_price</t>
  </si>
  <si>
    <t>TEAM.read_price</t>
  </si>
  <si>
    <t>TEAM.min_saved</t>
  </si>
  <si>
    <t>TEAM.b_rate</t>
  </si>
  <si>
    <t>TEAM.accept</t>
  </si>
  <si>
    <t>PB.M_HAIKU45</t>
  </si>
  <si>
    <t>S09 in evidence/source-register.md; Anthropic pricing page, fetched 2026-09-20</t>
  </si>
  <si>
    <t>PB.M_SONNET5</t>
  </si>
  <si>
    <t>PB.M_OPUS5</t>
  </si>
  <si>
    <t>PB.M_GPT54MINI</t>
  </si>
  <si>
    <t>S12 in evidence/source-register.md; OpenAI pricing page, fetched 2026-09-20</t>
  </si>
  <si>
    <t>PB.M_GEM38FLASH</t>
  </si>
  <si>
    <t>S11 in evidence/source-register.md; Google pricing page, fetched 2026-09-20</t>
  </si>
  <si>
    <t>PB.SEAT_TEAM_STD</t>
  </si>
  <si>
    <t>S33 in evidence/source-register.md; Anthropic pricing page, fetched 2026-09-20</t>
  </si>
  <si>
    <t>PB.SEAT_TEAM_PREM</t>
  </si>
  <si>
    <t>PB.SEAT_ENT</t>
  </si>
  <si>
    <t>PB.SEAT_M365_BUS</t>
  </si>
  <si>
    <t>S08 in evidence/source-register.md; Microsoft pricing page, fetched 2026-09-20</t>
  </si>
  <si>
    <t>PB.SEAT_M365</t>
  </si>
  <si>
    <t>S35 in evidence/source-register.md; Microsoft pricing page, fetched 2026-09-20</t>
  </si>
  <si>
    <t>PB.OUT_FIN</t>
  </si>
  <si>
    <t>S37 in evidence/source-register.md; Intercom pricing page, fetched 2026-09-20</t>
  </si>
  <si>
    <t>PB.U_TEXTRACT_TXT</t>
  </si>
  <si>
    <t>S45 in evidence/source-register.md; AWS pricing page, fetched 2026-09-20</t>
  </si>
  <si>
    <t>PB.U_TEXTRACT_TBL</t>
  </si>
  <si>
    <t>PB.U_EMB_3L</t>
  </si>
  <si>
    <t>PB.U_PINE_READ</t>
  </si>
  <si>
    <t>S43 in evidence/source-register.md; Pinecone pricing page, fetched 2026-09-20</t>
  </si>
  <si>
    <t>PB.U_PINE_STORE</t>
  </si>
  <si>
    <t>PB.PL_PINE_STD</t>
  </si>
  <si>
    <t>PB.U_GUARD_CF</t>
  </si>
  <si>
    <t>S46 in evidence/source-register.md; AWS pricing page, fetched 2026-09-20</t>
  </si>
  <si>
    <t>PB.U_TOOL_SEARCH</t>
  </si>
  <si>
    <t>S09 in evidence/source-register.md; Anthropic/OpenAI pricing page, fetched 2026-09-20</t>
  </si>
  <si>
    <t>PB.PL_LANGFUSE_PRO</t>
  </si>
  <si>
    <t>S44 in evidence/source-register.md; Langfuse pricing page, fetched 2026-09-20</t>
  </si>
  <si>
    <t>PB.U_LANGFUSE_OVER</t>
  </si>
  <si>
    <t>Share of cost by evidence category (selected scenario)</t>
  </si>
  <si>
    <t>Acceptance tests</t>
  </si>
  <si>
    <t>The ten tests from spec/requirements-spec.md plus tests 11 and 12 (added in Phases 5 and 6), as live formulas. Supporting calculations are below the table.</t>
  </si>
  <si>
    <t>#</t>
  </si>
  <si>
    <t>Test</t>
  </si>
  <si>
    <t>Result</t>
  </si>
  <si>
    <t>What is compared</t>
  </si>
  <si>
    <t>Allocations sum to the enterprise hub cost under every rule and shape</t>
  </si>
  <si>
    <t>12 combinations, difference under $0.005</t>
  </si>
  <si>
    <t>Amortised one-time costs sum to the one-time total</t>
  </si>
  <si>
    <t>One-time total versus the sum of monthly amortisation</t>
  </si>
  <si>
    <t>Lines sum to layers, and layers sum to the total</t>
  </si>
  <si>
    <t>Total cost versus layers, and versus teams plus unallocated hub</t>
  </si>
  <si>
    <t>Zero outcomes gives zero variable cost while fixed costs remain</t>
  </si>
  <si>
    <t>Zero-outcome months exist, variable cost in them is 0, hub cost in month 1 is positive</t>
  </si>
  <si>
    <t>Lever fixtures match hand calculations and the provider's published example, and Levers matches Calc_Base</t>
  </si>
  <si>
    <t>Two hand-calculated fixtures, two from Anthropic's published example, and every team's cost per outcome</t>
  </si>
  <si>
    <t>Shape changes hub lines, not variable inference cost</t>
  </si>
  <si>
    <t>Same variable cost; effective hub cost differs</t>
  </si>
  <si>
    <t>Every input has label, source, date, grade; evidence shares sum to 100%</t>
  </si>
  <si>
    <t>No blanks in the register; category shares total 100%</t>
  </si>
  <si>
    <t>No price lacks an effective date and a status</t>
  </si>
  <si>
    <t>Effective-from, status and price all filled</t>
  </si>
  <si>
    <t>Effective cost per active user equals seat price divided by active share</t>
  </si>
  <si>
    <t>Fixture, and live Team 1 once the ramp is complete</t>
  </si>
  <si>
    <t>Low-cost &lt;= Base &lt;= High-cost in every layer and in total</t>
  </si>
  <si>
    <t>Five layers and the total</t>
  </si>
  <si>
    <t>Outcome and active-user totals cover only the horizon (added in Phase 5)</t>
  </si>
  <si>
    <t>Each team's total equals the sum of its in-horizon months (a check that would have caught the 60-month total)</t>
  </si>
  <si>
    <t>Every price ID used exists exactly once in the PriceBook (added in Phase 6)</t>
  </si>
  <si>
    <t>No mistyped, missing or duplicate ID; a missing ID would otherwise price silently at zero</t>
  </si>
  <si>
    <t>Overall</t>
  </si>
  <si>
    <t>Support for test 1: allocation under every rule and shape (Base scenario)</t>
  </si>
  <si>
    <t>Shape</t>
  </si>
  <si>
    <t>Rule</t>
  </si>
  <si>
    <t>Unallocated</t>
  </si>
  <si>
    <t>Sum</t>
  </si>
  <si>
    <t>Effective hub</t>
  </si>
  <si>
    <t>OK</t>
  </si>
  <si>
    <t>Centralized</t>
  </si>
  <si>
    <t>Headcount proxy</t>
  </si>
  <si>
    <t>Even split</t>
  </si>
  <si>
    <t>Central budget</t>
  </si>
  <si>
    <t>Federated</t>
  </si>
  <si>
    <t>Support for test 2: amortisation of one-time costs by month</t>
  </si>
  <si>
    <t>Month</t>
  </si>
  <si>
    <t>Amortised cost</t>
  </si>
  <si>
    <t>One-time total, and sum of amortisation</t>
  </si>
  <si>
    <t>Support for test 4: variable cost in months with zero outcomes (Base)</t>
  </si>
  <si>
    <t>Variable cost in zero-outcome months</t>
  </si>
  <si>
    <t>Zero-outcome months in horizon</t>
  </si>
  <si>
    <t>Hub cost in month 1 (fixed cost that remains)</t>
  </si>
  <si>
    <t>Support for test 6: shape changes the hub lines, not the variable inference cost</t>
  </si>
  <si>
    <t>Variable inference cost (tokens, vendor, tools), both shapes</t>
  </si>
  <si>
    <t>Effective hub cost: Centralized, Federated</t>
  </si>
  <si>
    <t>The build script also flips the shape in the workbook, recalculates and compares with the reference model (build/verify.py).</t>
  </si>
  <si>
    <t>Support for test 9: seat price divided by active share</t>
  </si>
  <si>
    <t>Fixture: seat 30, active share 50%, expected 60</t>
  </si>
  <si>
    <t>Live, Team 1 at the last horizon month: seat cost / active users, and blended seat / plateau share</t>
  </si>
  <si>
    <t>Support for test 12: every price ID used by a team or the hub exists exactly once in the PriceBook (0 = fine)</t>
  </si>
  <si>
    <t>Hub IDs (monitoring plan, overage)</t>
  </si>
  <si>
    <t>Duplicate IDs in the PriceBook</t>
  </si>
  <si>
    <t>Calc: Low-cost scenario</t>
  </si>
  <si>
    <t>Monthly grid. Month 0 holds one-time costs; months 1 to 60 are masked by the horizon. All values are formulas.</t>
  </si>
  <si>
    <t>Tag</t>
  </si>
  <si>
    <t>In horizon (1/0)</t>
  </si>
  <si>
    <t>Token cost per outcome:</t>
  </si>
  <si>
    <t>Ramp factor</t>
  </si>
  <si>
    <t>Active users</t>
  </si>
  <si>
    <t>Net cash</t>
  </si>
  <si>
    <t>Cumulative net cash</t>
  </si>
  <si>
    <t>Payback flag (month)</t>
  </si>
  <si>
    <t>Hub (shared platform, data and governance costs)</t>
  </si>
  <si>
    <t>All-team outcomes</t>
  </si>
  <si>
    <t>One-time: platform or gateway (CL-09)</t>
  </si>
  <si>
    <t>One-time: permission mapping (CL-04)</t>
  </si>
  <si>
    <t>One-time: security, privacy, legal review (CL-11)</t>
  </si>
  <si>
    <t>One-time: red-teaming (CL-13)</t>
  </si>
  <si>
    <t>Platform run (CL-09)</t>
  </si>
  <si>
    <t>Permission upkeep (CL-04)</t>
  </si>
  <si>
    <t>Red-team repeat (CL-13)</t>
  </si>
  <si>
    <t>Environments (CL-14)</t>
  </si>
  <si>
    <t>Monitoring and observability (CL-24)</t>
  </si>
  <si>
    <t>Platform team (CL-29)</t>
  </si>
  <si>
    <t>Cost governance (CL-30)</t>
  </si>
  <si>
    <t>Compliance audit (CL-31)</t>
  </si>
  <si>
    <t>Platform and vendor licences (CL-32)</t>
  </si>
  <si>
    <t>Hub cost, raw</t>
  </si>
  <si>
    <t>Allocation of hub cost (selected shape and rule)</t>
  </si>
  <si>
    <t>Outcomes over horizon</t>
  </si>
  <si>
    <t>Share under the selected rule</t>
  </si>
  <si>
    <t>Hub raw total</t>
  </si>
  <si>
    <t>Federated platform share (per unit)</t>
  </si>
  <si>
    <t>Allocated hub cost (teams, unallocated, total)</t>
  </si>
  <si>
    <t>Effective hub cost (after shape)</t>
  </si>
  <si>
    <t>Team share of raw hub cost</t>
  </si>
  <si>
    <t>Team direct cost</t>
  </si>
  <si>
    <t>Hub cost after shape</t>
  </si>
  <si>
    <t>Calc: Base scenario</t>
  </si>
  <si>
    <t>Calc: High-cost scenario (stress case: every parameter at its high value at once)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</si>
</sst>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\-"/>
    <numFmt numFmtId="165" formatCode="#,##0.00;\(#,##0.00\);\-"/>
    <numFmt numFmtId="166" formatCode="0.0%;\(0.0%\);\-"/>
    <numFmt numFmtId="167" formatCode="\$#,##0;\(\$#,##0\);\-"/>
    <numFmt numFmtId="168" formatCode="\$#,##0.00;\(\$#,##0.00\);\-"/>
    <numFmt numFmtId="169" formatCode="yyyy\-mm\-dd"/>
    <numFmt numFmtId="170" formatCode="\$#,##0.0000;\(\$#,##0.0000\);\-"/>
    <numFmt numFmtId="171" formatCode="0.000"/>
    <numFmt numFmtId="172" formatCode="\$#,##0.0000"/>
    <numFmt numFmtId="173" formatCode="0.0000"/>
    <numFmt numFmtId="174" formatCode="\$#,##0.00"/>
    <numFmt numFmtId="175" formatCode="0.000000000"/>
    <numFmt numFmtId="176" formatCode="0.00000000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14"/>
      <color rgb="FF000000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8000"/>
      <name val="Arial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D6"/>
      </patternFill>
    </fill>
    <fill>
      <patternFill patternType="solid">
        <fgColor rgb="FFD9E2F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1" fillId="5" borderId="0" xfId="0" applyFont="1" applyFill="1"/>
    <xf numFmtId="0" fontId="1" fillId="4" borderId="0" xfId="0" applyFont="1" applyFill="1"/>
    <xf numFmtId="0" fontId="5" fillId="0" borderId="0" xfId="0" applyFont="1"/>
    <xf numFmtId="0" fontId="8" fillId="0" borderId="0" xfId="0" applyFont="1"/>
    <xf numFmtId="167" fontId="7" fillId="0" borderId="0" xfId="0" applyNumberFormat="1" applyFont="1"/>
    <xf numFmtId="164" fontId="7" fillId="0" borderId="0" xfId="0" applyNumberFormat="1" applyFont="1"/>
    <xf numFmtId="168" fontId="7" fillId="0" borderId="0" xfId="0" applyNumberFormat="1" applyFont="1"/>
    <xf numFmtId="167" fontId="8" fillId="0" borderId="0" xfId="0" applyNumberFormat="1" applyFont="1"/>
    <xf numFmtId="164" fontId="8" fillId="0" borderId="0" xfId="0" applyNumberFormat="1" applyFont="1"/>
    <xf numFmtId="168" fontId="8" fillId="0" borderId="0" xfId="0" applyNumberFormat="1" applyFont="1"/>
    <xf numFmtId="166" fontId="8" fillId="0" borderId="0" xfId="0" applyNumberFormat="1" applyFont="1"/>
    <xf numFmtId="0" fontId="7" fillId="0" borderId="0" xfId="0" applyFont="1"/>
    <xf numFmtId="0" fontId="3" fillId="0" borderId="0" xfId="0" applyFont="1"/>
    <xf numFmtId="0" fontId="4" fillId="2" borderId="0" xfId="0" applyFont="1" applyFill="1"/>
    <xf numFmtId="0" fontId="6" fillId="3" borderId="1" xfId="0" applyFont="1" applyFill="1" applyBorder="1"/>
    <xf numFmtId="164" fontId="6" fillId="3" borderId="1" xfId="0" applyNumberFormat="1" applyFont="1" applyFill="1" applyBorder="1"/>
    <xf numFmtId="164" fontId="5" fillId="0" borderId="0" xfId="0" applyNumberFormat="1" applyFont="1"/>
    <xf numFmtId="166" fontId="6" fillId="3" borderId="1" xfId="0" applyNumberFormat="1" applyFont="1" applyFill="1" applyBorder="1"/>
    <xf numFmtId="168" fontId="6" fillId="3" borderId="1" xfId="0" applyNumberFormat="1" applyFont="1" applyFill="1" applyBorder="1"/>
    <xf numFmtId="168" fontId="5" fillId="0" borderId="0" xfId="0" applyNumberFormat="1" applyFont="1"/>
    <xf numFmtId="171" fontId="5" fillId="0" borderId="0" xfId="0" applyNumberFormat="1" applyFont="1"/>
    <xf numFmtId="165" fontId="5" fillId="0" borderId="0" xfId="0" applyNumberFormat="1" applyFont="1"/>
    <xf numFmtId="170" fontId="5" fillId="0" borderId="0" xfId="0" applyNumberFormat="1" applyFont="1"/>
    <xf numFmtId="165" fontId="6" fillId="3" borderId="1" xfId="0" applyNumberFormat="1" applyFont="1" applyFill="1" applyBorder="1"/>
    <xf numFmtId="167" fontId="6" fillId="3" borderId="1" xfId="0" applyNumberFormat="1" applyFont="1" applyFill="1" applyBorder="1"/>
    <xf numFmtId="2" fontId="6" fillId="3" borderId="1" xfId="0" applyNumberFormat="1" applyFont="1" applyFill="1" applyBorder="1"/>
    <xf numFmtId="169" fontId="5" fillId="0" borderId="0" xfId="0" applyNumberFormat="1" applyFont="1"/>
    <xf numFmtId="169" fontId="6" fillId="3" borderId="1" xfId="0" applyNumberFormat="1" applyFont="1" applyFill="1" applyBorder="1"/>
    <xf numFmtId="170" fontId="6" fillId="3" borderId="1" xfId="0" applyNumberFormat="1" applyFont="1" applyFill="1" applyBorder="1"/>
    <xf numFmtId="174" fontId="5" fillId="0" borderId="0" xfId="0" applyNumberFormat="1" applyFont="1"/>
    <xf numFmtId="173" fontId="5" fillId="0" borderId="0" xfId="0" applyNumberFormat="1" applyFont="1"/>
    <xf numFmtId="2" fontId="5" fillId="0" borderId="0" xfId="0" applyNumberFormat="1" applyFont="1"/>
    <xf numFmtId="0" fontId="1" fillId="0" borderId="0" xfId="0" applyFont="1"/>
    <xf numFmtId="170" fontId="1" fillId="0" borderId="0" xfId="0" applyNumberFormat="1" applyFont="1"/>
    <xf numFmtId="170" fontId="8" fillId="0" borderId="0" xfId="0" applyNumberFormat="1" applyFont="1"/>
    <xf numFmtId="175" fontId="5" fillId="0" borderId="0" xfId="0" applyNumberFormat="1" applyFont="1"/>
    <xf numFmtId="176" fontId="1" fillId="0" borderId="0" xfId="0" applyNumberFormat="1" applyFont="1"/>
    <xf numFmtId="176" fontId="6" fillId="3" borderId="1" xfId="0" applyNumberFormat="1" applyFont="1" applyFill="1" applyBorder="1"/>
    <xf numFmtId="167" fontId="5" fillId="0" borderId="0" xfId="0" applyNumberFormat="1" applyFont="1"/>
    <xf numFmtId="167" fontId="1" fillId="0" borderId="0" xfId="0" applyNumberFormat="1" applyFont="1"/>
    <xf numFmtId="166" fontId="5" fillId="0" borderId="0" xfId="0" applyNumberFormat="1" applyFont="1"/>
    <xf numFmtId="167" fontId="0" fillId="0" borderId="0" xfId="0" applyNumberFormat="1"/>
    <xf numFmtId="0" fontId="4" fillId="2" borderId="0" xfId="0" applyFont="1" applyFill="1" applyAlignment="1">
      <alignment vertical="top" wrapText="1"/>
    </xf>
    <xf numFmtId="166" fontId="1" fillId="0" borderId="0" xfId="0" applyNumberFormat="1" applyFont="1"/>
    <xf numFmtId="17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/>
  </sheetViews>
  <sheetFormatPr defaultRowHeight="14.4" x14ac:dyDescent="0.3"/>
  <cols>
    <col min="1" max="1" width="150" customWidth="1"/>
  </cols>
  <sheetData>
    <row r="1" spans="1:1" ht="16.05" customHeight="1" x14ac:dyDescent="0.3">
      <c r="A1" s="1" t="s">
        <v>42</v>
      </c>
    </row>
    <row r="2" spans="1:1" ht="31.95" customHeight="1" x14ac:dyDescent="0.3">
      <c r="A2" s="2" t="s">
        <v>43</v>
      </c>
    </row>
    <row r="3" spans="1:1" ht="16.05" customHeight="1" x14ac:dyDescent="0.3">
      <c r="A3" s="3" t="s">
        <v>44</v>
      </c>
    </row>
    <row r="4" spans="1:1" ht="48" customHeight="1" x14ac:dyDescent="0.3">
      <c r="A4" s="4" t="s">
        <v>45</v>
      </c>
    </row>
    <row r="5" spans="1:1" ht="16.05" customHeight="1" x14ac:dyDescent="0.3">
      <c r="A5" s="3" t="s">
        <v>46</v>
      </c>
    </row>
    <row r="6" spans="1:1" ht="16.05" customHeight="1" x14ac:dyDescent="0.3">
      <c r="A6" s="4" t="s">
        <v>47</v>
      </c>
    </row>
    <row r="7" spans="1:1" ht="31.95" customHeight="1" x14ac:dyDescent="0.3">
      <c r="A7" s="4" t="s">
        <v>48</v>
      </c>
    </row>
    <row r="8" spans="1:1" ht="31.95" customHeight="1" x14ac:dyDescent="0.3">
      <c r="A8" s="4" t="s">
        <v>49</v>
      </c>
    </row>
    <row r="9" spans="1:1" ht="16.05" customHeight="1" x14ac:dyDescent="0.3">
      <c r="A9" s="4" t="s">
        <v>50</v>
      </c>
    </row>
    <row r="10" spans="1:1" ht="16.05" customHeight="1" x14ac:dyDescent="0.3">
      <c r="A10" s="4" t="s">
        <v>51</v>
      </c>
    </row>
    <row r="11" spans="1:1" ht="16.05" customHeight="1" x14ac:dyDescent="0.3">
      <c r="A11" s="3" t="s">
        <v>52</v>
      </c>
    </row>
    <row r="12" spans="1:1" ht="16.05" customHeight="1" x14ac:dyDescent="0.3">
      <c r="A12" s="4" t="s">
        <v>53</v>
      </c>
    </row>
    <row r="13" spans="1:1" ht="16.05" customHeight="1" x14ac:dyDescent="0.3">
      <c r="A13" s="3" t="s">
        <v>54</v>
      </c>
    </row>
    <row r="14" spans="1:1" ht="31.95" customHeight="1" x14ac:dyDescent="0.3">
      <c r="A14" s="4" t="s">
        <v>55</v>
      </c>
    </row>
    <row r="15" spans="1:1" ht="16.05" customHeight="1" x14ac:dyDescent="0.3">
      <c r="A15" s="3" t="s">
        <v>56</v>
      </c>
    </row>
    <row r="16" spans="1:1" ht="31.95" customHeight="1" x14ac:dyDescent="0.3">
      <c r="A16" s="4" t="s">
        <v>57</v>
      </c>
    </row>
    <row r="17" spans="1:1" ht="16.05" customHeight="1" x14ac:dyDescent="0.3">
      <c r="A17" s="3" t="s">
        <v>58</v>
      </c>
    </row>
    <row r="18" spans="1:1" ht="48" customHeight="1" x14ac:dyDescent="0.3">
      <c r="A18" s="4" t="s">
        <v>59</v>
      </c>
    </row>
    <row r="19" spans="1:1" ht="31.95" customHeight="1" x14ac:dyDescent="0.3">
      <c r="A19" s="4" t="s">
        <v>60</v>
      </c>
    </row>
    <row r="20" spans="1:1" ht="16.05" customHeight="1" x14ac:dyDescent="0.3">
      <c r="A20" s="4" t="s">
        <v>61</v>
      </c>
    </row>
    <row r="21" spans="1:1" ht="16.05" customHeight="1" x14ac:dyDescent="0.3">
      <c r="A21" s="3" t="s">
        <v>62</v>
      </c>
    </row>
    <row r="22" spans="1:1" ht="64.05" customHeight="1" x14ac:dyDescent="0.3">
      <c r="A22" s="4" t="s">
        <v>63</v>
      </c>
    </row>
    <row r="23" spans="1:1" ht="16.05" customHeight="1" x14ac:dyDescent="0.3">
      <c r="A23" s="3" t="s">
        <v>64</v>
      </c>
    </row>
    <row r="24" spans="1:1" ht="31.95" customHeight="1" x14ac:dyDescent="0.3">
      <c r="A24" s="4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showGridLines="0" tabSelected="1" workbookViewId="0"/>
  </sheetViews>
  <sheetFormatPr defaultRowHeight="14.4" x14ac:dyDescent="0.3"/>
  <cols>
    <col min="1" max="1" width="62" customWidth="1"/>
    <col min="2" max="2" width="26" customWidth="1"/>
    <col min="3" max="4" width="20" customWidth="1"/>
    <col min="5" max="6" width="22" customWidth="1"/>
    <col min="7" max="7" width="20" customWidth="1"/>
    <col min="8" max="8" width="18" customWidth="1"/>
    <col min="9" max="9" width="16" customWidth="1"/>
  </cols>
  <sheetData>
    <row r="1" spans="1:2" ht="17.399999999999999" x14ac:dyDescent="0.3">
      <c r="A1" s="5" t="s">
        <v>0</v>
      </c>
    </row>
    <row r="2" spans="1:2" x14ac:dyDescent="0.3">
      <c r="A2" s="6" t="s">
        <v>1</v>
      </c>
    </row>
    <row r="4" spans="1:2" x14ac:dyDescent="0.3">
      <c r="A4" s="7" t="s">
        <v>2</v>
      </c>
    </row>
    <row r="5" spans="1:2" x14ac:dyDescent="0.3">
      <c r="A5" s="8" t="s">
        <v>3</v>
      </c>
      <c r="B5" s="9" t="str">
        <f>Org!$B$4</f>
        <v>Northwind Example Co (fictional)</v>
      </c>
    </row>
    <row r="6" spans="1:2" x14ac:dyDescent="0.3">
      <c r="A6" s="8" t="s">
        <v>4</v>
      </c>
      <c r="B6" s="9" t="str">
        <f>Org!$B$6</f>
        <v>Base</v>
      </c>
    </row>
    <row r="7" spans="1:2" x14ac:dyDescent="0.3">
      <c r="A7" s="8" t="s">
        <v>5</v>
      </c>
      <c r="B7" s="9" t="str">
        <f>Org!$B$7</f>
        <v>Base</v>
      </c>
    </row>
    <row r="8" spans="1:2" x14ac:dyDescent="0.3">
      <c r="A8" s="8" t="s">
        <v>6</v>
      </c>
      <c r="B8" s="9" t="str">
        <f>Org!$B$8</f>
        <v>Hub-and-spoke</v>
      </c>
    </row>
    <row r="9" spans="1:2" x14ac:dyDescent="0.3">
      <c r="A9" s="8" t="s">
        <v>7</v>
      </c>
      <c r="B9" s="9" t="str">
        <f>Org!$B$9</f>
        <v>Usage-proportional</v>
      </c>
    </row>
    <row r="10" spans="1:2" x14ac:dyDescent="0.3">
      <c r="A10" s="8" t="s">
        <v>8</v>
      </c>
      <c r="B10" s="9">
        <f>Org!$B$5</f>
        <v>36</v>
      </c>
    </row>
    <row r="11" spans="1:2" x14ac:dyDescent="0.3">
      <c r="A11" s="6" t="str">
        <f>IF(Org!$B$6="High-cost","Stress case: every parameter is at its high value at once. Not a likely outcome.","")</f>
        <v/>
      </c>
    </row>
    <row r="13" spans="1:2" x14ac:dyDescent="0.3">
      <c r="A13" s="7" t="s">
        <v>9</v>
      </c>
    </row>
    <row r="14" spans="1:2" x14ac:dyDescent="0.3">
      <c r="A14" s="8" t="s">
        <v>10</v>
      </c>
      <c r="B14" s="10">
        <f>Results!$J$57</f>
        <v>18344688.101360001</v>
      </c>
    </row>
    <row r="15" spans="1:2" x14ac:dyDescent="0.3">
      <c r="A15" s="8" t="s">
        <v>11</v>
      </c>
      <c r="B15" s="10">
        <f>Results!$J$54</f>
        <v>26033656.540000007</v>
      </c>
    </row>
    <row r="16" spans="1:2" x14ac:dyDescent="0.3">
      <c r="A16" s="8" t="s">
        <v>12</v>
      </c>
      <c r="B16" s="10">
        <f>Results!$J$58</f>
        <v>7688968.4386400059</v>
      </c>
    </row>
    <row r="17" spans="1:9" x14ac:dyDescent="0.3">
      <c r="A17" s="8" t="s">
        <v>13</v>
      </c>
      <c r="B17" s="11">
        <f>Results!$J$59</f>
        <v>12</v>
      </c>
    </row>
    <row r="18" spans="1:9" x14ac:dyDescent="0.3">
      <c r="A18" s="8" t="s">
        <v>14</v>
      </c>
      <c r="B18" s="12">
        <f>Results!$J$60</f>
        <v>1.5099502931353506</v>
      </c>
    </row>
    <row r="19" spans="1:9" x14ac:dyDescent="0.3">
      <c r="A19" s="8" t="s">
        <v>15</v>
      </c>
      <c r="B19" s="12">
        <f>Results!$J$62</f>
        <v>2.1428288726829754</v>
      </c>
    </row>
    <row r="20" spans="1:9" x14ac:dyDescent="0.3">
      <c r="A20" s="8" t="s">
        <v>16</v>
      </c>
      <c r="B20" s="12">
        <f>Results!$J$61</f>
        <v>140.26021882972688</v>
      </c>
    </row>
    <row r="21" spans="1:9" x14ac:dyDescent="0.3">
      <c r="A21" s="8" t="s">
        <v>17</v>
      </c>
      <c r="B21" s="10">
        <f>Results!$J$63</f>
        <v>458413.6008966667</v>
      </c>
    </row>
    <row r="23" spans="1:9" x14ac:dyDescent="0.3">
      <c r="A23" s="7" t="s">
        <v>18</v>
      </c>
      <c r="B23" s="7" t="str">
        <f>Teams!C$4</f>
        <v>Corporate knowledge assistant (conservative calibration)</v>
      </c>
      <c r="C23" s="7" t="str">
        <f>Teams!D$4</f>
        <v>Engineering assistant</v>
      </c>
      <c r="D23" s="7" t="str">
        <f>Teams!E$4</f>
        <v>Customer service agent</v>
      </c>
      <c r="E23" s="7" t="str">
        <f>Teams!F$4</f>
        <v>Regulated document review</v>
      </c>
      <c r="F23" s="7" t="str">
        <f>Teams!G$4</f>
        <v>Sales assistant (published-range calibration)</v>
      </c>
      <c r="G23" s="7" t="s">
        <v>19</v>
      </c>
      <c r="H23" s="7" t="s">
        <v>20</v>
      </c>
    </row>
    <row r="24" spans="1:9" x14ac:dyDescent="0.3">
      <c r="A24" s="8" t="s">
        <v>21</v>
      </c>
      <c r="B24" s="13">
        <f>Results!D36</f>
        <v>47681.600000000006</v>
      </c>
      <c r="C24" s="13">
        <f>Results!E36</f>
        <v>39150.559999999998</v>
      </c>
      <c r="D24" s="13">
        <f>Results!F36</f>
        <v>42980</v>
      </c>
      <c r="E24" s="13">
        <f>Results!G36</f>
        <v>141125.63199999998</v>
      </c>
      <c r="F24" s="13">
        <f>Results!H36</f>
        <v>31760.096000000001</v>
      </c>
      <c r="G24" s="13">
        <f>Results!I36*Results!$D$3</f>
        <v>58240.000000000007</v>
      </c>
      <c r="H24" s="13">
        <f>Results!J36</f>
        <v>360937.88799999998</v>
      </c>
    </row>
    <row r="25" spans="1:9" x14ac:dyDescent="0.3">
      <c r="A25" s="8" t="s">
        <v>22</v>
      </c>
      <c r="B25" s="13">
        <f>Results!D37</f>
        <v>48000</v>
      </c>
      <c r="C25" s="13">
        <f>Results!E37</f>
        <v>48000</v>
      </c>
      <c r="D25" s="13">
        <f>Results!F37</f>
        <v>48000</v>
      </c>
      <c r="E25" s="13">
        <f>Results!G37</f>
        <v>48000</v>
      </c>
      <c r="F25" s="13">
        <f>Results!H37</f>
        <v>48000</v>
      </c>
      <c r="G25" s="13">
        <f>Results!I37*Results!$D$3</f>
        <v>297600</v>
      </c>
      <c r="H25" s="13">
        <f>Results!J37</f>
        <v>537600</v>
      </c>
    </row>
    <row r="26" spans="1:9" x14ac:dyDescent="0.3">
      <c r="A26" s="8" t="s">
        <v>23</v>
      </c>
      <c r="B26" s="13">
        <f>Results!D38</f>
        <v>3024000</v>
      </c>
      <c r="C26" s="13">
        <f>Results!E38</f>
        <v>1043787.8016000007</v>
      </c>
      <c r="D26" s="13">
        <f>Results!F38</f>
        <v>1287000</v>
      </c>
      <c r="E26" s="13">
        <f>Results!G38</f>
        <v>50143.181760000014</v>
      </c>
      <c r="F26" s="13">
        <f>Results!H38</f>
        <v>2016000</v>
      </c>
      <c r="G26" s="13">
        <f>Results!I38*Results!$D$3</f>
        <v>0</v>
      </c>
      <c r="H26" s="13">
        <f>Results!J38</f>
        <v>7420930.9833600009</v>
      </c>
    </row>
    <row r="27" spans="1:9" x14ac:dyDescent="0.3">
      <c r="A27" s="8" t="s">
        <v>24</v>
      </c>
      <c r="B27" s="13">
        <f>Results!D39</f>
        <v>263000</v>
      </c>
      <c r="C27" s="13">
        <f>Results!E39</f>
        <v>164480</v>
      </c>
      <c r="D27" s="13">
        <f>Results!F39</f>
        <v>142115</v>
      </c>
      <c r="E27" s="13">
        <f>Results!G39</f>
        <v>141920</v>
      </c>
      <c r="F27" s="13">
        <f>Results!H39</f>
        <v>222800</v>
      </c>
      <c r="G27" s="13">
        <f>Results!I39*Results!$D$3</f>
        <v>3179735.6800000006</v>
      </c>
      <c r="H27" s="13">
        <f>Results!J39</f>
        <v>4114050.6800000006</v>
      </c>
    </row>
    <row r="28" spans="1:9" x14ac:dyDescent="0.3">
      <c r="A28" s="8" t="s">
        <v>25</v>
      </c>
      <c r="B28" s="13">
        <f>Results!D40</f>
        <v>1408120.0499999998</v>
      </c>
      <c r="C28" s="13">
        <f>Results!E40</f>
        <v>2233862.399999999</v>
      </c>
      <c r="D28" s="13">
        <f>Results!F40</f>
        <v>330377</v>
      </c>
      <c r="E28" s="13">
        <f>Results!G40</f>
        <v>1000062.3999999994</v>
      </c>
      <c r="F28" s="13">
        <f>Results!H40</f>
        <v>938746.7000000003</v>
      </c>
      <c r="G28" s="13">
        <f>Results!I40*Results!$D$3</f>
        <v>0</v>
      </c>
      <c r="H28" s="13">
        <f>Results!J40</f>
        <v>5911168.5499999989</v>
      </c>
    </row>
    <row r="30" spans="1:9" ht="26.4" x14ac:dyDescent="0.3">
      <c r="A30" s="7" t="s">
        <v>26</v>
      </c>
      <c r="B30" s="3" t="s">
        <v>27</v>
      </c>
      <c r="C30" s="3" t="s">
        <v>28</v>
      </c>
      <c r="D30" s="3" t="s">
        <v>10</v>
      </c>
      <c r="E30" s="3" t="s">
        <v>14</v>
      </c>
      <c r="F30" s="3" t="s">
        <v>16</v>
      </c>
      <c r="G30" s="3" t="s">
        <v>11</v>
      </c>
      <c r="H30" s="3" t="s">
        <v>12</v>
      </c>
      <c r="I30" s="3" t="s">
        <v>13</v>
      </c>
    </row>
    <row r="31" spans="1:9" x14ac:dyDescent="0.3">
      <c r="A31" s="9" t="str">
        <f>Teams!$C$4</f>
        <v>Corporate knowledge assistant (conservative calibration)</v>
      </c>
      <c r="B31" s="9" t="str">
        <f>Results!D50</f>
        <v>Seat</v>
      </c>
      <c r="C31" s="14">
        <f>Results!D52</f>
        <v>3618000</v>
      </c>
      <c r="D31" s="13">
        <f>Results!D57</f>
        <v>5843686.8449297072</v>
      </c>
      <c r="E31" s="15">
        <f>Results!D60</f>
        <v>1.6151704933470723</v>
      </c>
      <c r="F31" s="15">
        <f>Results!D61</f>
        <v>96.910229600824337</v>
      </c>
      <c r="G31" s="13">
        <f>Results!D54</f>
        <v>2544720.2999999998</v>
      </c>
      <c r="H31" s="13">
        <f>Results!D58</f>
        <v>-3298966.5449297074</v>
      </c>
      <c r="I31" s="14" t="str">
        <f>Results!D59</f>
        <v>None</v>
      </c>
    </row>
    <row r="32" spans="1:9" x14ac:dyDescent="0.3">
      <c r="A32" s="9" t="str">
        <f>Teams!$D$4</f>
        <v>Engineering assistant</v>
      </c>
      <c r="B32" s="9" t="str">
        <f>Results!E50</f>
        <v>Seat + usage</v>
      </c>
      <c r="C32" s="14">
        <f>Results!E52</f>
        <v>4416000</v>
      </c>
      <c r="D32" s="13">
        <f>Results!E57</f>
        <v>4814394.3660249831</v>
      </c>
      <c r="E32" s="15">
        <f>Results!E60</f>
        <v>1.0902161154947878</v>
      </c>
      <c r="F32" s="15">
        <f>Results!E61</f>
        <v>436.08644619791517</v>
      </c>
      <c r="G32" s="13">
        <f>Results!E54</f>
        <v>13763200.000000006</v>
      </c>
      <c r="H32" s="13">
        <f>Results!E58</f>
        <v>8948805.6339750215</v>
      </c>
      <c r="I32" s="14">
        <f>Results!E59</f>
        <v>3</v>
      </c>
    </row>
    <row r="33" spans="1:9" x14ac:dyDescent="0.3">
      <c r="A33" s="9" t="str">
        <f>Teams!$E$4</f>
        <v>Customer service agent</v>
      </c>
      <c r="B33" s="9" t="str">
        <f>Results!F50</f>
        <v>Per-unit</v>
      </c>
      <c r="C33" s="14">
        <f>Results!F52</f>
        <v>1300000</v>
      </c>
      <c r="D33" s="13">
        <f>Results!F57</f>
        <v>2228788.9578243839</v>
      </c>
      <c r="E33" s="15">
        <f>Results!F60</f>
        <v>1.7144530444802952</v>
      </c>
      <c r="F33" s="15" t="str">
        <f>Results!F61</f>
        <v>n/a</v>
      </c>
      <c r="G33" s="13">
        <f>Results!F54</f>
        <v>2590672.5</v>
      </c>
      <c r="H33" s="13">
        <f>Results!F58</f>
        <v>361883.54217561614</v>
      </c>
      <c r="I33" s="14">
        <f>Results!F59</f>
        <v>14</v>
      </c>
    </row>
    <row r="34" spans="1:9" x14ac:dyDescent="0.3">
      <c r="A34" s="9" t="str">
        <f>Teams!$F$4</f>
        <v>Regulated document review</v>
      </c>
      <c r="B34" s="9" t="str">
        <f>Results!G50</f>
        <v>Per-unit</v>
      </c>
      <c r="C34" s="14">
        <f>Results!G52</f>
        <v>403200</v>
      </c>
      <c r="D34" s="13">
        <f>Results!G57</f>
        <v>1498587.6732944546</v>
      </c>
      <c r="E34" s="15">
        <f>Results!G60</f>
        <v>3.7167353008295003</v>
      </c>
      <c r="F34" s="15">
        <f>Results!G61</f>
        <v>446.00823609954006</v>
      </c>
      <c r="G34" s="13">
        <f>Results!G54</f>
        <v>1197383.0399999993</v>
      </c>
      <c r="H34" s="13">
        <f>Results!G58</f>
        <v>-301204.63329445524</v>
      </c>
      <c r="I34" s="14" t="str">
        <f>Results!G59</f>
        <v>None</v>
      </c>
    </row>
    <row r="35" spans="1:9" x14ac:dyDescent="0.3">
      <c r="A35" s="9" t="str">
        <f>Teams!$G$4</f>
        <v>Sales assistant (published-range calibration)</v>
      </c>
      <c r="B35" s="9" t="str">
        <f>Results!H50</f>
        <v>Seat</v>
      </c>
      <c r="C35" s="14">
        <f>Results!H52</f>
        <v>2412000</v>
      </c>
      <c r="D35" s="13">
        <f>Results!H57</f>
        <v>3959230.2592864721</v>
      </c>
      <c r="E35" s="15">
        <f>Results!H60</f>
        <v>1.6414719151270614</v>
      </c>
      <c r="F35" s="15">
        <f>Results!H61</f>
        <v>98.488314907623689</v>
      </c>
      <c r="G35" s="13">
        <f>Results!H54</f>
        <v>5937680.7000000039</v>
      </c>
      <c r="H35" s="13">
        <f>Results!H58</f>
        <v>1978450.4407135318</v>
      </c>
      <c r="I35" s="14">
        <f>Results!H59</f>
        <v>13</v>
      </c>
    </row>
    <row r="37" spans="1:9" x14ac:dyDescent="0.3">
      <c r="A37" s="7" t="s">
        <v>29</v>
      </c>
      <c r="B37" s="7" t="s">
        <v>30</v>
      </c>
      <c r="C37" s="7" t="s">
        <v>31</v>
      </c>
    </row>
    <row r="38" spans="1:9" x14ac:dyDescent="0.3">
      <c r="A38" s="8" t="s">
        <v>32</v>
      </c>
      <c r="B38" s="13">
        <f>Results!D43</f>
        <v>7494384.5513600009</v>
      </c>
      <c r="C38" s="16">
        <f>Results!E43</f>
        <v>0.40853158745197732</v>
      </c>
    </row>
    <row r="39" spans="1:9" x14ac:dyDescent="0.3">
      <c r="A39" s="8" t="s">
        <v>33</v>
      </c>
      <c r="B39" s="13">
        <f>Results!D44</f>
        <v>4619616.5499999989</v>
      </c>
      <c r="C39" s="16">
        <f>Results!E44</f>
        <v>0.25182311764992721</v>
      </c>
    </row>
    <row r="40" spans="1:9" x14ac:dyDescent="0.3">
      <c r="A40" s="8" t="s">
        <v>34</v>
      </c>
      <c r="B40" s="13">
        <f>Results!D45</f>
        <v>6230687</v>
      </c>
      <c r="C40" s="16">
        <f>Results!E45</f>
        <v>0.33964529489809542</v>
      </c>
    </row>
    <row r="41" spans="1:9" x14ac:dyDescent="0.3">
      <c r="A41" s="8" t="s">
        <v>35</v>
      </c>
      <c r="B41" s="13">
        <f>Results!D46</f>
        <v>0</v>
      </c>
      <c r="C41" s="16">
        <f>Results!E46</f>
        <v>0</v>
      </c>
    </row>
    <row r="43" spans="1:9" x14ac:dyDescent="0.3">
      <c r="A43" s="7" t="s">
        <v>36</v>
      </c>
    </row>
    <row r="44" spans="1:9" x14ac:dyDescent="0.3">
      <c r="A44" s="9" t="str">
        <f>Lines!$A$17&amp;" "&amp;Lines!$B$17&amp;": "&amp;Lines!$H$17</f>
        <v>CL-14 Environments and base cloud infrastructure: OFF</v>
      </c>
    </row>
    <row r="45" spans="1:9" x14ac:dyDescent="0.3">
      <c r="A45" s="9" t="str">
        <f>Lines!$A$18&amp;" "&amp;Lines!$B$18&amp;": "&amp;Lines!$H$18</f>
        <v>CL-15 Committed capacity (provisioned cloud or self-hosted GPUs): OFF</v>
      </c>
    </row>
    <row r="46" spans="1:9" x14ac:dyDescent="0.3">
      <c r="A46" s="9" t="str">
        <f>Lines!$A$34&amp;" "&amp;Lines!$B$34&amp;": "&amp;Lines!$H$34</f>
        <v>CL-31 Compliance audit and governance: OFF</v>
      </c>
    </row>
    <row r="47" spans="1:9" x14ac:dyDescent="0.3">
      <c r="A47" s="9" t="str">
        <f>Lines!$A$35&amp;" "&amp;Lines!$B$35&amp;": "&amp;Lines!$H$35</f>
        <v>CL-32 Platform and vendor licences: OFF</v>
      </c>
    </row>
    <row r="49" spans="1:4" x14ac:dyDescent="0.3">
      <c r="A49" s="8" t="s">
        <v>37</v>
      </c>
      <c r="B49" s="17" t="str">
        <f>Tests!$C$16</f>
        <v>ALL 12 PASS</v>
      </c>
    </row>
    <row r="51" spans="1:4" x14ac:dyDescent="0.3">
      <c r="A51" s="7" t="s">
        <v>38</v>
      </c>
    </row>
    <row r="52" spans="1:4" x14ac:dyDescent="0.3">
      <c r="A52" s="8" t="s">
        <v>39</v>
      </c>
      <c r="B52" s="17" t="str">
        <f>Sensitivity!$B$23</f>
        <v>Realisation share of self-reported time saved</v>
      </c>
    </row>
    <row r="53" spans="1:4" x14ac:dyDescent="0.3">
      <c r="A53" s="8" t="s">
        <v>40</v>
      </c>
      <c r="B53" s="9" t="str">
        <f>Sensitivity!$B$24</f>
        <v>can fall by 30% before net value reaches zero (break-even multiplier 0.70x)</v>
      </c>
    </row>
    <row r="54" spans="1:4" x14ac:dyDescent="0.3">
      <c r="A54" s="8" t="s">
        <v>41</v>
      </c>
      <c r="B54" s="9" t="str">
        <f>Sensitivity!$B$27</f>
        <v>Realisation share of self-reported time saved (swing $26,033,657)</v>
      </c>
      <c r="C54" s="9" t="str">
        <f>Sensitivity!$B$28</f>
        <v>Minutes saved per outcome (swing $26,033,657)</v>
      </c>
      <c r="D54" s="9" t="str">
        <f>Sensitivity!$B$29</f>
        <v>Adoption and volume (active share, outcomes) (swing $11,947,865)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4.4" x14ac:dyDescent="0.3"/>
  <cols>
    <col min="1" max="1" width="46" customWidth="1"/>
    <col min="2" max="2" width="34" customWidth="1"/>
    <col min="3" max="3" width="52" customWidth="1"/>
    <col min="4" max="4" width="12" customWidth="1"/>
    <col min="5" max="5" width="62" customWidth="1"/>
    <col min="6" max="6" width="8" customWidth="1"/>
  </cols>
  <sheetData>
    <row r="1" spans="1:6" ht="17.399999999999999" x14ac:dyDescent="0.3">
      <c r="A1" s="5" t="s">
        <v>66</v>
      </c>
    </row>
    <row r="2" spans="1:6" x14ac:dyDescent="0.3">
      <c r="A2" s="18" t="s">
        <v>67</v>
      </c>
    </row>
    <row r="3" spans="1:6" x14ac:dyDescent="0.3">
      <c r="A3" s="19" t="s">
        <v>68</v>
      </c>
      <c r="B3" s="19" t="s">
        <v>69</v>
      </c>
      <c r="C3" s="19" t="s">
        <v>70</v>
      </c>
      <c r="D3" s="19" t="s">
        <v>71</v>
      </c>
      <c r="E3" s="19" t="s">
        <v>72</v>
      </c>
      <c r="F3" s="19" t="s">
        <v>73</v>
      </c>
    </row>
    <row r="4" spans="1:6" x14ac:dyDescent="0.3">
      <c r="A4" s="8" t="s">
        <v>74</v>
      </c>
      <c r="B4" s="20" t="s">
        <v>75</v>
      </c>
      <c r="C4" s="18" t="s">
        <v>76</v>
      </c>
      <c r="D4" s="8" t="s">
        <v>77</v>
      </c>
      <c r="E4" s="18" t="s">
        <v>78</v>
      </c>
      <c r="F4" s="8" t="s">
        <v>79</v>
      </c>
    </row>
    <row r="5" spans="1:6" x14ac:dyDescent="0.3">
      <c r="A5" s="8" t="s">
        <v>80</v>
      </c>
      <c r="B5" s="21">
        <v>36</v>
      </c>
      <c r="C5" s="18" t="s">
        <v>81</v>
      </c>
      <c r="D5" s="8" t="s">
        <v>77</v>
      </c>
      <c r="E5" s="18" t="s">
        <v>82</v>
      </c>
      <c r="F5" s="8" t="s">
        <v>79</v>
      </c>
    </row>
    <row r="6" spans="1:6" x14ac:dyDescent="0.3">
      <c r="A6" s="8" t="s">
        <v>83</v>
      </c>
      <c r="B6" s="20" t="s">
        <v>84</v>
      </c>
      <c r="C6" s="18" t="s">
        <v>85</v>
      </c>
      <c r="D6" s="8" t="s">
        <v>77</v>
      </c>
      <c r="E6" s="18" t="s">
        <v>86</v>
      </c>
      <c r="F6" s="8" t="s">
        <v>79</v>
      </c>
    </row>
    <row r="7" spans="1:6" x14ac:dyDescent="0.3">
      <c r="A7" s="8" t="s">
        <v>87</v>
      </c>
      <c r="B7" s="20" t="s">
        <v>84</v>
      </c>
      <c r="C7" s="18" t="s">
        <v>88</v>
      </c>
      <c r="D7" s="8" t="s">
        <v>77</v>
      </c>
      <c r="E7" s="18" t="s">
        <v>86</v>
      </c>
      <c r="F7" s="8" t="s">
        <v>79</v>
      </c>
    </row>
    <row r="8" spans="1:6" x14ac:dyDescent="0.3">
      <c r="A8" s="8" t="s">
        <v>6</v>
      </c>
      <c r="B8" s="20" t="s">
        <v>89</v>
      </c>
      <c r="C8" s="18" t="s">
        <v>90</v>
      </c>
      <c r="D8" s="8" t="s">
        <v>77</v>
      </c>
      <c r="E8" s="18" t="s">
        <v>91</v>
      </c>
      <c r="F8" s="8" t="s">
        <v>79</v>
      </c>
    </row>
    <row r="9" spans="1:6" x14ac:dyDescent="0.3">
      <c r="A9" s="8" t="s">
        <v>7</v>
      </c>
      <c r="B9" s="20" t="s">
        <v>92</v>
      </c>
      <c r="C9" s="18" t="s">
        <v>93</v>
      </c>
      <c r="D9" s="8" t="s">
        <v>77</v>
      </c>
      <c r="E9" s="18" t="s">
        <v>94</v>
      </c>
      <c r="F9" s="8" t="s">
        <v>79</v>
      </c>
    </row>
    <row r="10" spans="1:6" x14ac:dyDescent="0.3">
      <c r="A10" s="8" t="s">
        <v>95</v>
      </c>
      <c r="B10" s="21">
        <v>800</v>
      </c>
      <c r="C10" s="18" t="s">
        <v>96</v>
      </c>
      <c r="D10" s="8" t="s">
        <v>77</v>
      </c>
      <c r="E10" s="18" t="s">
        <v>97</v>
      </c>
      <c r="F10" s="8" t="s">
        <v>79</v>
      </c>
    </row>
    <row r="11" spans="1:6" x14ac:dyDescent="0.3">
      <c r="A11" s="8" t="s">
        <v>98</v>
      </c>
      <c r="B11" s="21">
        <v>8</v>
      </c>
      <c r="C11" s="18" t="s">
        <v>99</v>
      </c>
      <c r="D11" s="8" t="s">
        <v>77</v>
      </c>
      <c r="E11" s="18" t="s">
        <v>100</v>
      </c>
      <c r="F11" s="8" t="s">
        <v>79</v>
      </c>
    </row>
    <row r="12" spans="1:6" x14ac:dyDescent="0.3">
      <c r="A12" s="8" t="s">
        <v>101</v>
      </c>
      <c r="B12" s="21">
        <v>220</v>
      </c>
      <c r="C12" s="18" t="s">
        <v>102</v>
      </c>
      <c r="D12" s="8" t="s">
        <v>77</v>
      </c>
      <c r="E12" s="18" t="s">
        <v>100</v>
      </c>
      <c r="F12" s="8" t="s">
        <v>79</v>
      </c>
    </row>
    <row r="13" spans="1:6" x14ac:dyDescent="0.3">
      <c r="A13" s="8" t="s">
        <v>103</v>
      </c>
      <c r="B13" s="21">
        <v>5</v>
      </c>
      <c r="C13" s="18" t="s">
        <v>104</v>
      </c>
      <c r="D13" s="8" t="s">
        <v>77</v>
      </c>
      <c r="E13" s="18" t="s">
        <v>78</v>
      </c>
      <c r="F13" s="8" t="s">
        <v>79</v>
      </c>
    </row>
    <row r="15" spans="1:6" x14ac:dyDescent="0.3">
      <c r="A15" s="7" t="s">
        <v>105</v>
      </c>
    </row>
    <row r="16" spans="1:6" x14ac:dyDescent="0.3">
      <c r="A16" s="8" t="s">
        <v>106</v>
      </c>
      <c r="B16" s="22">
        <f>MATCH($B$6,{"Low-cost","Base","High-cost"},0)</f>
        <v>2</v>
      </c>
    </row>
    <row r="17" spans="1:2" x14ac:dyDescent="0.3">
      <c r="A17" s="8" t="s">
        <v>107</v>
      </c>
      <c r="B17" s="22">
        <f>MATCH($B$7,{"Low","Base","High"},0)</f>
        <v>2</v>
      </c>
    </row>
    <row r="18" spans="1:2" x14ac:dyDescent="0.3">
      <c r="A18" s="8" t="s">
        <v>108</v>
      </c>
      <c r="B18" s="22">
        <f>SUM(Teams!C5:G5)</f>
        <v>5</v>
      </c>
    </row>
    <row r="19" spans="1:2" x14ac:dyDescent="0.3">
      <c r="A19" s="8" t="s">
        <v>109</v>
      </c>
      <c r="B19" s="22">
        <f>B18</f>
        <v>5</v>
      </c>
    </row>
  </sheetData>
  <dataValidations count="4">
    <dataValidation type="list" sqref="B6" xr:uid="{00000000-0002-0000-0200-000000000000}">
      <formula1>"Low-cost,Base,High-cost"</formula1>
    </dataValidation>
    <dataValidation type="list" sqref="B7" xr:uid="{00000000-0002-0000-0200-000001000000}">
      <formula1>"Low,Base,High"</formula1>
    </dataValidation>
    <dataValidation type="list" sqref="B8" xr:uid="{00000000-0002-0000-0200-000002000000}">
      <formula1>"Centralized,Federated,Hub-and-spoke"</formula1>
    </dataValidation>
    <dataValidation type="list" sqref="B9" xr:uid="{00000000-0002-0000-0200-000003000000}">
      <formula1>"Usage-proportional,Headcount proxy,Even split,Central budget"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2" customWidth="1"/>
    <col min="2" max="2" width="44" customWidth="1"/>
    <col min="3" max="7" width="30" customWidth="1"/>
    <col min="8" max="8" width="10" customWidth="1"/>
    <col min="9" max="9" width="60" customWidth="1"/>
    <col min="10" max="10" width="7" customWidth="1"/>
  </cols>
  <sheetData>
    <row r="1" spans="1:10" ht="17.399999999999999" x14ac:dyDescent="0.3">
      <c r="A1" s="5" t="s">
        <v>110</v>
      </c>
    </row>
    <row r="2" spans="1:10" x14ac:dyDescent="0.3">
      <c r="A2" s="18" t="s">
        <v>111</v>
      </c>
    </row>
    <row r="3" spans="1:10" x14ac:dyDescent="0.3">
      <c r="A3" s="19" t="s">
        <v>68</v>
      </c>
      <c r="B3" s="19" t="s">
        <v>70</v>
      </c>
      <c r="C3" s="19" t="s">
        <v>112</v>
      </c>
      <c r="D3" s="19" t="s">
        <v>113</v>
      </c>
      <c r="E3" s="19" t="s">
        <v>114</v>
      </c>
      <c r="F3" s="19" t="s">
        <v>115</v>
      </c>
      <c r="G3" s="19" t="s">
        <v>116</v>
      </c>
      <c r="H3" s="19" t="s">
        <v>71</v>
      </c>
      <c r="I3" s="19" t="s">
        <v>72</v>
      </c>
      <c r="J3" s="19" t="s">
        <v>73</v>
      </c>
    </row>
    <row r="4" spans="1:10" x14ac:dyDescent="0.3">
      <c r="A4" s="8" t="s">
        <v>117</v>
      </c>
      <c r="B4" s="18" t="s">
        <v>76</v>
      </c>
      <c r="C4" s="20" t="s">
        <v>118</v>
      </c>
      <c r="D4" s="20" t="s">
        <v>119</v>
      </c>
      <c r="E4" s="20" t="s">
        <v>120</v>
      </c>
      <c r="F4" s="20" t="s">
        <v>121</v>
      </c>
      <c r="G4" s="20" t="s">
        <v>122</v>
      </c>
      <c r="H4" s="8" t="s">
        <v>77</v>
      </c>
      <c r="I4" s="18" t="s">
        <v>123</v>
      </c>
      <c r="J4" s="8" t="s">
        <v>79</v>
      </c>
    </row>
    <row r="5" spans="1:10" x14ac:dyDescent="0.3">
      <c r="A5" s="8" t="s">
        <v>124</v>
      </c>
      <c r="B5" s="18" t="s">
        <v>125</v>
      </c>
      <c r="C5" s="21">
        <v>1</v>
      </c>
      <c r="D5" s="21">
        <v>1</v>
      </c>
      <c r="E5" s="21">
        <v>1</v>
      </c>
      <c r="F5" s="21">
        <v>1</v>
      </c>
      <c r="G5" s="21">
        <v>1</v>
      </c>
      <c r="H5" s="8" t="s">
        <v>77</v>
      </c>
      <c r="I5" s="18" t="s">
        <v>123</v>
      </c>
      <c r="J5" s="8" t="s">
        <v>79</v>
      </c>
    </row>
    <row r="6" spans="1:10" x14ac:dyDescent="0.3">
      <c r="A6" s="8" t="s">
        <v>126</v>
      </c>
      <c r="B6" s="18" t="s">
        <v>76</v>
      </c>
      <c r="C6" s="20" t="s">
        <v>127</v>
      </c>
      <c r="D6" s="20" t="s">
        <v>128</v>
      </c>
      <c r="E6" s="20" t="s">
        <v>129</v>
      </c>
      <c r="F6" s="20" t="s">
        <v>130</v>
      </c>
      <c r="G6" s="20" t="s">
        <v>127</v>
      </c>
      <c r="H6" s="8" t="s">
        <v>77</v>
      </c>
      <c r="I6" s="18" t="s">
        <v>123</v>
      </c>
      <c r="J6" s="8" t="s">
        <v>79</v>
      </c>
    </row>
    <row r="7" spans="1:10" x14ac:dyDescent="0.3">
      <c r="A7" s="8" t="s">
        <v>131</v>
      </c>
      <c r="B7" s="18" t="s">
        <v>76</v>
      </c>
      <c r="C7" s="20" t="s">
        <v>132</v>
      </c>
      <c r="D7" s="20" t="s">
        <v>133</v>
      </c>
      <c r="E7" s="20" t="s">
        <v>134</v>
      </c>
      <c r="F7" s="20" t="s">
        <v>135</v>
      </c>
      <c r="G7" s="20" t="s">
        <v>136</v>
      </c>
      <c r="H7" s="8" t="s">
        <v>77</v>
      </c>
      <c r="I7" s="18" t="s">
        <v>123</v>
      </c>
      <c r="J7" s="8" t="s">
        <v>79</v>
      </c>
    </row>
    <row r="8" spans="1:10" x14ac:dyDescent="0.3">
      <c r="A8" s="8" t="s">
        <v>27</v>
      </c>
      <c r="B8" s="18" t="s">
        <v>137</v>
      </c>
      <c r="C8" s="20" t="s">
        <v>138</v>
      </c>
      <c r="D8" s="20" t="s">
        <v>139</v>
      </c>
      <c r="E8" s="20" t="s">
        <v>140</v>
      </c>
      <c r="F8" s="20" t="s">
        <v>140</v>
      </c>
      <c r="G8" s="20" t="s">
        <v>138</v>
      </c>
      <c r="H8" s="8" t="s">
        <v>77</v>
      </c>
      <c r="I8" s="18" t="s">
        <v>123</v>
      </c>
      <c r="J8" s="8" t="s">
        <v>79</v>
      </c>
    </row>
    <row r="9" spans="1:10" x14ac:dyDescent="0.3">
      <c r="A9" s="8" t="s">
        <v>141</v>
      </c>
      <c r="B9" s="18" t="s">
        <v>142</v>
      </c>
      <c r="C9" s="20" t="s">
        <v>143</v>
      </c>
      <c r="D9" s="20" t="s">
        <v>144</v>
      </c>
      <c r="E9" s="20" t="s">
        <v>143</v>
      </c>
      <c r="F9" s="20" t="s">
        <v>143</v>
      </c>
      <c r="G9" s="20" t="s">
        <v>143</v>
      </c>
      <c r="H9" s="8" t="s">
        <v>77</v>
      </c>
      <c r="I9" s="18" t="s">
        <v>123</v>
      </c>
      <c r="J9" s="8" t="s">
        <v>79</v>
      </c>
    </row>
    <row r="10" spans="1:10" x14ac:dyDescent="0.3">
      <c r="A10" s="8" t="s">
        <v>145</v>
      </c>
      <c r="B10" s="18" t="s">
        <v>142</v>
      </c>
      <c r="C10" s="20" t="s">
        <v>146</v>
      </c>
      <c r="D10" s="20" t="s">
        <v>146</v>
      </c>
      <c r="E10" s="20" t="s">
        <v>146</v>
      </c>
      <c r="F10" s="20" t="s">
        <v>146</v>
      </c>
      <c r="G10" s="20" t="s">
        <v>146</v>
      </c>
      <c r="H10" s="8" t="s">
        <v>77</v>
      </c>
      <c r="I10" s="18" t="s">
        <v>123</v>
      </c>
      <c r="J10" s="8" t="s">
        <v>79</v>
      </c>
    </row>
    <row r="11" spans="1:10" x14ac:dyDescent="0.3">
      <c r="A11" s="8" t="s">
        <v>147</v>
      </c>
      <c r="B11" s="18" t="s">
        <v>148</v>
      </c>
      <c r="C11" s="23">
        <v>0.1</v>
      </c>
      <c r="D11" s="23">
        <v>0</v>
      </c>
      <c r="E11" s="23">
        <v>0</v>
      </c>
      <c r="F11" s="23">
        <v>0</v>
      </c>
      <c r="G11" s="23">
        <v>0.1</v>
      </c>
      <c r="H11" s="8" t="s">
        <v>77</v>
      </c>
      <c r="I11" s="18" t="s">
        <v>123</v>
      </c>
      <c r="J11" s="8" t="s">
        <v>79</v>
      </c>
    </row>
    <row r="12" spans="1:10" x14ac:dyDescent="0.3">
      <c r="A12" s="8" t="s">
        <v>149</v>
      </c>
      <c r="B12" s="18" t="s">
        <v>150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8" t="s">
        <v>77</v>
      </c>
      <c r="I12" s="18" t="s">
        <v>123</v>
      </c>
      <c r="J12" s="8" t="s">
        <v>79</v>
      </c>
    </row>
    <row r="13" spans="1:10" x14ac:dyDescent="0.3">
      <c r="A13" s="8" t="s">
        <v>151</v>
      </c>
      <c r="B13" s="18" t="s">
        <v>148</v>
      </c>
      <c r="C13" s="23">
        <v>0.1</v>
      </c>
      <c r="D13" s="23">
        <v>0.1</v>
      </c>
      <c r="E13" s="23">
        <v>0.1</v>
      </c>
      <c r="F13" s="23">
        <v>0.1</v>
      </c>
      <c r="G13" s="23">
        <v>0.1</v>
      </c>
      <c r="H13" s="8" t="s">
        <v>77</v>
      </c>
      <c r="I13" s="18" t="s">
        <v>123</v>
      </c>
      <c r="J13" s="8" t="s">
        <v>79</v>
      </c>
    </row>
    <row r="14" spans="1:10" x14ac:dyDescent="0.3">
      <c r="A14" s="8" t="s">
        <v>152</v>
      </c>
      <c r="B14" s="18" t="s">
        <v>153</v>
      </c>
      <c r="C14" s="21">
        <v>5</v>
      </c>
      <c r="D14" s="21">
        <v>5</v>
      </c>
      <c r="E14" s="21">
        <v>5</v>
      </c>
      <c r="F14" s="21">
        <v>5</v>
      </c>
      <c r="G14" s="21">
        <v>5</v>
      </c>
      <c r="H14" s="8" t="s">
        <v>77</v>
      </c>
      <c r="I14" s="18" t="s">
        <v>123</v>
      </c>
      <c r="J14" s="8" t="s">
        <v>79</v>
      </c>
    </row>
    <row r="15" spans="1:10" x14ac:dyDescent="0.3">
      <c r="A15" s="8" t="s">
        <v>154</v>
      </c>
      <c r="B15" s="18" t="s">
        <v>142</v>
      </c>
      <c r="C15" s="20"/>
      <c r="D15" s="20"/>
      <c r="E15" s="20" t="s">
        <v>155</v>
      </c>
      <c r="F15" s="20"/>
      <c r="G15" s="20"/>
      <c r="H15" s="8" t="s">
        <v>77</v>
      </c>
      <c r="I15" s="18" t="s">
        <v>123</v>
      </c>
      <c r="J15" s="8" t="s">
        <v>79</v>
      </c>
    </row>
    <row r="16" spans="1:10" x14ac:dyDescent="0.3">
      <c r="A16" s="8" t="s">
        <v>156</v>
      </c>
      <c r="B16" s="18" t="s">
        <v>157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8" t="s">
        <v>77</v>
      </c>
      <c r="I16" s="18" t="s">
        <v>123</v>
      </c>
      <c r="J16" s="8" t="s">
        <v>79</v>
      </c>
    </row>
    <row r="17" spans="1:10" x14ac:dyDescent="0.3">
      <c r="A17" s="8" t="s">
        <v>158</v>
      </c>
      <c r="B17" s="18" t="s">
        <v>159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8" t="s">
        <v>77</v>
      </c>
      <c r="I17" s="18" t="s">
        <v>123</v>
      </c>
      <c r="J17" s="8" t="s">
        <v>79</v>
      </c>
    </row>
    <row r="18" spans="1:10" x14ac:dyDescent="0.3">
      <c r="A18" s="8" t="s">
        <v>160</v>
      </c>
      <c r="B18" s="18" t="s">
        <v>161</v>
      </c>
      <c r="C18" s="21">
        <v>3000</v>
      </c>
      <c r="D18" s="21">
        <v>400</v>
      </c>
      <c r="E18" s="21">
        <v>60</v>
      </c>
      <c r="F18" s="21">
        <v>150</v>
      </c>
      <c r="G18" s="21">
        <v>2000</v>
      </c>
      <c r="H18" s="8" t="s">
        <v>77</v>
      </c>
      <c r="I18" s="18" t="s">
        <v>123</v>
      </c>
      <c r="J18" s="8" t="s">
        <v>79</v>
      </c>
    </row>
    <row r="19" spans="1:10" x14ac:dyDescent="0.3">
      <c r="A19" s="8" t="s">
        <v>162</v>
      </c>
      <c r="B19" s="18" t="s">
        <v>148</v>
      </c>
      <c r="C19" s="23">
        <v>0.6</v>
      </c>
      <c r="D19" s="23">
        <v>0.8</v>
      </c>
      <c r="E19" s="23">
        <v>0.85</v>
      </c>
      <c r="F19" s="23">
        <v>0.7</v>
      </c>
      <c r="G19" s="23">
        <v>0.6</v>
      </c>
      <c r="H19" s="8" t="s">
        <v>77</v>
      </c>
      <c r="I19" s="18" t="s">
        <v>123</v>
      </c>
      <c r="J19" s="8" t="s">
        <v>79</v>
      </c>
    </row>
    <row r="20" spans="1:10" x14ac:dyDescent="0.3">
      <c r="A20" s="8" t="s">
        <v>163</v>
      </c>
      <c r="B20" s="18" t="s">
        <v>164</v>
      </c>
      <c r="C20" s="21">
        <v>1</v>
      </c>
      <c r="D20" s="21">
        <v>1</v>
      </c>
      <c r="E20" s="21">
        <v>2</v>
      </c>
      <c r="F20" s="21">
        <v>3</v>
      </c>
      <c r="G20" s="21">
        <v>1</v>
      </c>
      <c r="H20" s="8" t="s">
        <v>77</v>
      </c>
      <c r="I20" s="18" t="s">
        <v>123</v>
      </c>
      <c r="J20" s="8" t="s">
        <v>79</v>
      </c>
    </row>
    <row r="21" spans="1:10" x14ac:dyDescent="0.3">
      <c r="A21" s="8" t="s">
        <v>165</v>
      </c>
      <c r="B21" s="18" t="s">
        <v>166</v>
      </c>
      <c r="C21" s="21">
        <v>6</v>
      </c>
      <c r="D21" s="21">
        <v>4</v>
      </c>
      <c r="E21" s="21">
        <v>6</v>
      </c>
      <c r="F21" s="21">
        <v>5</v>
      </c>
      <c r="G21" s="21">
        <v>6</v>
      </c>
      <c r="H21" s="8" t="s">
        <v>77</v>
      </c>
      <c r="I21" s="18" t="s">
        <v>123</v>
      </c>
      <c r="J21" s="8" t="s">
        <v>79</v>
      </c>
    </row>
    <row r="22" spans="1:10" x14ac:dyDescent="0.3">
      <c r="A22" s="8" t="s">
        <v>167</v>
      </c>
      <c r="B22" s="18" t="s">
        <v>168</v>
      </c>
      <c r="C22" s="20" t="s">
        <v>169</v>
      </c>
      <c r="D22" s="20" t="s">
        <v>170</v>
      </c>
      <c r="E22" s="20" t="s">
        <v>169</v>
      </c>
      <c r="F22" s="20" t="s">
        <v>169</v>
      </c>
      <c r="G22" s="20" t="s">
        <v>169</v>
      </c>
      <c r="H22" s="8" t="s">
        <v>77</v>
      </c>
      <c r="I22" s="18" t="s">
        <v>123</v>
      </c>
      <c r="J22" s="8" t="s">
        <v>79</v>
      </c>
    </row>
    <row r="23" spans="1:10" x14ac:dyDescent="0.3">
      <c r="A23" s="8" t="s">
        <v>171</v>
      </c>
      <c r="B23" s="18" t="s">
        <v>172</v>
      </c>
      <c r="C23" s="20" t="s">
        <v>173</v>
      </c>
      <c r="D23" s="20" t="s">
        <v>173</v>
      </c>
      <c r="E23" s="20" t="s">
        <v>174</v>
      </c>
      <c r="F23" s="20" t="s">
        <v>173</v>
      </c>
      <c r="G23" s="20" t="s">
        <v>173</v>
      </c>
      <c r="H23" s="8" t="s">
        <v>77</v>
      </c>
      <c r="I23" s="18" t="s">
        <v>123</v>
      </c>
      <c r="J23" s="8" t="s">
        <v>79</v>
      </c>
    </row>
    <row r="24" spans="1:10" x14ac:dyDescent="0.3">
      <c r="A24" s="8" t="s">
        <v>175</v>
      </c>
      <c r="B24" s="18" t="s">
        <v>159</v>
      </c>
      <c r="C24" s="21">
        <v>60</v>
      </c>
      <c r="D24" s="21">
        <v>400</v>
      </c>
      <c r="E24" s="21">
        <v>0</v>
      </c>
      <c r="F24" s="21">
        <v>120</v>
      </c>
      <c r="G24" s="21">
        <v>60</v>
      </c>
      <c r="H24" s="8" t="s">
        <v>77</v>
      </c>
      <c r="I24" s="18" t="s">
        <v>123</v>
      </c>
      <c r="J24" s="8" t="s">
        <v>79</v>
      </c>
    </row>
    <row r="25" spans="1:10" x14ac:dyDescent="0.3">
      <c r="A25" s="8" t="s">
        <v>176</v>
      </c>
      <c r="B25" s="18" t="s">
        <v>177</v>
      </c>
      <c r="C25" s="21">
        <v>0</v>
      </c>
      <c r="D25" s="21">
        <v>0</v>
      </c>
      <c r="E25" s="21">
        <v>40000</v>
      </c>
      <c r="F25" s="21">
        <v>0</v>
      </c>
      <c r="G25" s="21">
        <v>0</v>
      </c>
      <c r="H25" s="8" t="s">
        <v>77</v>
      </c>
      <c r="I25" s="18" t="s">
        <v>123</v>
      </c>
      <c r="J25" s="8" t="s">
        <v>79</v>
      </c>
    </row>
    <row r="26" spans="1:10" x14ac:dyDescent="0.3">
      <c r="A26" s="8" t="s">
        <v>178</v>
      </c>
      <c r="B26" s="18" t="s">
        <v>142</v>
      </c>
      <c r="C26" s="20" t="s">
        <v>179</v>
      </c>
      <c r="D26" s="20" t="s">
        <v>179</v>
      </c>
      <c r="E26" s="20" t="s">
        <v>179</v>
      </c>
      <c r="F26" s="20" t="s">
        <v>180</v>
      </c>
      <c r="G26" s="20" t="s">
        <v>179</v>
      </c>
      <c r="H26" s="8" t="s">
        <v>77</v>
      </c>
      <c r="I26" s="18" t="s">
        <v>123</v>
      </c>
      <c r="J26" s="8" t="s">
        <v>79</v>
      </c>
    </row>
    <row r="27" spans="1:10" x14ac:dyDescent="0.3">
      <c r="A27" s="8" t="s">
        <v>181</v>
      </c>
      <c r="B27" s="18" t="s">
        <v>142</v>
      </c>
      <c r="C27" s="20" t="s">
        <v>182</v>
      </c>
      <c r="D27" s="20" t="s">
        <v>182</v>
      </c>
      <c r="E27" s="20" t="s">
        <v>182</v>
      </c>
      <c r="F27" s="20" t="s">
        <v>179</v>
      </c>
      <c r="G27" s="20" t="s">
        <v>182</v>
      </c>
      <c r="H27" s="8" t="s">
        <v>77</v>
      </c>
      <c r="I27" s="18" t="s">
        <v>123</v>
      </c>
      <c r="J27" s="8" t="s">
        <v>79</v>
      </c>
    </row>
    <row r="28" spans="1:10" x14ac:dyDescent="0.3">
      <c r="A28" s="8" t="s">
        <v>183</v>
      </c>
      <c r="B28" s="18" t="s">
        <v>148</v>
      </c>
      <c r="C28" s="23">
        <v>0</v>
      </c>
      <c r="D28" s="23">
        <v>0</v>
      </c>
      <c r="E28" s="23">
        <v>0</v>
      </c>
      <c r="F28" s="23">
        <v>0.5</v>
      </c>
      <c r="G28" s="23">
        <v>0</v>
      </c>
      <c r="H28" s="8" t="s">
        <v>77</v>
      </c>
      <c r="I28" s="18" t="s">
        <v>123</v>
      </c>
      <c r="J28" s="8" t="s">
        <v>79</v>
      </c>
    </row>
    <row r="29" spans="1:10" x14ac:dyDescent="0.3">
      <c r="A29" s="8" t="s">
        <v>184</v>
      </c>
      <c r="B29" s="18" t="s">
        <v>185</v>
      </c>
      <c r="C29" s="21">
        <v>2000</v>
      </c>
      <c r="D29" s="21">
        <v>8000</v>
      </c>
      <c r="E29" s="21">
        <v>0</v>
      </c>
      <c r="F29" s="21">
        <v>30000</v>
      </c>
      <c r="G29" s="21">
        <v>2000</v>
      </c>
      <c r="H29" s="8" t="s">
        <v>77</v>
      </c>
      <c r="I29" s="18" t="s">
        <v>123</v>
      </c>
      <c r="J29" s="8" t="s">
        <v>79</v>
      </c>
    </row>
    <row r="30" spans="1:10" x14ac:dyDescent="0.3">
      <c r="A30" s="8" t="s">
        <v>186</v>
      </c>
      <c r="B30" s="18" t="s">
        <v>185</v>
      </c>
      <c r="C30" s="21">
        <v>500</v>
      </c>
      <c r="D30" s="21">
        <v>2000</v>
      </c>
      <c r="E30" s="21">
        <v>0</v>
      </c>
      <c r="F30" s="21">
        <v>1500</v>
      </c>
      <c r="G30" s="21">
        <v>500</v>
      </c>
      <c r="H30" s="8" t="s">
        <v>77</v>
      </c>
      <c r="I30" s="18" t="s">
        <v>123</v>
      </c>
      <c r="J30" s="8" t="s">
        <v>79</v>
      </c>
    </row>
    <row r="31" spans="1:10" x14ac:dyDescent="0.3">
      <c r="A31" s="8" t="s">
        <v>187</v>
      </c>
      <c r="B31" s="18" t="s">
        <v>148</v>
      </c>
      <c r="C31" s="23">
        <v>0</v>
      </c>
      <c r="D31" s="23">
        <v>0.1</v>
      </c>
      <c r="E31" s="23">
        <v>0</v>
      </c>
      <c r="F31" s="23">
        <v>0</v>
      </c>
      <c r="G31" s="23">
        <v>0</v>
      </c>
      <c r="H31" s="8" t="s">
        <v>77</v>
      </c>
      <c r="I31" s="18" t="s">
        <v>123</v>
      </c>
      <c r="J31" s="8" t="s">
        <v>79</v>
      </c>
    </row>
    <row r="32" spans="1:10" x14ac:dyDescent="0.3">
      <c r="A32" s="8" t="s">
        <v>188</v>
      </c>
      <c r="B32" s="18" t="s">
        <v>148</v>
      </c>
      <c r="C32" s="23">
        <v>0.3</v>
      </c>
      <c r="D32" s="23">
        <v>0.6</v>
      </c>
      <c r="E32" s="23">
        <v>0</v>
      </c>
      <c r="F32" s="23">
        <v>0.3</v>
      </c>
      <c r="G32" s="23">
        <v>0.3</v>
      </c>
      <c r="H32" s="8" t="s">
        <v>77</v>
      </c>
      <c r="I32" s="18" t="s">
        <v>123</v>
      </c>
      <c r="J32" s="8" t="s">
        <v>79</v>
      </c>
    </row>
    <row r="33" spans="1:10" x14ac:dyDescent="0.3">
      <c r="A33" s="8" t="s">
        <v>189</v>
      </c>
      <c r="B33" s="18" t="s">
        <v>148</v>
      </c>
      <c r="C33" s="23">
        <v>0.05</v>
      </c>
      <c r="D33" s="23">
        <v>0.05</v>
      </c>
      <c r="E33" s="23">
        <v>0</v>
      </c>
      <c r="F33" s="23">
        <v>0.05</v>
      </c>
      <c r="G33" s="23">
        <v>0.05</v>
      </c>
      <c r="H33" s="8" t="s">
        <v>77</v>
      </c>
      <c r="I33" s="18" t="s">
        <v>123</v>
      </c>
      <c r="J33" s="8" t="s">
        <v>79</v>
      </c>
    </row>
    <row r="34" spans="1:10" x14ac:dyDescent="0.3">
      <c r="A34" s="8" t="s">
        <v>190</v>
      </c>
      <c r="B34" s="18" t="s">
        <v>148</v>
      </c>
      <c r="C34" s="23">
        <v>0</v>
      </c>
      <c r="D34" s="23">
        <v>0</v>
      </c>
      <c r="E34" s="23">
        <v>0</v>
      </c>
      <c r="F34" s="23">
        <v>0.4</v>
      </c>
      <c r="G34" s="23">
        <v>0</v>
      </c>
      <c r="H34" s="8" t="s">
        <v>77</v>
      </c>
      <c r="I34" s="18" t="s">
        <v>123</v>
      </c>
      <c r="J34" s="8" t="s">
        <v>79</v>
      </c>
    </row>
    <row r="35" spans="1:10" x14ac:dyDescent="0.3">
      <c r="A35" s="8" t="s">
        <v>191</v>
      </c>
      <c r="B35" s="18" t="s">
        <v>192</v>
      </c>
      <c r="C35" s="21">
        <v>1</v>
      </c>
      <c r="D35" s="21">
        <v>1</v>
      </c>
      <c r="E35" s="21">
        <v>1</v>
      </c>
      <c r="F35" s="21">
        <v>1.1000000000000001</v>
      </c>
      <c r="G35" s="21">
        <v>1</v>
      </c>
      <c r="H35" s="8" t="s">
        <v>77</v>
      </c>
      <c r="I35" s="18" t="s">
        <v>123</v>
      </c>
      <c r="J35" s="8" t="s">
        <v>79</v>
      </c>
    </row>
    <row r="36" spans="1:10" x14ac:dyDescent="0.3">
      <c r="A36" s="8" t="s">
        <v>193</v>
      </c>
      <c r="B36" s="18" t="s">
        <v>194</v>
      </c>
      <c r="C36" s="20" t="s">
        <v>195</v>
      </c>
      <c r="D36" s="20" t="s">
        <v>196</v>
      </c>
      <c r="E36" s="20" t="s">
        <v>195</v>
      </c>
      <c r="F36" s="20" t="s">
        <v>195</v>
      </c>
      <c r="G36" s="20" t="s">
        <v>195</v>
      </c>
      <c r="H36" s="8" t="s">
        <v>77</v>
      </c>
      <c r="I36" s="18" t="s">
        <v>123</v>
      </c>
      <c r="J36" s="8" t="s">
        <v>79</v>
      </c>
    </row>
    <row r="37" spans="1:10" x14ac:dyDescent="0.3">
      <c r="A37" s="8" t="s">
        <v>197</v>
      </c>
      <c r="B37" s="18" t="s">
        <v>198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8" t="s">
        <v>77</v>
      </c>
      <c r="I37" s="18" t="s">
        <v>123</v>
      </c>
      <c r="J37" s="8" t="s">
        <v>79</v>
      </c>
    </row>
    <row r="38" spans="1:10" x14ac:dyDescent="0.3">
      <c r="A38" s="8" t="s">
        <v>199</v>
      </c>
      <c r="B38" s="18" t="s">
        <v>142</v>
      </c>
      <c r="C38" s="20" t="s">
        <v>200</v>
      </c>
      <c r="D38" s="20" t="s">
        <v>200</v>
      </c>
      <c r="E38" s="20" t="s">
        <v>200</v>
      </c>
      <c r="F38" s="20" t="s">
        <v>200</v>
      </c>
      <c r="G38" s="20" t="s">
        <v>200</v>
      </c>
      <c r="H38" s="8" t="s">
        <v>77</v>
      </c>
      <c r="I38" s="18" t="s">
        <v>123</v>
      </c>
      <c r="J38" s="8" t="s">
        <v>79</v>
      </c>
    </row>
    <row r="39" spans="1:10" x14ac:dyDescent="0.3">
      <c r="A39" s="8" t="s">
        <v>201</v>
      </c>
      <c r="B39" s="18" t="s">
        <v>104</v>
      </c>
      <c r="C39" s="21">
        <v>0</v>
      </c>
      <c r="D39" s="21">
        <v>0</v>
      </c>
      <c r="E39" s="21">
        <v>0</v>
      </c>
      <c r="F39" s="21">
        <v>126</v>
      </c>
      <c r="G39" s="21">
        <v>0</v>
      </c>
      <c r="H39" s="8" t="s">
        <v>77</v>
      </c>
      <c r="I39" s="18" t="s">
        <v>123</v>
      </c>
      <c r="J39" s="8" t="s">
        <v>79</v>
      </c>
    </row>
    <row r="40" spans="1:10" x14ac:dyDescent="0.3">
      <c r="A40" s="8" t="s">
        <v>202</v>
      </c>
      <c r="B40" s="18" t="s">
        <v>142</v>
      </c>
      <c r="C40" s="20" t="s">
        <v>203</v>
      </c>
      <c r="D40" s="20" t="s">
        <v>203</v>
      </c>
      <c r="E40" s="20" t="s">
        <v>203</v>
      </c>
      <c r="F40" s="20" t="s">
        <v>203</v>
      </c>
      <c r="G40" s="20" t="s">
        <v>203</v>
      </c>
      <c r="H40" s="8" t="s">
        <v>77</v>
      </c>
      <c r="I40" s="18" t="s">
        <v>123</v>
      </c>
      <c r="J40" s="8" t="s">
        <v>79</v>
      </c>
    </row>
    <row r="41" spans="1:10" x14ac:dyDescent="0.3">
      <c r="A41" s="8" t="s">
        <v>204</v>
      </c>
      <c r="B41" s="18" t="s">
        <v>148</v>
      </c>
      <c r="C41" s="23">
        <v>0.05</v>
      </c>
      <c r="D41" s="23">
        <v>0.2</v>
      </c>
      <c r="E41" s="23">
        <v>0.1</v>
      </c>
      <c r="F41" s="23">
        <v>1</v>
      </c>
      <c r="G41" s="23">
        <v>0.05</v>
      </c>
      <c r="H41" s="8" t="s">
        <v>77</v>
      </c>
      <c r="I41" s="18" t="s">
        <v>123</v>
      </c>
      <c r="J41" s="8" t="s">
        <v>79</v>
      </c>
    </row>
    <row r="42" spans="1:10" x14ac:dyDescent="0.3">
      <c r="A42" s="8" t="s">
        <v>205</v>
      </c>
      <c r="B42" s="18" t="s">
        <v>206</v>
      </c>
      <c r="C42" s="24">
        <v>46.89</v>
      </c>
      <c r="D42" s="24">
        <v>46.89</v>
      </c>
      <c r="E42" s="24">
        <v>46.89</v>
      </c>
      <c r="F42" s="24">
        <v>46.89</v>
      </c>
      <c r="G42" s="24">
        <v>46.89</v>
      </c>
      <c r="H42" s="8" t="s">
        <v>77</v>
      </c>
      <c r="I42" s="18" t="s">
        <v>123</v>
      </c>
      <c r="J42" s="8" t="s">
        <v>79</v>
      </c>
    </row>
    <row r="43" spans="1:10" x14ac:dyDescent="0.3">
      <c r="A43" s="8" t="s">
        <v>207</v>
      </c>
      <c r="B43" s="18" t="s">
        <v>208</v>
      </c>
      <c r="C43" s="21">
        <v>3</v>
      </c>
      <c r="D43" s="21">
        <v>2</v>
      </c>
      <c r="E43" s="21">
        <v>3</v>
      </c>
      <c r="F43" s="21">
        <v>4</v>
      </c>
      <c r="G43" s="21">
        <v>2</v>
      </c>
      <c r="H43" s="8" t="s">
        <v>77</v>
      </c>
      <c r="I43" s="18" t="s">
        <v>123</v>
      </c>
      <c r="J43" s="8" t="s">
        <v>79</v>
      </c>
    </row>
    <row r="44" spans="1:10" x14ac:dyDescent="0.3">
      <c r="A44" s="8" t="s">
        <v>209</v>
      </c>
      <c r="B44" s="18" t="s">
        <v>208</v>
      </c>
      <c r="C44" s="21">
        <v>20000</v>
      </c>
      <c r="D44" s="21">
        <v>50000</v>
      </c>
      <c r="E44" s="21">
        <v>8000</v>
      </c>
      <c r="F44" s="21">
        <v>200000</v>
      </c>
      <c r="G44" s="21">
        <v>10000</v>
      </c>
      <c r="H44" s="8" t="s">
        <v>77</v>
      </c>
      <c r="I44" s="18" t="s">
        <v>123</v>
      </c>
      <c r="J44" s="8" t="s">
        <v>79</v>
      </c>
    </row>
    <row r="45" spans="1:10" x14ac:dyDescent="0.3">
      <c r="A45" s="8" t="s">
        <v>210</v>
      </c>
      <c r="B45" s="18" t="s">
        <v>211</v>
      </c>
      <c r="C45" s="21">
        <v>5</v>
      </c>
      <c r="D45" s="21">
        <v>3</v>
      </c>
      <c r="E45" s="21">
        <v>4</v>
      </c>
      <c r="F45" s="21">
        <v>8</v>
      </c>
      <c r="G45" s="21">
        <v>5</v>
      </c>
      <c r="H45" s="8" t="s">
        <v>77</v>
      </c>
      <c r="I45" s="18" t="s">
        <v>123</v>
      </c>
      <c r="J45" s="8" t="s">
        <v>79</v>
      </c>
    </row>
    <row r="46" spans="1:10" x14ac:dyDescent="0.3">
      <c r="A46" s="8" t="s">
        <v>212</v>
      </c>
      <c r="B46" s="18" t="s">
        <v>142</v>
      </c>
      <c r="C46" s="20" t="s">
        <v>213</v>
      </c>
      <c r="D46" s="20" t="s">
        <v>213</v>
      </c>
      <c r="E46" s="20" t="s">
        <v>213</v>
      </c>
      <c r="F46" s="20" t="s">
        <v>214</v>
      </c>
      <c r="G46" s="20" t="s">
        <v>213</v>
      </c>
      <c r="H46" s="8" t="s">
        <v>77</v>
      </c>
      <c r="I46" s="18" t="s">
        <v>123</v>
      </c>
      <c r="J46" s="8" t="s">
        <v>79</v>
      </c>
    </row>
    <row r="47" spans="1:10" x14ac:dyDescent="0.3">
      <c r="A47" s="8" t="s">
        <v>215</v>
      </c>
      <c r="B47" s="18" t="s">
        <v>185</v>
      </c>
      <c r="C47" s="21">
        <v>3000</v>
      </c>
      <c r="D47" s="21">
        <v>4000</v>
      </c>
      <c r="E47" s="21">
        <v>0</v>
      </c>
      <c r="F47" s="21">
        <v>6000</v>
      </c>
      <c r="G47" s="21">
        <v>3000</v>
      </c>
      <c r="H47" s="8" t="s">
        <v>77</v>
      </c>
      <c r="I47" s="18" t="s">
        <v>123</v>
      </c>
      <c r="J47" s="8" t="s">
        <v>79</v>
      </c>
    </row>
    <row r="48" spans="1:10" x14ac:dyDescent="0.3">
      <c r="A48" s="8" t="s">
        <v>216</v>
      </c>
      <c r="B48" s="18" t="s">
        <v>142</v>
      </c>
      <c r="C48" s="20" t="s">
        <v>217</v>
      </c>
      <c r="D48" s="20" t="s">
        <v>217</v>
      </c>
      <c r="E48" s="20" t="s">
        <v>217</v>
      </c>
      <c r="F48" s="20" t="s">
        <v>217</v>
      </c>
      <c r="G48" s="20" t="s">
        <v>217</v>
      </c>
      <c r="H48" s="8" t="s">
        <v>77</v>
      </c>
      <c r="I48" s="18" t="s">
        <v>123</v>
      </c>
      <c r="J48" s="8" t="s">
        <v>79</v>
      </c>
    </row>
    <row r="49" spans="1:10" x14ac:dyDescent="0.3">
      <c r="A49" s="8" t="s">
        <v>218</v>
      </c>
      <c r="B49" s="18" t="s">
        <v>125</v>
      </c>
      <c r="C49" s="21">
        <v>1</v>
      </c>
      <c r="D49" s="21">
        <v>1</v>
      </c>
      <c r="E49" s="21">
        <v>0</v>
      </c>
      <c r="F49" s="21">
        <v>1</v>
      </c>
      <c r="G49" s="21">
        <v>1</v>
      </c>
      <c r="H49" s="8" t="s">
        <v>77</v>
      </c>
      <c r="I49" s="18" t="s">
        <v>123</v>
      </c>
      <c r="J49" s="8" t="s">
        <v>79</v>
      </c>
    </row>
    <row r="50" spans="1:10" x14ac:dyDescent="0.3">
      <c r="A50" s="8" t="s">
        <v>219</v>
      </c>
      <c r="B50" s="18" t="s">
        <v>220</v>
      </c>
      <c r="C50" s="21">
        <v>20</v>
      </c>
      <c r="D50" s="21">
        <v>40</v>
      </c>
      <c r="E50" s="21">
        <v>0</v>
      </c>
      <c r="F50" s="21">
        <v>300</v>
      </c>
      <c r="G50" s="21">
        <v>10</v>
      </c>
      <c r="H50" s="8" t="s">
        <v>77</v>
      </c>
      <c r="I50" s="18" t="s">
        <v>123</v>
      </c>
      <c r="J50" s="8" t="s">
        <v>79</v>
      </c>
    </row>
    <row r="51" spans="1:10" x14ac:dyDescent="0.3">
      <c r="A51" s="8" t="s">
        <v>221</v>
      </c>
      <c r="B51" s="18" t="s">
        <v>104</v>
      </c>
      <c r="C51" s="21">
        <v>2</v>
      </c>
      <c r="D51" s="21">
        <v>5</v>
      </c>
      <c r="E51" s="21">
        <v>0</v>
      </c>
      <c r="F51" s="21">
        <v>10</v>
      </c>
      <c r="G51" s="21">
        <v>2</v>
      </c>
      <c r="H51" s="8" t="s">
        <v>77</v>
      </c>
      <c r="I51" s="18" t="s">
        <v>123</v>
      </c>
      <c r="J51" s="8" t="s">
        <v>79</v>
      </c>
    </row>
    <row r="52" spans="1:10" x14ac:dyDescent="0.3">
      <c r="A52" s="8" t="s">
        <v>222</v>
      </c>
      <c r="B52" s="18" t="s">
        <v>142</v>
      </c>
      <c r="C52" s="20" t="s">
        <v>223</v>
      </c>
      <c r="D52" s="20" t="s">
        <v>223</v>
      </c>
      <c r="E52" s="20" t="s">
        <v>223</v>
      </c>
      <c r="F52" s="20" t="s">
        <v>223</v>
      </c>
      <c r="G52" s="20" t="s">
        <v>223</v>
      </c>
      <c r="H52" s="8" t="s">
        <v>77</v>
      </c>
      <c r="I52" s="18" t="s">
        <v>123</v>
      </c>
      <c r="J52" s="8" t="s">
        <v>79</v>
      </c>
    </row>
    <row r="53" spans="1:10" x14ac:dyDescent="0.3">
      <c r="A53" s="8" t="s">
        <v>224</v>
      </c>
      <c r="B53" s="18" t="s">
        <v>142</v>
      </c>
      <c r="C53" s="20" t="s">
        <v>225</v>
      </c>
      <c r="D53" s="20" t="s">
        <v>225</v>
      </c>
      <c r="E53" s="20" t="s">
        <v>225</v>
      </c>
      <c r="F53" s="20" t="s">
        <v>225</v>
      </c>
      <c r="G53" s="20" t="s">
        <v>225</v>
      </c>
      <c r="H53" s="8" t="s">
        <v>77</v>
      </c>
      <c r="I53" s="18" t="s">
        <v>123</v>
      </c>
      <c r="J53" s="8" t="s">
        <v>79</v>
      </c>
    </row>
    <row r="54" spans="1:10" x14ac:dyDescent="0.3">
      <c r="A54" s="8" t="s">
        <v>226</v>
      </c>
      <c r="B54" s="18" t="s">
        <v>142</v>
      </c>
      <c r="C54" s="20" t="s">
        <v>227</v>
      </c>
      <c r="D54" s="20" t="s">
        <v>227</v>
      </c>
      <c r="E54" s="20" t="s">
        <v>227</v>
      </c>
      <c r="F54" s="20" t="s">
        <v>227</v>
      </c>
      <c r="G54" s="20" t="s">
        <v>227</v>
      </c>
      <c r="H54" s="8" t="s">
        <v>77</v>
      </c>
      <c r="I54" s="18" t="s">
        <v>123</v>
      </c>
      <c r="J54" s="8" t="s">
        <v>79</v>
      </c>
    </row>
    <row r="55" spans="1:10" x14ac:dyDescent="0.3">
      <c r="A55" s="8" t="s">
        <v>228</v>
      </c>
      <c r="B55" s="18" t="s">
        <v>229</v>
      </c>
      <c r="C55" s="21">
        <v>2</v>
      </c>
      <c r="D55" s="21">
        <v>4</v>
      </c>
      <c r="E55" s="21">
        <v>6</v>
      </c>
      <c r="F55" s="21">
        <v>8</v>
      </c>
      <c r="G55" s="21">
        <v>7</v>
      </c>
      <c r="H55" s="8" t="s">
        <v>77</v>
      </c>
      <c r="I55" s="18" t="s">
        <v>123</v>
      </c>
      <c r="J55" s="8" t="s">
        <v>79</v>
      </c>
    </row>
    <row r="56" spans="1:10" x14ac:dyDescent="0.3">
      <c r="A56" s="8" t="s">
        <v>230</v>
      </c>
      <c r="B56" s="18" t="s">
        <v>206</v>
      </c>
      <c r="C56" s="24">
        <v>46.89</v>
      </c>
      <c r="D56" s="24">
        <v>110</v>
      </c>
      <c r="E56" s="24">
        <v>46.89</v>
      </c>
      <c r="F56" s="24">
        <v>46.89</v>
      </c>
      <c r="G56" s="24">
        <v>46.89</v>
      </c>
      <c r="H56" s="8" t="s">
        <v>77</v>
      </c>
      <c r="I56" s="18" t="s">
        <v>123</v>
      </c>
      <c r="J56" s="8" t="s">
        <v>79</v>
      </c>
    </row>
    <row r="57" spans="1:10" x14ac:dyDescent="0.3">
      <c r="A57" s="8" t="s">
        <v>231</v>
      </c>
      <c r="B57" s="18" t="s">
        <v>148</v>
      </c>
      <c r="C57" s="23">
        <v>0.9</v>
      </c>
      <c r="D57" s="23">
        <v>0.85</v>
      </c>
      <c r="E57" s="23">
        <v>0.85</v>
      </c>
      <c r="F57" s="23">
        <v>0.95</v>
      </c>
      <c r="G57" s="23">
        <v>0.9</v>
      </c>
      <c r="H57" s="8" t="s">
        <v>77</v>
      </c>
      <c r="I57" s="18" t="s">
        <v>123</v>
      </c>
      <c r="J57" s="8" t="s">
        <v>79</v>
      </c>
    </row>
    <row r="59" spans="1:10" x14ac:dyDescent="0.3">
      <c r="A59" s="7" t="s">
        <v>232</v>
      </c>
    </row>
    <row r="60" spans="1:10" x14ac:dyDescent="0.3">
      <c r="A60" s="8" t="s">
        <v>233</v>
      </c>
      <c r="C60" s="22">
        <f>IF(OR(C8="Seat",C8="Seat + usage"),1,0)</f>
        <v>1</v>
      </c>
      <c r="D60" s="22">
        <f>IF(OR(D8="Seat",D8="Seat + usage"),1,0)</f>
        <v>1</v>
      </c>
      <c r="E60" s="22">
        <f>IF(OR(E8="Seat",E8="Seat + usage"),1,0)</f>
        <v>0</v>
      </c>
      <c r="F60" s="22">
        <f>IF(OR(F8="Seat",F8="Seat + usage"),1,0)</f>
        <v>0</v>
      </c>
      <c r="G60" s="22">
        <f>IF(OR(G8="Seat",G8="Seat + usage"),1,0)</f>
        <v>1</v>
      </c>
    </row>
    <row r="61" spans="1:10" x14ac:dyDescent="0.3">
      <c r="A61" s="8" t="s">
        <v>234</v>
      </c>
      <c r="C61" s="22">
        <f>IF(C8="Seat + usage",1,0)</f>
        <v>0</v>
      </c>
      <c r="D61" s="22">
        <f>IF(D8="Seat + usage",1,0)</f>
        <v>1</v>
      </c>
      <c r="E61" s="22">
        <f>IF(E8="Seat + usage",1,0)</f>
        <v>0</v>
      </c>
      <c r="F61" s="22">
        <f>IF(F8="Seat + usage",1,0)</f>
        <v>0</v>
      </c>
      <c r="G61" s="22">
        <f>IF(G8="Seat + usage",1,0)</f>
        <v>0</v>
      </c>
    </row>
    <row r="62" spans="1:10" x14ac:dyDescent="0.3">
      <c r="A62" s="8" t="s">
        <v>235</v>
      </c>
      <c r="C62" s="22">
        <f>IF(AND(C8="Per-unit",C15=""),1,0)</f>
        <v>0</v>
      </c>
      <c r="D62" s="22">
        <f>IF(AND(D8="Per-unit",D15=""),1,0)</f>
        <v>0</v>
      </c>
      <c r="E62" s="22">
        <f>IF(AND(E8="Per-unit",E15=""),1,0)</f>
        <v>0</v>
      </c>
      <c r="F62" s="22">
        <f>IF(AND(F8="Per-unit",F15=""),1,0)</f>
        <v>1</v>
      </c>
      <c r="G62" s="22">
        <f>IF(AND(G8="Per-unit",G15=""),1,0)</f>
        <v>0</v>
      </c>
    </row>
    <row r="63" spans="1:10" x14ac:dyDescent="0.3">
      <c r="A63" s="8" t="s">
        <v>236</v>
      </c>
      <c r="C63" s="22">
        <f>IF(AND(C8="Per-unit",C15&lt;&gt;""),1,0)</f>
        <v>0</v>
      </c>
      <c r="D63" s="22">
        <f>IF(AND(D8="Per-unit",D15&lt;&gt;""),1,0)</f>
        <v>0</v>
      </c>
      <c r="E63" s="22">
        <f>IF(AND(E8="Per-unit",E15&lt;&gt;""),1,0)</f>
        <v>1</v>
      </c>
      <c r="F63" s="22">
        <f>IF(AND(F8="Per-unit",F15&lt;&gt;""),1,0)</f>
        <v>0</v>
      </c>
      <c r="G63" s="22">
        <f>IF(AND(G8="Per-unit",G15&lt;&gt;""),1,0)</f>
        <v>0</v>
      </c>
    </row>
    <row r="64" spans="1:10" x14ac:dyDescent="0.3">
      <c r="A64" s="8" t="s">
        <v>237</v>
      </c>
      <c r="C64" s="22">
        <f>IF(C8="Committed capacity",1,0)</f>
        <v>0</v>
      </c>
      <c r="D64" s="22">
        <f>IF(D8="Committed capacity",1,0)</f>
        <v>0</v>
      </c>
      <c r="E64" s="22">
        <f>IF(E8="Committed capacity",1,0)</f>
        <v>0</v>
      </c>
      <c r="F64" s="22">
        <f>IF(F8="Committed capacity",1,0)</f>
        <v>0</v>
      </c>
      <c r="G64" s="22">
        <f>IF(G8="Committed capacity",1,0)</f>
        <v>0</v>
      </c>
    </row>
    <row r="65" spans="1:7" x14ac:dyDescent="0.3">
      <c r="A65" s="8" t="s">
        <v>238</v>
      </c>
      <c r="C65" s="22">
        <f>IF(C61+C62+C64&gt;0,1,0)</f>
        <v>0</v>
      </c>
      <c r="D65" s="22">
        <f>IF(D61+D62+D64&gt;0,1,0)</f>
        <v>1</v>
      </c>
      <c r="E65" s="22">
        <f>IF(E61+E62+E64&gt;0,1,0)</f>
        <v>0</v>
      </c>
      <c r="F65" s="22">
        <f>IF(F61+F62+F64&gt;0,1,0)</f>
        <v>1</v>
      </c>
      <c r="G65" s="22">
        <f>IF(G61+G62+G64&gt;0,1,0)</f>
        <v>0</v>
      </c>
    </row>
    <row r="66" spans="1:7" x14ac:dyDescent="0.3">
      <c r="A66" s="8" t="s">
        <v>239</v>
      </c>
      <c r="C66" s="25">
        <f>(1-C11)*IFERROR(INDEX(PriceBook!$E$4:$E$203,MATCH(C9,PriceBook!$A$4:$A$203,0)),0)+C11*IFERROR(INDEX(PriceBook!$E$4:$E$203,MATCH(C10,PriceBook!$A$4:$A$203,0)),0)</f>
        <v>28</v>
      </c>
      <c r="D66" s="25">
        <f>(1-D11)*IFERROR(INDEX(PriceBook!$E$4:$E$203,MATCH(D9,PriceBook!$A$4:$A$203,0)),0)+D11*IFERROR(INDEX(PriceBook!$E$4:$E$203,MATCH(D10,PriceBook!$A$4:$A$203,0)),0)</f>
        <v>20</v>
      </c>
      <c r="E66" s="25">
        <f>(1-E11)*IFERROR(INDEX(PriceBook!$E$4:$E$203,MATCH(E9,PriceBook!$A$4:$A$203,0)),0)+E11*IFERROR(INDEX(PriceBook!$E$4:$E$203,MATCH(E10,PriceBook!$A$4:$A$203,0)),0)</f>
        <v>20</v>
      </c>
      <c r="F66" s="25">
        <f>(1-F11)*IFERROR(INDEX(PriceBook!$E$4:$E$203,MATCH(F9,PriceBook!$A$4:$A$203,0)),0)+F11*IFERROR(INDEX(PriceBook!$E$4:$E$203,MATCH(F10,PriceBook!$A$4:$A$203,0)),0)</f>
        <v>20</v>
      </c>
      <c r="G66" s="25">
        <f>(1-G11)*IFERROR(INDEX(PriceBook!$E$4:$E$203,MATCH(G9,PriceBook!$A$4:$A$203,0)),0)+G11*IFERROR(INDEX(PriceBook!$E$4:$E$203,MATCH(G10,PriceBook!$A$4:$A$203,0)),0)</f>
        <v>28</v>
      </c>
    </row>
    <row r="67" spans="1:7" x14ac:dyDescent="0.3">
      <c r="A67" s="8" t="s">
        <v>240</v>
      </c>
      <c r="C67" s="25">
        <f>IFERROR(INDEX(PriceBook!$E$4:$E$203,MATCH(C15,PriceBook!$A$4:$A$203,0)),0)</f>
        <v>0</v>
      </c>
      <c r="D67" s="25">
        <f>IFERROR(INDEX(PriceBook!$E$4:$E$203,MATCH(D15,PriceBook!$A$4:$A$203,0)),0)</f>
        <v>0</v>
      </c>
      <c r="E67" s="25">
        <f>IFERROR(INDEX(PriceBook!$E$4:$E$203,MATCH(E15,PriceBook!$A$4:$A$203,0)),0)</f>
        <v>0.99</v>
      </c>
      <c r="F67" s="25">
        <f>IFERROR(INDEX(PriceBook!$E$4:$E$203,MATCH(F15,PriceBook!$A$4:$A$203,0)),0)</f>
        <v>0</v>
      </c>
      <c r="G67" s="25">
        <f>IFERROR(INDEX(PriceBook!$E$4:$E$203,MATCH(G15,PriceBook!$A$4:$A$203,0)),0)</f>
        <v>0</v>
      </c>
    </row>
    <row r="68" spans="1:7" x14ac:dyDescent="0.3">
      <c r="A68" s="8" t="s">
        <v>241</v>
      </c>
      <c r="C68" s="25">
        <f>(1-C28)*IFERROR(INDEX(PriceBook!$E$4:$E$203,MATCH(C26,PriceBook!$A$4:$A$203,0)),0)+C28*IFERROR(INDEX(PriceBook!$E$4:$E$203,MATCH(C27,PriceBook!$A$4:$A$203,0)),0)</f>
        <v>2</v>
      </c>
      <c r="D68" s="25">
        <f>(1-D28)*IFERROR(INDEX(PriceBook!$E$4:$E$203,MATCH(D26,PriceBook!$A$4:$A$203,0)),0)+D28*IFERROR(INDEX(PriceBook!$E$4:$E$203,MATCH(D27,PriceBook!$A$4:$A$203,0)),0)</f>
        <v>2</v>
      </c>
      <c r="E68" s="25">
        <f>(1-E28)*IFERROR(INDEX(PriceBook!$E$4:$E$203,MATCH(E26,PriceBook!$A$4:$A$203,0)),0)+E28*IFERROR(INDEX(PriceBook!$E$4:$E$203,MATCH(E27,PriceBook!$A$4:$A$203,0)),0)</f>
        <v>2</v>
      </c>
      <c r="F68" s="25">
        <f>(1-F28)*IFERROR(INDEX(PriceBook!$E$4:$E$203,MATCH(F26,PriceBook!$A$4:$A$203,0)),0)+F28*IFERROR(INDEX(PriceBook!$E$4:$E$203,MATCH(F27,PriceBook!$A$4:$A$203,0)),0)</f>
        <v>3.5</v>
      </c>
      <c r="G68" s="25">
        <f>(1-G28)*IFERROR(INDEX(PriceBook!$E$4:$E$203,MATCH(G26,PriceBook!$A$4:$A$203,0)),0)+G28*IFERROR(INDEX(PriceBook!$E$4:$E$203,MATCH(G27,PriceBook!$A$4:$A$203,0)),0)</f>
        <v>2</v>
      </c>
    </row>
    <row r="69" spans="1:7" x14ac:dyDescent="0.3">
      <c r="A69" s="8" t="s">
        <v>242</v>
      </c>
      <c r="C69" s="25">
        <f>(1-C28)*IFERROR(INDEX(PriceBook!$F$4:$F$203,MATCH(C26,PriceBook!$A$4:$A$203,0)),0)+C28*IFERROR(INDEX(PriceBook!$F$4:$F$203,MATCH(C27,PriceBook!$A$4:$A$203,0)),0)</f>
        <v>10</v>
      </c>
      <c r="D69" s="25">
        <f>(1-D28)*IFERROR(INDEX(PriceBook!$F$4:$F$203,MATCH(D26,PriceBook!$A$4:$A$203,0)),0)+D28*IFERROR(INDEX(PriceBook!$F$4:$F$203,MATCH(D27,PriceBook!$A$4:$A$203,0)),0)</f>
        <v>10</v>
      </c>
      <c r="E69" s="25">
        <f>(1-E28)*IFERROR(INDEX(PriceBook!$F$4:$F$203,MATCH(E26,PriceBook!$A$4:$A$203,0)),0)+E28*IFERROR(INDEX(PriceBook!$F$4:$F$203,MATCH(E27,PriceBook!$A$4:$A$203,0)),0)</f>
        <v>10</v>
      </c>
      <c r="F69" s="25">
        <f>(1-F28)*IFERROR(INDEX(PriceBook!$F$4:$F$203,MATCH(F26,PriceBook!$A$4:$A$203,0)),0)+F28*IFERROR(INDEX(PriceBook!$F$4:$F$203,MATCH(F27,PriceBook!$A$4:$A$203,0)),0)</f>
        <v>17.5</v>
      </c>
      <c r="G69" s="25">
        <f>(1-G28)*IFERROR(INDEX(PriceBook!$F$4:$F$203,MATCH(G26,PriceBook!$A$4:$A$203,0)),0)+G28*IFERROR(INDEX(PriceBook!$F$4:$F$203,MATCH(G27,PriceBook!$A$4:$A$203,0)),0)</f>
        <v>10</v>
      </c>
    </row>
    <row r="70" spans="1:7" x14ac:dyDescent="0.3">
      <c r="A70" s="8" t="s">
        <v>243</v>
      </c>
      <c r="C70" s="26">
        <f>(1-C32-C33)+C32*IFERROR(INDEX(PriceBook!$G$4:$G$203,MATCH(C26,PriceBook!$A$4:$A$203,0)),0)+C33*IFERROR(INDEX(PriceBook!$H$4:$H$203,MATCH(C26,PriceBook!$A$4:$A$203,0)),0)</f>
        <v>0.74249999999999994</v>
      </c>
      <c r="D70" s="26">
        <f>(1-D32-D33)+D32*IFERROR(INDEX(PriceBook!$G$4:$G$203,MATCH(D26,PriceBook!$A$4:$A$203,0)),0)+D33*IFERROR(INDEX(PriceBook!$H$4:$H$203,MATCH(D26,PriceBook!$A$4:$A$203,0)),0)</f>
        <v>0.47250000000000003</v>
      </c>
      <c r="E70" s="26">
        <f>(1-E32-E33)+E32*IFERROR(INDEX(PriceBook!$G$4:$G$203,MATCH(E26,PriceBook!$A$4:$A$203,0)),0)+E33*IFERROR(INDEX(PriceBook!$H$4:$H$203,MATCH(E26,PriceBook!$A$4:$A$203,0)),0)</f>
        <v>1</v>
      </c>
      <c r="F70" s="26">
        <f>(1-F32-F33)+F32*IFERROR(INDEX(PriceBook!$G$4:$G$203,MATCH(F26,PriceBook!$A$4:$A$203,0)),0)+F33*IFERROR(INDEX(PriceBook!$H$4:$H$203,MATCH(F26,PriceBook!$A$4:$A$203,0)),0)</f>
        <v>0.74249999999999994</v>
      </c>
      <c r="G70" s="26">
        <f>(1-G32-G33)+G32*IFERROR(INDEX(PriceBook!$G$4:$G$203,MATCH(G26,PriceBook!$A$4:$A$203,0)),0)+G33*IFERROR(INDEX(PriceBook!$H$4:$H$203,MATCH(G26,PriceBook!$A$4:$A$203,0)),0)</f>
        <v>0.74249999999999994</v>
      </c>
    </row>
    <row r="71" spans="1:7" x14ac:dyDescent="0.3">
      <c r="A71" s="8" t="s">
        <v>244</v>
      </c>
      <c r="C71" s="26">
        <f>1-C34*(1-IFERROR(INDEX(PriceBook!$I$4:$I$203,MATCH(C26,PriceBook!$A$4:$A$203,0)),0))</f>
        <v>1</v>
      </c>
      <c r="D71" s="26">
        <f>1-D34*(1-IFERROR(INDEX(PriceBook!$I$4:$I$203,MATCH(D26,PriceBook!$A$4:$A$203,0)),0))</f>
        <v>1</v>
      </c>
      <c r="E71" s="26">
        <f>1-E34*(1-IFERROR(INDEX(PriceBook!$I$4:$I$203,MATCH(E26,PriceBook!$A$4:$A$203,0)),0))</f>
        <v>1</v>
      </c>
      <c r="F71" s="26">
        <f>1-F34*(1-IFERROR(INDEX(PriceBook!$I$4:$I$203,MATCH(F26,PriceBook!$A$4:$A$203,0)),0))</f>
        <v>0.8</v>
      </c>
      <c r="G71" s="26">
        <f>1-G34*(1-IFERROR(INDEX(PriceBook!$I$4:$I$203,MATCH(G26,PriceBook!$A$4:$A$203,0)),0))</f>
        <v>1</v>
      </c>
    </row>
    <row r="72" spans="1:7" x14ac:dyDescent="0.3">
      <c r="A72" s="8" t="s">
        <v>245</v>
      </c>
      <c r="C72" s="27">
        <f>IF(C23="per user",C24/((1-C13)+C13*C14),0)</f>
        <v>42.857142857142861</v>
      </c>
      <c r="D72" s="27">
        <f>IF(D23="per user",D24/((1-D13)+D13*D14),0)</f>
        <v>285.71428571428572</v>
      </c>
      <c r="E72" s="27">
        <f>IF(E23="per user",E24/((1-E13)+E13*E14),0)</f>
        <v>0</v>
      </c>
      <c r="F72" s="27">
        <f>IF(F23="per user",F24/((1-F13)+F13*F14),0)</f>
        <v>85.714285714285722</v>
      </c>
      <c r="G72" s="27">
        <f>IF(G23="per user",G24/((1-G13)+G13*G14),0)</f>
        <v>42.857142857142861</v>
      </c>
    </row>
    <row r="73" spans="1:7" x14ac:dyDescent="0.3">
      <c r="A73" s="8" t="s">
        <v>246</v>
      </c>
      <c r="C73" s="27">
        <f>C14*C72</f>
        <v>214.28571428571431</v>
      </c>
      <c r="D73" s="27">
        <f>D14*D72</f>
        <v>1428.5714285714287</v>
      </c>
      <c r="E73" s="27">
        <f>E14*E72</f>
        <v>0</v>
      </c>
      <c r="F73" s="27">
        <f>F14*F72</f>
        <v>428.57142857142861</v>
      </c>
      <c r="G73" s="27">
        <f>G14*G72</f>
        <v>214.28571428571431</v>
      </c>
    </row>
    <row r="74" spans="1:7" x14ac:dyDescent="0.3">
      <c r="A74" s="8" t="s">
        <v>247</v>
      </c>
      <c r="C74" s="28">
        <f>C37*IFERROR(INDEX(PriceBook!$E$4:$E$203,MATCH(C38,PriceBook!$A$4:$A$203,0)),0)/1000+C39*IFERROR(INDEX(PriceBook!$E$4:$E$203,MATCH(C40,PriceBook!$A$4:$A$203,0)),0)/1000</f>
        <v>0</v>
      </c>
      <c r="D74" s="28">
        <f>D37*IFERROR(INDEX(PriceBook!$E$4:$E$203,MATCH(D38,PriceBook!$A$4:$A$203,0)),0)/1000+D39*IFERROR(INDEX(PriceBook!$E$4:$E$203,MATCH(D40,PriceBook!$A$4:$A$203,0)),0)/1000</f>
        <v>0</v>
      </c>
      <c r="E74" s="28">
        <f>E37*IFERROR(INDEX(PriceBook!$E$4:$E$203,MATCH(E38,PriceBook!$A$4:$A$203,0)),0)/1000+E39*IFERROR(INDEX(PriceBook!$E$4:$E$203,MATCH(E40,PriceBook!$A$4:$A$203,0)),0)/1000</f>
        <v>0</v>
      </c>
      <c r="F74" s="28">
        <f>F37*IFERROR(INDEX(PriceBook!$E$4:$E$203,MATCH(F38,PriceBook!$A$4:$A$203,0)),0)/1000+F39*IFERROR(INDEX(PriceBook!$E$4:$E$203,MATCH(F40,PriceBook!$A$4:$A$203,0)),0)/1000</f>
        <v>1.89E-2</v>
      </c>
      <c r="G74" s="28">
        <f>G37*IFERROR(INDEX(PriceBook!$E$4:$E$203,MATCH(G38,PriceBook!$A$4:$A$203,0)),0)/1000+G39*IFERROR(INDEX(PriceBook!$E$4:$E$203,MATCH(G40,PriceBook!$A$4:$A$203,0)),0)/1000</f>
        <v>0</v>
      </c>
    </row>
    <row r="75" spans="1:7" x14ac:dyDescent="0.3">
      <c r="A75" s="8" t="s">
        <v>248</v>
      </c>
      <c r="C75" s="28">
        <f>IFERROR(INDEX(PriceBook!$E$4:$E$203,MATCH(C46,PriceBook!$A$4:$A$203,0)),0)</f>
        <v>1.5E-3</v>
      </c>
      <c r="D75" s="28">
        <f>IFERROR(INDEX(PriceBook!$E$4:$E$203,MATCH(D46,PriceBook!$A$4:$A$203,0)),0)</f>
        <v>1.5E-3</v>
      </c>
      <c r="E75" s="28">
        <f>IFERROR(INDEX(PriceBook!$E$4:$E$203,MATCH(E46,PriceBook!$A$4:$A$203,0)),0)</f>
        <v>1.5E-3</v>
      </c>
      <c r="F75" s="28">
        <f>IFERROR(INDEX(PriceBook!$E$4:$E$203,MATCH(F46,PriceBook!$A$4:$A$203,0)),0)</f>
        <v>1.4999999999999999E-2</v>
      </c>
      <c r="G75" s="28">
        <f>IFERROR(INDEX(PriceBook!$E$4:$E$203,MATCH(G46,PriceBook!$A$4:$A$203,0)),0)</f>
        <v>1.5E-3</v>
      </c>
    </row>
    <row r="76" spans="1:7" x14ac:dyDescent="0.3">
      <c r="A76" s="8" t="s">
        <v>249</v>
      </c>
      <c r="C76" s="28">
        <f>IFERROR(INDEX(PriceBook!$E$4:$E$203,MATCH(C48,PriceBook!$A$4:$A$203,0)),0)</f>
        <v>0.13</v>
      </c>
      <c r="D76" s="28">
        <f>IFERROR(INDEX(PriceBook!$E$4:$E$203,MATCH(D48,PriceBook!$A$4:$A$203,0)),0)</f>
        <v>0.13</v>
      </c>
      <c r="E76" s="28">
        <f>IFERROR(INDEX(PriceBook!$E$4:$E$203,MATCH(E48,PriceBook!$A$4:$A$203,0)),0)</f>
        <v>0.13</v>
      </c>
      <c r="F76" s="28">
        <f>IFERROR(INDEX(PriceBook!$E$4:$E$203,MATCH(F48,PriceBook!$A$4:$A$203,0)),0)</f>
        <v>0.13</v>
      </c>
      <c r="G76" s="28">
        <f>IFERROR(INDEX(PriceBook!$E$4:$E$203,MATCH(G48,PriceBook!$A$4:$A$203,0)),0)</f>
        <v>0.13</v>
      </c>
    </row>
    <row r="77" spans="1:7" x14ac:dyDescent="0.3">
      <c r="A77" s="8" t="s">
        <v>250</v>
      </c>
      <c r="C77" s="25">
        <f>IFERROR(INDEX(PriceBook!$E$4:$E$203,MATCH(C52,PriceBook!$A$4:$A$203,0)),0)</f>
        <v>50</v>
      </c>
      <c r="D77" s="25">
        <f>IFERROR(INDEX(PriceBook!$E$4:$E$203,MATCH(D52,PriceBook!$A$4:$A$203,0)),0)</f>
        <v>50</v>
      </c>
      <c r="E77" s="25">
        <f>IFERROR(INDEX(PriceBook!$E$4:$E$203,MATCH(E52,PriceBook!$A$4:$A$203,0)),0)</f>
        <v>50</v>
      </c>
      <c r="F77" s="25">
        <f>IFERROR(INDEX(PriceBook!$E$4:$E$203,MATCH(F52,PriceBook!$A$4:$A$203,0)),0)</f>
        <v>50</v>
      </c>
      <c r="G77" s="25">
        <f>IFERROR(INDEX(PriceBook!$E$4:$E$203,MATCH(G52,PriceBook!$A$4:$A$203,0)),0)</f>
        <v>50</v>
      </c>
    </row>
    <row r="78" spans="1:7" x14ac:dyDescent="0.3">
      <c r="A78" s="8" t="s">
        <v>251</v>
      </c>
      <c r="C78" s="28">
        <f>IFERROR(INDEX(PriceBook!$E$4:$E$203,MATCH(C53,PriceBook!$A$4:$A$203,0)),0)</f>
        <v>0.33</v>
      </c>
      <c r="D78" s="28">
        <f>IFERROR(INDEX(PriceBook!$E$4:$E$203,MATCH(D53,PriceBook!$A$4:$A$203,0)),0)</f>
        <v>0.33</v>
      </c>
      <c r="E78" s="28">
        <f>IFERROR(INDEX(PriceBook!$E$4:$E$203,MATCH(E53,PriceBook!$A$4:$A$203,0)),0)</f>
        <v>0.33</v>
      </c>
      <c r="F78" s="28">
        <f>IFERROR(INDEX(PriceBook!$E$4:$E$203,MATCH(F53,PriceBook!$A$4:$A$203,0)),0)</f>
        <v>0.33</v>
      </c>
      <c r="G78" s="28">
        <f>IFERROR(INDEX(PriceBook!$E$4:$E$203,MATCH(G53,PriceBook!$A$4:$A$203,0)),0)</f>
        <v>0.33</v>
      </c>
    </row>
    <row r="79" spans="1:7" x14ac:dyDescent="0.3">
      <c r="A79" s="8" t="s">
        <v>252</v>
      </c>
      <c r="C79" s="25">
        <f>IFERROR(INDEX(PriceBook!$E$4:$E$203,MATCH(C54,PriceBook!$A$4:$A$203,0)),0)</f>
        <v>16</v>
      </c>
      <c r="D79" s="25">
        <f>IFERROR(INDEX(PriceBook!$E$4:$E$203,MATCH(D54,PriceBook!$A$4:$A$203,0)),0)</f>
        <v>16</v>
      </c>
      <c r="E79" s="25">
        <f>IFERROR(INDEX(PriceBook!$E$4:$E$203,MATCH(E54,PriceBook!$A$4:$A$203,0)),0)</f>
        <v>16</v>
      </c>
      <c r="F79" s="25">
        <f>IFERROR(INDEX(PriceBook!$E$4:$E$203,MATCH(F54,PriceBook!$A$4:$A$203,0)),0)</f>
        <v>16</v>
      </c>
      <c r="G79" s="25">
        <f>IFERROR(INDEX(PriceBook!$E$4:$E$203,MATCH(G54,PriceBook!$A$4:$A$203,0)),0)</f>
        <v>16</v>
      </c>
    </row>
    <row r="80" spans="1:7" x14ac:dyDescent="0.3">
      <c r="A80" s="8" t="s">
        <v>253</v>
      </c>
      <c r="C80" s="22">
        <f>IF(C5=1,C20,9999)</f>
        <v>1</v>
      </c>
      <c r="D80" s="22">
        <f>IF(D5=1,D20,9999)</f>
        <v>1</v>
      </c>
      <c r="E80" s="22">
        <f>IF(E5=1,E20,9999)</f>
        <v>2</v>
      </c>
      <c r="F80" s="22">
        <f>IF(F5=1,F20,9999)</f>
        <v>3</v>
      </c>
      <c r="G80" s="22">
        <f>IF(G5=1,G20,9999)</f>
        <v>1</v>
      </c>
    </row>
    <row r="81" spans="1:7" x14ac:dyDescent="0.3">
      <c r="A81" s="8" t="s">
        <v>254</v>
      </c>
      <c r="C81" s="22">
        <f>C5*C18</f>
        <v>3000</v>
      </c>
      <c r="D81" s="22">
        <f>D5*D18</f>
        <v>400</v>
      </c>
      <c r="E81" s="22">
        <f>E5*E18</f>
        <v>60</v>
      </c>
      <c r="F81" s="22">
        <f>F5*F18</f>
        <v>150</v>
      </c>
      <c r="G81" s="22">
        <f>G5*G18</f>
        <v>2000</v>
      </c>
    </row>
    <row r="83" spans="1:7" x14ac:dyDescent="0.3">
      <c r="A83" s="18" t="s">
        <v>255</v>
      </c>
    </row>
  </sheetData>
  <dataValidations count="5">
    <dataValidation type="list" sqref="C8:G8" xr:uid="{00000000-0002-0000-0300-000000000000}">
      <formula1>"Seat,Seat + usage,Per-unit,Committed capacity"</formula1>
    </dataValidation>
    <dataValidation type="list" sqref="C22:G22" xr:uid="{00000000-0002-0000-0300-000001000000}">
      <formula1>"Linear,S"</formula1>
    </dataValidation>
    <dataValidation type="list" sqref="C23:G23" xr:uid="{00000000-0002-0000-0300-000002000000}">
      <formula1>"per user,direct volume"</formula1>
    </dataValidation>
    <dataValidation type="list" sqref="C36:G36" xr:uid="{00000000-0002-0000-0300-000003000000}">
      <formula1>"Yes,No"</formula1>
    </dataValidation>
    <dataValidation type="list" sqref="C49:G49 C5:G5" xr:uid="{00000000-0002-0000-0300-000004000000}">
      <formula1>"1,0"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52" customWidth="1"/>
    <col min="3" max="3" width="26" customWidth="1"/>
    <col min="4" max="6" width="11" customWidth="1"/>
    <col min="7" max="7" width="12" customWidth="1"/>
    <col min="8" max="8" width="70" customWidth="1"/>
    <col min="9" max="9" width="10" customWidth="1"/>
    <col min="10" max="10" width="38" customWidth="1"/>
    <col min="11" max="11" width="7" customWidth="1"/>
  </cols>
  <sheetData>
    <row r="1" spans="1:11" ht="17.399999999999999" x14ac:dyDescent="0.3">
      <c r="A1" s="5" t="s">
        <v>256</v>
      </c>
    </row>
    <row r="2" spans="1:11" x14ac:dyDescent="0.3">
      <c r="A2" s="18" t="s">
        <v>257</v>
      </c>
    </row>
    <row r="3" spans="1:11" x14ac:dyDescent="0.3">
      <c r="A3" s="19" t="s">
        <v>258</v>
      </c>
      <c r="B3" s="19" t="s">
        <v>259</v>
      </c>
      <c r="C3" s="19" t="s">
        <v>260</v>
      </c>
      <c r="D3" s="19" t="s">
        <v>261</v>
      </c>
      <c r="E3" s="19" t="s">
        <v>84</v>
      </c>
      <c r="F3" s="19" t="s">
        <v>262</v>
      </c>
      <c r="G3" s="19" t="s">
        <v>263</v>
      </c>
      <c r="H3" s="19" t="s">
        <v>264</v>
      </c>
      <c r="I3" s="19" t="s">
        <v>71</v>
      </c>
      <c r="J3" s="19" t="s">
        <v>72</v>
      </c>
      <c r="K3" s="19" t="s">
        <v>73</v>
      </c>
    </row>
    <row r="4" spans="1:11" x14ac:dyDescent="0.3">
      <c r="A4" s="18" t="s">
        <v>265</v>
      </c>
      <c r="B4" s="8" t="s">
        <v>266</v>
      </c>
      <c r="C4" s="18" t="s">
        <v>267</v>
      </c>
      <c r="D4" s="29">
        <v>1</v>
      </c>
      <c r="E4" s="29">
        <v>3</v>
      </c>
      <c r="F4" s="29">
        <v>8</v>
      </c>
      <c r="G4" s="8" t="s">
        <v>268</v>
      </c>
      <c r="H4" s="18" t="s">
        <v>269</v>
      </c>
      <c r="I4" s="8" t="s">
        <v>77</v>
      </c>
      <c r="J4" s="18" t="s">
        <v>100</v>
      </c>
      <c r="K4" s="8" t="s">
        <v>79</v>
      </c>
    </row>
    <row r="5" spans="1:11" x14ac:dyDescent="0.3">
      <c r="A5" s="18" t="s">
        <v>270</v>
      </c>
      <c r="B5" s="8" t="s">
        <v>271</v>
      </c>
      <c r="C5" s="18" t="s">
        <v>267</v>
      </c>
      <c r="D5" s="29">
        <v>5</v>
      </c>
      <c r="E5" s="29">
        <v>20</v>
      </c>
      <c r="F5" s="29">
        <v>60</v>
      </c>
      <c r="G5" s="8" t="s">
        <v>272</v>
      </c>
      <c r="H5" s="18" t="s">
        <v>273</v>
      </c>
      <c r="I5" s="8" t="s">
        <v>77</v>
      </c>
      <c r="J5" s="18" t="s">
        <v>100</v>
      </c>
      <c r="K5" s="8" t="s">
        <v>79</v>
      </c>
    </row>
    <row r="6" spans="1:11" x14ac:dyDescent="0.3">
      <c r="A6" s="18" t="s">
        <v>274</v>
      </c>
      <c r="B6" s="8" t="s">
        <v>275</v>
      </c>
      <c r="C6" s="18" t="s">
        <v>267</v>
      </c>
      <c r="D6" s="29">
        <v>5</v>
      </c>
      <c r="E6" s="29">
        <v>10</v>
      </c>
      <c r="F6" s="29">
        <v>25</v>
      </c>
      <c r="G6" s="8" t="s">
        <v>276</v>
      </c>
      <c r="H6" s="18" t="s">
        <v>277</v>
      </c>
      <c r="I6" s="8" t="s">
        <v>77</v>
      </c>
      <c r="J6" s="18" t="s">
        <v>100</v>
      </c>
      <c r="K6" s="8" t="s">
        <v>79</v>
      </c>
    </row>
    <row r="7" spans="1:11" x14ac:dyDescent="0.3">
      <c r="A7" s="18" t="s">
        <v>278</v>
      </c>
      <c r="B7" s="8" t="s">
        <v>279</v>
      </c>
      <c r="C7" s="18" t="s">
        <v>280</v>
      </c>
      <c r="D7" s="23">
        <v>0.1</v>
      </c>
      <c r="E7" s="23">
        <v>0.15</v>
      </c>
      <c r="F7" s="23">
        <v>0.25</v>
      </c>
      <c r="G7" s="8" t="s">
        <v>276</v>
      </c>
      <c r="H7" s="18" t="s">
        <v>281</v>
      </c>
      <c r="I7" s="8" t="s">
        <v>77</v>
      </c>
      <c r="J7" s="18" t="s">
        <v>100</v>
      </c>
      <c r="K7" s="8" t="s">
        <v>79</v>
      </c>
    </row>
    <row r="8" spans="1:11" x14ac:dyDescent="0.3">
      <c r="A8" s="18" t="s">
        <v>282</v>
      </c>
      <c r="B8" s="8" t="s">
        <v>283</v>
      </c>
      <c r="C8" s="18" t="s">
        <v>267</v>
      </c>
      <c r="D8" s="29">
        <v>2</v>
      </c>
      <c r="E8" s="29">
        <v>4</v>
      </c>
      <c r="F8" s="29">
        <v>10</v>
      </c>
      <c r="G8" s="8" t="s">
        <v>284</v>
      </c>
      <c r="H8" s="18" t="s">
        <v>285</v>
      </c>
      <c r="I8" s="8" t="s">
        <v>77</v>
      </c>
      <c r="J8" s="18" t="s">
        <v>100</v>
      </c>
      <c r="K8" s="8" t="s">
        <v>79</v>
      </c>
    </row>
    <row r="9" spans="1:11" x14ac:dyDescent="0.3">
      <c r="A9" s="18" t="s">
        <v>286</v>
      </c>
      <c r="B9" s="8" t="s">
        <v>287</v>
      </c>
      <c r="C9" s="18" t="s">
        <v>280</v>
      </c>
      <c r="D9" s="23">
        <v>0.05</v>
      </c>
      <c r="E9" s="23">
        <v>0.1</v>
      </c>
      <c r="F9" s="23">
        <v>0.2</v>
      </c>
      <c r="G9" s="8" t="s">
        <v>284</v>
      </c>
      <c r="H9" s="18" t="s">
        <v>288</v>
      </c>
      <c r="I9" s="8" t="s">
        <v>77</v>
      </c>
      <c r="J9" s="18" t="s">
        <v>100</v>
      </c>
      <c r="K9" s="8" t="s">
        <v>79</v>
      </c>
    </row>
    <row r="10" spans="1:11" x14ac:dyDescent="0.3">
      <c r="A10" s="18" t="s">
        <v>289</v>
      </c>
      <c r="B10" s="8" t="s">
        <v>290</v>
      </c>
      <c r="C10" s="18" t="s">
        <v>148</v>
      </c>
      <c r="D10" s="23">
        <v>0.01</v>
      </c>
      <c r="E10" s="23">
        <v>0.03</v>
      </c>
      <c r="F10" s="23">
        <v>0.1</v>
      </c>
      <c r="G10" s="8" t="s">
        <v>291</v>
      </c>
      <c r="H10" s="18" t="s">
        <v>292</v>
      </c>
      <c r="I10" s="8" t="s">
        <v>77</v>
      </c>
      <c r="J10" s="18" t="s">
        <v>100</v>
      </c>
      <c r="K10" s="8" t="s">
        <v>79</v>
      </c>
    </row>
    <row r="11" spans="1:11" x14ac:dyDescent="0.3">
      <c r="A11" s="18" t="s">
        <v>293</v>
      </c>
      <c r="B11" s="8" t="s">
        <v>294</v>
      </c>
      <c r="C11" s="18" t="s">
        <v>267</v>
      </c>
      <c r="D11" s="29">
        <v>60</v>
      </c>
      <c r="E11" s="29">
        <v>120</v>
      </c>
      <c r="F11" s="29">
        <v>300</v>
      </c>
      <c r="G11" s="8" t="s">
        <v>295</v>
      </c>
      <c r="H11" s="18" t="s">
        <v>296</v>
      </c>
      <c r="I11" s="8" t="s">
        <v>77</v>
      </c>
      <c r="J11" s="18" t="s">
        <v>100</v>
      </c>
      <c r="K11" s="8" t="s">
        <v>79</v>
      </c>
    </row>
    <row r="12" spans="1:11" x14ac:dyDescent="0.3">
      <c r="A12" s="18" t="s">
        <v>297</v>
      </c>
      <c r="B12" s="8" t="s">
        <v>298</v>
      </c>
      <c r="C12" s="18" t="s">
        <v>299</v>
      </c>
      <c r="D12" s="23">
        <v>0.1</v>
      </c>
      <c r="E12" s="23">
        <v>0.2</v>
      </c>
      <c r="F12" s="23">
        <v>0.3</v>
      </c>
      <c r="G12" s="8" t="s">
        <v>295</v>
      </c>
      <c r="H12" s="18" t="s">
        <v>300</v>
      </c>
      <c r="I12" s="8" t="s">
        <v>77</v>
      </c>
      <c r="J12" s="18" t="s">
        <v>100</v>
      </c>
      <c r="K12" s="8" t="s">
        <v>79</v>
      </c>
    </row>
    <row r="13" spans="1:11" x14ac:dyDescent="0.3">
      <c r="A13" s="18" t="s">
        <v>301</v>
      </c>
      <c r="B13" s="8" t="s">
        <v>302</v>
      </c>
      <c r="C13" s="18" t="s">
        <v>267</v>
      </c>
      <c r="D13" s="29">
        <v>15</v>
      </c>
      <c r="E13" s="29">
        <v>40</v>
      </c>
      <c r="F13" s="29">
        <v>120</v>
      </c>
      <c r="G13" s="8" t="s">
        <v>303</v>
      </c>
      <c r="H13" s="18" t="s">
        <v>304</v>
      </c>
      <c r="I13" s="8" t="s">
        <v>77</v>
      </c>
      <c r="J13" s="18" t="s">
        <v>100</v>
      </c>
      <c r="K13" s="8" t="s">
        <v>79</v>
      </c>
    </row>
    <row r="14" spans="1:11" x14ac:dyDescent="0.3">
      <c r="A14" s="18" t="s">
        <v>305</v>
      </c>
      <c r="B14" s="8" t="s">
        <v>306</v>
      </c>
      <c r="C14" s="18" t="s">
        <v>267</v>
      </c>
      <c r="D14" s="29">
        <v>5</v>
      </c>
      <c r="E14" s="29">
        <v>10</v>
      </c>
      <c r="F14" s="29">
        <v>30</v>
      </c>
      <c r="G14" s="8" t="s">
        <v>307</v>
      </c>
      <c r="H14" s="18" t="s">
        <v>308</v>
      </c>
      <c r="I14" s="8" t="s">
        <v>77</v>
      </c>
      <c r="J14" s="18" t="s">
        <v>100</v>
      </c>
      <c r="K14" s="8" t="s">
        <v>79</v>
      </c>
    </row>
    <row r="15" spans="1:11" x14ac:dyDescent="0.3">
      <c r="A15" s="18" t="s">
        <v>309</v>
      </c>
      <c r="B15" s="8" t="s">
        <v>310</v>
      </c>
      <c r="C15" s="18" t="s">
        <v>267</v>
      </c>
      <c r="D15" s="29">
        <v>15</v>
      </c>
      <c r="E15" s="29">
        <v>30</v>
      </c>
      <c r="F15" s="29">
        <v>60</v>
      </c>
      <c r="G15" s="8" t="s">
        <v>307</v>
      </c>
      <c r="H15" s="18" t="s">
        <v>311</v>
      </c>
      <c r="I15" s="8" t="s">
        <v>77</v>
      </c>
      <c r="J15" s="18" t="s">
        <v>100</v>
      </c>
      <c r="K15" s="8" t="s">
        <v>79</v>
      </c>
    </row>
    <row r="16" spans="1:11" x14ac:dyDescent="0.3">
      <c r="A16" s="18" t="s">
        <v>312</v>
      </c>
      <c r="B16" s="8" t="s">
        <v>313</v>
      </c>
      <c r="C16" s="18" t="s">
        <v>267</v>
      </c>
      <c r="D16" s="29">
        <v>8</v>
      </c>
      <c r="E16" s="29">
        <v>20</v>
      </c>
      <c r="F16" s="29">
        <v>60</v>
      </c>
      <c r="G16" s="8" t="s">
        <v>314</v>
      </c>
      <c r="H16" s="18" t="s">
        <v>315</v>
      </c>
      <c r="I16" s="8" t="s">
        <v>77</v>
      </c>
      <c r="J16" s="18" t="s">
        <v>100</v>
      </c>
      <c r="K16" s="8" t="s">
        <v>79</v>
      </c>
    </row>
    <row r="17" spans="1:11" x14ac:dyDescent="0.3">
      <c r="A17" s="18" t="s">
        <v>316</v>
      </c>
      <c r="B17" s="8" t="s">
        <v>317</v>
      </c>
      <c r="C17" s="18" t="s">
        <v>148</v>
      </c>
      <c r="D17" s="23">
        <v>0.15</v>
      </c>
      <c r="E17" s="23">
        <v>0.25</v>
      </c>
      <c r="F17" s="23">
        <v>0.4</v>
      </c>
      <c r="G17" s="8" t="s">
        <v>314</v>
      </c>
      <c r="H17" s="18" t="s">
        <v>318</v>
      </c>
      <c r="I17" s="8" t="s">
        <v>77</v>
      </c>
      <c r="J17" s="18" t="s">
        <v>100</v>
      </c>
      <c r="K17" s="8" t="s">
        <v>79</v>
      </c>
    </row>
    <row r="18" spans="1:11" x14ac:dyDescent="0.3">
      <c r="A18" s="18" t="s">
        <v>319</v>
      </c>
      <c r="B18" s="8" t="s">
        <v>320</v>
      </c>
      <c r="C18" s="18" t="s">
        <v>267</v>
      </c>
      <c r="D18" s="29">
        <v>3</v>
      </c>
      <c r="E18" s="29">
        <v>8</v>
      </c>
      <c r="F18" s="29">
        <v>25</v>
      </c>
      <c r="G18" s="8" t="s">
        <v>321</v>
      </c>
      <c r="H18" s="18" t="s">
        <v>322</v>
      </c>
      <c r="I18" s="8" t="s">
        <v>77</v>
      </c>
      <c r="J18" s="18" t="s">
        <v>100</v>
      </c>
      <c r="K18" s="8" t="s">
        <v>79</v>
      </c>
    </row>
    <row r="19" spans="1:11" x14ac:dyDescent="0.3">
      <c r="A19" s="18" t="s">
        <v>323</v>
      </c>
      <c r="B19" s="8" t="s">
        <v>324</v>
      </c>
      <c r="C19" s="18" t="s">
        <v>299</v>
      </c>
      <c r="D19" s="23">
        <v>0.25</v>
      </c>
      <c r="E19" s="23">
        <v>0.5</v>
      </c>
      <c r="F19" s="23">
        <v>1</v>
      </c>
      <c r="G19" s="8" t="s">
        <v>321</v>
      </c>
      <c r="H19" s="18" t="s">
        <v>325</v>
      </c>
      <c r="I19" s="8" t="s">
        <v>77</v>
      </c>
      <c r="J19" s="18" t="s">
        <v>100</v>
      </c>
      <c r="K19" s="8" t="s">
        <v>79</v>
      </c>
    </row>
    <row r="20" spans="1:11" x14ac:dyDescent="0.3">
      <c r="A20" s="18" t="s">
        <v>326</v>
      </c>
      <c r="B20" s="8" t="s">
        <v>327</v>
      </c>
      <c r="C20" s="18" t="s">
        <v>157</v>
      </c>
      <c r="D20" s="30">
        <v>0</v>
      </c>
      <c r="E20" s="30">
        <v>0</v>
      </c>
      <c r="F20" s="30">
        <v>0</v>
      </c>
      <c r="G20" s="8" t="s">
        <v>328</v>
      </c>
      <c r="H20" s="18" t="s">
        <v>329</v>
      </c>
      <c r="I20" s="8" t="s">
        <v>77</v>
      </c>
      <c r="J20" s="18" t="s">
        <v>100</v>
      </c>
      <c r="K20" s="8" t="s">
        <v>79</v>
      </c>
    </row>
    <row r="21" spans="1:11" x14ac:dyDescent="0.3">
      <c r="A21" s="18" t="s">
        <v>330</v>
      </c>
      <c r="B21" s="8" t="s">
        <v>331</v>
      </c>
      <c r="C21" s="18" t="s">
        <v>192</v>
      </c>
      <c r="D21" s="29">
        <v>1.05</v>
      </c>
      <c r="E21" s="29">
        <v>1.1499999999999999</v>
      </c>
      <c r="F21" s="29">
        <v>1.5</v>
      </c>
      <c r="G21" s="8" t="s">
        <v>332</v>
      </c>
      <c r="H21" s="18" t="s">
        <v>333</v>
      </c>
      <c r="I21" s="8" t="s">
        <v>77</v>
      </c>
      <c r="J21" s="18" t="s">
        <v>100</v>
      </c>
      <c r="K21" s="8" t="s">
        <v>79</v>
      </c>
    </row>
    <row r="22" spans="1:11" x14ac:dyDescent="0.3">
      <c r="A22" s="18" t="s">
        <v>334</v>
      </c>
      <c r="B22" s="8" t="s">
        <v>335</v>
      </c>
      <c r="C22" s="18" t="s">
        <v>208</v>
      </c>
      <c r="D22" s="29">
        <v>3</v>
      </c>
      <c r="E22" s="29">
        <v>6</v>
      </c>
      <c r="F22" s="29">
        <v>20</v>
      </c>
      <c r="G22" s="8" t="s">
        <v>332</v>
      </c>
      <c r="H22" s="18" t="s">
        <v>336</v>
      </c>
      <c r="I22" s="8" t="s">
        <v>77</v>
      </c>
      <c r="J22" s="18" t="s">
        <v>100</v>
      </c>
      <c r="K22" s="8" t="s">
        <v>79</v>
      </c>
    </row>
    <row r="23" spans="1:11" x14ac:dyDescent="0.3">
      <c r="A23" s="18" t="s">
        <v>337</v>
      </c>
      <c r="B23" s="8" t="s">
        <v>338</v>
      </c>
      <c r="C23" s="18" t="s">
        <v>339</v>
      </c>
      <c r="D23" s="29">
        <v>50</v>
      </c>
      <c r="E23" s="29">
        <v>200</v>
      </c>
      <c r="F23" s="29">
        <v>1000</v>
      </c>
      <c r="G23" s="8" t="s">
        <v>340</v>
      </c>
      <c r="H23" s="18" t="s">
        <v>341</v>
      </c>
      <c r="I23" s="8" t="s">
        <v>77</v>
      </c>
      <c r="J23" s="18" t="s">
        <v>100</v>
      </c>
      <c r="K23" s="8" t="s">
        <v>79</v>
      </c>
    </row>
    <row r="24" spans="1:11" x14ac:dyDescent="0.3">
      <c r="A24" s="18" t="s">
        <v>342</v>
      </c>
      <c r="B24" s="8" t="s">
        <v>343</v>
      </c>
      <c r="C24" s="18" t="s">
        <v>229</v>
      </c>
      <c r="D24" s="29">
        <v>5</v>
      </c>
      <c r="E24" s="29">
        <v>10</v>
      </c>
      <c r="F24" s="29">
        <v>20</v>
      </c>
      <c r="G24" s="8" t="s">
        <v>340</v>
      </c>
      <c r="H24" s="18" t="s">
        <v>344</v>
      </c>
      <c r="I24" s="8" t="s">
        <v>77</v>
      </c>
      <c r="J24" s="18" t="s">
        <v>100</v>
      </c>
      <c r="K24" s="8" t="s">
        <v>79</v>
      </c>
    </row>
    <row r="25" spans="1:11" x14ac:dyDescent="0.3">
      <c r="A25" s="18" t="s">
        <v>345</v>
      </c>
      <c r="B25" s="8" t="s">
        <v>346</v>
      </c>
      <c r="C25" s="18" t="s">
        <v>166</v>
      </c>
      <c r="D25" s="29">
        <v>25</v>
      </c>
      <c r="E25" s="29">
        <v>15</v>
      </c>
      <c r="F25" s="29">
        <v>12</v>
      </c>
      <c r="G25" s="8" t="s">
        <v>347</v>
      </c>
      <c r="H25" s="18" t="s">
        <v>348</v>
      </c>
      <c r="I25" s="8" t="s">
        <v>77</v>
      </c>
      <c r="J25" s="18" t="s">
        <v>100</v>
      </c>
      <c r="K25" s="8" t="s">
        <v>349</v>
      </c>
    </row>
    <row r="26" spans="1:11" x14ac:dyDescent="0.3">
      <c r="A26" s="18" t="s">
        <v>350</v>
      </c>
      <c r="B26" s="8" t="s">
        <v>351</v>
      </c>
      <c r="C26" s="18" t="s">
        <v>267</v>
      </c>
      <c r="D26" s="29">
        <v>1</v>
      </c>
      <c r="E26" s="29">
        <v>3</v>
      </c>
      <c r="F26" s="29">
        <v>10</v>
      </c>
      <c r="G26" s="8" t="s">
        <v>347</v>
      </c>
      <c r="H26" s="18" t="s">
        <v>352</v>
      </c>
      <c r="I26" s="8" t="s">
        <v>77</v>
      </c>
      <c r="J26" s="18" t="s">
        <v>100</v>
      </c>
      <c r="K26" s="8" t="s">
        <v>79</v>
      </c>
    </row>
    <row r="27" spans="1:11" x14ac:dyDescent="0.3">
      <c r="A27" s="18" t="s">
        <v>353</v>
      </c>
      <c r="B27" s="8" t="s">
        <v>354</v>
      </c>
      <c r="C27" s="18" t="s">
        <v>355</v>
      </c>
      <c r="D27" s="23">
        <v>0.05</v>
      </c>
      <c r="E27" s="23">
        <v>0.1</v>
      </c>
      <c r="F27" s="23">
        <v>0.25</v>
      </c>
      <c r="G27" s="8" t="s">
        <v>356</v>
      </c>
      <c r="H27" s="18" t="s">
        <v>357</v>
      </c>
      <c r="I27" s="8" t="s">
        <v>77</v>
      </c>
      <c r="J27" s="18" t="s">
        <v>100</v>
      </c>
      <c r="K27" s="8" t="s">
        <v>79</v>
      </c>
    </row>
    <row r="28" spans="1:11" x14ac:dyDescent="0.3">
      <c r="A28" s="18" t="s">
        <v>358</v>
      </c>
      <c r="B28" s="8" t="s">
        <v>359</v>
      </c>
      <c r="C28" s="18" t="s">
        <v>358</v>
      </c>
      <c r="D28" s="29">
        <v>5</v>
      </c>
      <c r="E28" s="29">
        <v>20</v>
      </c>
      <c r="F28" s="29">
        <v>60</v>
      </c>
      <c r="G28" s="8" t="s">
        <v>360</v>
      </c>
      <c r="H28" s="18" t="s">
        <v>361</v>
      </c>
      <c r="I28" s="8" t="s">
        <v>77</v>
      </c>
      <c r="J28" s="18" t="s">
        <v>100</v>
      </c>
      <c r="K28" s="8" t="s">
        <v>79</v>
      </c>
    </row>
    <row r="29" spans="1:11" x14ac:dyDescent="0.3">
      <c r="A29" s="18" t="s">
        <v>362</v>
      </c>
      <c r="B29" s="8" t="s">
        <v>363</v>
      </c>
      <c r="C29" s="18" t="s">
        <v>99</v>
      </c>
      <c r="D29" s="29">
        <v>0.5</v>
      </c>
      <c r="E29" s="29">
        <v>1</v>
      </c>
      <c r="F29" s="29">
        <v>2</v>
      </c>
      <c r="G29" s="8" t="s">
        <v>360</v>
      </c>
      <c r="H29" s="18" t="s">
        <v>364</v>
      </c>
      <c r="I29" s="8" t="s">
        <v>77</v>
      </c>
      <c r="J29" s="18" t="s">
        <v>100</v>
      </c>
      <c r="K29" s="8" t="s">
        <v>79</v>
      </c>
    </row>
    <row r="30" spans="1:11" x14ac:dyDescent="0.3">
      <c r="A30" s="18" t="s">
        <v>365</v>
      </c>
      <c r="B30" s="8" t="s">
        <v>366</v>
      </c>
      <c r="C30" s="18" t="s">
        <v>367</v>
      </c>
      <c r="D30" s="29">
        <v>3</v>
      </c>
      <c r="E30" s="29">
        <v>5</v>
      </c>
      <c r="F30" s="29">
        <v>12</v>
      </c>
      <c r="G30" s="8" t="s">
        <v>368</v>
      </c>
      <c r="H30" s="18" t="s">
        <v>369</v>
      </c>
      <c r="I30" s="8" t="s">
        <v>77</v>
      </c>
      <c r="J30" s="18" t="s">
        <v>100</v>
      </c>
      <c r="K30" s="8" t="s">
        <v>79</v>
      </c>
    </row>
    <row r="31" spans="1:11" x14ac:dyDescent="0.3">
      <c r="A31" s="18" t="s">
        <v>370</v>
      </c>
      <c r="B31" s="8" t="s">
        <v>371</v>
      </c>
      <c r="C31" s="18" t="s">
        <v>367</v>
      </c>
      <c r="D31" s="29">
        <v>0.5</v>
      </c>
      <c r="E31" s="29">
        <v>1</v>
      </c>
      <c r="F31" s="29">
        <v>3</v>
      </c>
      <c r="G31" s="8" t="s">
        <v>372</v>
      </c>
      <c r="H31" s="18" t="s">
        <v>373</v>
      </c>
      <c r="I31" s="8" t="s">
        <v>77</v>
      </c>
      <c r="J31" s="18" t="s">
        <v>100</v>
      </c>
      <c r="K31" s="8" t="s">
        <v>349</v>
      </c>
    </row>
    <row r="32" spans="1:11" x14ac:dyDescent="0.3">
      <c r="A32" s="18" t="s">
        <v>374</v>
      </c>
      <c r="B32" s="8" t="s">
        <v>375</v>
      </c>
      <c r="C32" s="18" t="s">
        <v>376</v>
      </c>
      <c r="D32" s="30">
        <v>0</v>
      </c>
      <c r="E32" s="30">
        <v>0</v>
      </c>
      <c r="F32" s="30">
        <v>0</v>
      </c>
      <c r="G32" s="8" t="s">
        <v>377</v>
      </c>
      <c r="H32" s="18" t="s">
        <v>329</v>
      </c>
      <c r="I32" s="8" t="s">
        <v>77</v>
      </c>
      <c r="J32" s="18" t="s">
        <v>100</v>
      </c>
      <c r="K32" s="8" t="s">
        <v>79</v>
      </c>
    </row>
    <row r="33" spans="1:11" x14ac:dyDescent="0.3">
      <c r="A33" s="18" t="s">
        <v>378</v>
      </c>
      <c r="B33" s="8" t="s">
        <v>379</v>
      </c>
      <c r="C33" s="18" t="s">
        <v>376</v>
      </c>
      <c r="D33" s="30">
        <v>0</v>
      </c>
      <c r="E33" s="30">
        <v>0</v>
      </c>
      <c r="F33" s="30">
        <v>0</v>
      </c>
      <c r="G33" s="8" t="s">
        <v>380</v>
      </c>
      <c r="H33" s="18" t="s">
        <v>381</v>
      </c>
      <c r="I33" s="8" t="s">
        <v>77</v>
      </c>
      <c r="J33" s="18" t="s">
        <v>100</v>
      </c>
      <c r="K33" s="8" t="s">
        <v>79</v>
      </c>
    </row>
    <row r="34" spans="1:11" x14ac:dyDescent="0.3">
      <c r="A34" s="18" t="s">
        <v>382</v>
      </c>
      <c r="B34" s="8" t="s">
        <v>383</v>
      </c>
      <c r="C34" s="18" t="s">
        <v>99</v>
      </c>
      <c r="D34" s="29">
        <v>2</v>
      </c>
      <c r="E34" s="29">
        <v>4</v>
      </c>
      <c r="F34" s="29">
        <v>12</v>
      </c>
      <c r="G34" s="8" t="s">
        <v>384</v>
      </c>
      <c r="H34" s="18" t="s">
        <v>385</v>
      </c>
      <c r="I34" s="8" t="s">
        <v>77</v>
      </c>
      <c r="J34" s="18" t="s">
        <v>100</v>
      </c>
      <c r="K34" s="8" t="s">
        <v>79</v>
      </c>
    </row>
    <row r="35" spans="1:11" x14ac:dyDescent="0.3">
      <c r="A35" s="18" t="s">
        <v>386</v>
      </c>
      <c r="B35" s="8" t="s">
        <v>387</v>
      </c>
      <c r="C35" s="18" t="s">
        <v>388</v>
      </c>
      <c r="D35" s="29">
        <v>0.5</v>
      </c>
      <c r="E35" s="29">
        <v>1</v>
      </c>
      <c r="F35" s="29">
        <v>2</v>
      </c>
      <c r="G35" s="8" t="s">
        <v>389</v>
      </c>
      <c r="H35" s="18" t="s">
        <v>390</v>
      </c>
      <c r="I35" s="8" t="s">
        <v>77</v>
      </c>
      <c r="J35" s="18" t="s">
        <v>100</v>
      </c>
      <c r="K35" s="8" t="s">
        <v>349</v>
      </c>
    </row>
    <row r="36" spans="1:11" x14ac:dyDescent="0.3">
      <c r="A36" s="18" t="s">
        <v>391</v>
      </c>
      <c r="B36" s="8" t="s">
        <v>392</v>
      </c>
      <c r="C36" s="18" t="s">
        <v>229</v>
      </c>
      <c r="D36" s="29">
        <v>2</v>
      </c>
      <c r="E36" s="29">
        <v>3</v>
      </c>
      <c r="F36" s="29">
        <v>6</v>
      </c>
      <c r="G36" s="8" t="s">
        <v>389</v>
      </c>
      <c r="H36" s="18" t="s">
        <v>393</v>
      </c>
      <c r="I36" s="8" t="s">
        <v>77</v>
      </c>
      <c r="J36" s="18" t="s">
        <v>100</v>
      </c>
      <c r="K36" s="8" t="s">
        <v>349</v>
      </c>
    </row>
    <row r="37" spans="1:11" x14ac:dyDescent="0.3">
      <c r="A37" s="18" t="s">
        <v>394</v>
      </c>
      <c r="B37" s="8" t="s">
        <v>395</v>
      </c>
      <c r="C37" s="18" t="s">
        <v>396</v>
      </c>
      <c r="D37" s="29">
        <v>0.25</v>
      </c>
      <c r="E37" s="29">
        <v>0.5</v>
      </c>
      <c r="F37" s="29">
        <v>1</v>
      </c>
      <c r="G37" s="8" t="s">
        <v>397</v>
      </c>
      <c r="H37" s="18" t="s">
        <v>398</v>
      </c>
      <c r="I37" s="8" t="s">
        <v>77</v>
      </c>
      <c r="J37" s="18" t="s">
        <v>100</v>
      </c>
      <c r="K37" s="8" t="s">
        <v>79</v>
      </c>
    </row>
    <row r="38" spans="1:11" x14ac:dyDescent="0.3">
      <c r="A38" s="18" t="s">
        <v>399</v>
      </c>
      <c r="B38" s="8" t="s">
        <v>400</v>
      </c>
      <c r="C38" s="18" t="s">
        <v>396</v>
      </c>
      <c r="D38" s="29">
        <v>0.05</v>
      </c>
      <c r="E38" s="29">
        <v>0.1</v>
      </c>
      <c r="F38" s="29">
        <v>0.2</v>
      </c>
      <c r="G38" s="8" t="s">
        <v>397</v>
      </c>
      <c r="H38" s="18" t="s">
        <v>401</v>
      </c>
      <c r="I38" s="8" t="s">
        <v>77</v>
      </c>
      <c r="J38" s="18" t="s">
        <v>100</v>
      </c>
      <c r="K38" s="8" t="s">
        <v>79</v>
      </c>
    </row>
    <row r="39" spans="1:11" x14ac:dyDescent="0.3">
      <c r="A39" s="18" t="s">
        <v>402</v>
      </c>
      <c r="B39" s="8" t="s">
        <v>403</v>
      </c>
      <c r="C39" s="18" t="s">
        <v>192</v>
      </c>
      <c r="D39" s="29">
        <v>0.7</v>
      </c>
      <c r="E39" s="29">
        <v>1</v>
      </c>
      <c r="F39" s="29">
        <v>1.5</v>
      </c>
      <c r="G39" s="8" t="s">
        <v>404</v>
      </c>
      <c r="H39" s="18" t="s">
        <v>405</v>
      </c>
      <c r="I39" s="8" t="s">
        <v>77</v>
      </c>
      <c r="J39" s="18" t="s">
        <v>100</v>
      </c>
      <c r="K39" s="8" t="s">
        <v>79</v>
      </c>
    </row>
    <row r="40" spans="1:11" x14ac:dyDescent="0.3">
      <c r="A40" s="18" t="s">
        <v>406</v>
      </c>
      <c r="B40" s="8" t="s">
        <v>407</v>
      </c>
      <c r="C40" s="18" t="s">
        <v>148</v>
      </c>
      <c r="D40" s="23">
        <v>0.3</v>
      </c>
      <c r="E40" s="23">
        <v>0.5</v>
      </c>
      <c r="F40" s="23">
        <v>0.7</v>
      </c>
      <c r="G40" s="8" t="s">
        <v>408</v>
      </c>
      <c r="H40" s="18" t="s">
        <v>409</v>
      </c>
      <c r="I40" s="8" t="s">
        <v>77</v>
      </c>
      <c r="J40" s="18" t="s">
        <v>100</v>
      </c>
      <c r="K40" s="8" t="s">
        <v>79</v>
      </c>
    </row>
    <row r="41" spans="1:11" x14ac:dyDescent="0.3">
      <c r="A41" s="18" t="s">
        <v>410</v>
      </c>
      <c r="B41" s="8" t="s">
        <v>411</v>
      </c>
      <c r="C41" s="18" t="s">
        <v>148</v>
      </c>
      <c r="D41" s="23">
        <v>0.25</v>
      </c>
      <c r="E41" s="23">
        <v>0.5</v>
      </c>
      <c r="F41" s="23">
        <v>0.75</v>
      </c>
      <c r="G41" s="8" t="s">
        <v>412</v>
      </c>
      <c r="H41" s="18" t="s">
        <v>413</v>
      </c>
      <c r="I41" s="8" t="s">
        <v>77</v>
      </c>
      <c r="J41" s="18" t="s">
        <v>100</v>
      </c>
      <c r="K41" s="8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4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6" customWidth="1"/>
    <col min="3" max="3" width="54" customWidth="1"/>
    <col min="4" max="4" width="9" customWidth="1"/>
    <col min="5" max="5" width="13" customWidth="1"/>
    <col min="6" max="6" width="9" customWidth="1"/>
    <col min="7" max="7" width="11" customWidth="1"/>
    <col min="8" max="8" width="12" customWidth="1"/>
    <col min="9" max="9" width="11" customWidth="1"/>
    <col min="10" max="10" width="30" customWidth="1"/>
    <col min="11" max="11" width="13" customWidth="1"/>
    <col min="12" max="13" width="12" customWidth="1"/>
    <col min="14" max="14" width="8" customWidth="1"/>
    <col min="15" max="15" width="12" customWidth="1"/>
    <col min="16" max="16" width="7" customWidth="1"/>
    <col min="17" max="17" width="8" customWidth="1"/>
    <col min="18" max="18" width="14" customWidth="1"/>
  </cols>
  <sheetData>
    <row r="1" spans="1:18" ht="17.399999999999999" x14ac:dyDescent="0.3">
      <c r="A1" s="5" t="s">
        <v>414</v>
      </c>
    </row>
    <row r="2" spans="1:18" x14ac:dyDescent="0.3">
      <c r="A2" s="18" t="s">
        <v>415</v>
      </c>
    </row>
    <row r="3" spans="1:18" x14ac:dyDescent="0.3">
      <c r="A3" s="19" t="s">
        <v>142</v>
      </c>
      <c r="B3" s="19" t="s">
        <v>416</v>
      </c>
      <c r="C3" s="19" t="s">
        <v>417</v>
      </c>
      <c r="D3" s="19" t="s">
        <v>418</v>
      </c>
      <c r="E3" s="19" t="s">
        <v>419</v>
      </c>
      <c r="F3" s="19" t="s">
        <v>420</v>
      </c>
      <c r="G3" s="19" t="s">
        <v>421</v>
      </c>
      <c r="H3" s="19" t="s">
        <v>422</v>
      </c>
      <c r="I3" s="19" t="s">
        <v>423</v>
      </c>
      <c r="J3" s="19" t="s">
        <v>260</v>
      </c>
      <c r="K3" s="19" t="s">
        <v>424</v>
      </c>
      <c r="L3" s="19" t="s">
        <v>425</v>
      </c>
      <c r="M3" s="19" t="s">
        <v>426</v>
      </c>
      <c r="N3" s="19" t="s">
        <v>72</v>
      </c>
      <c r="O3" s="19" t="s">
        <v>427</v>
      </c>
      <c r="P3" s="19" t="s">
        <v>73</v>
      </c>
      <c r="Q3" s="19" t="s">
        <v>71</v>
      </c>
      <c r="R3" s="19" t="s">
        <v>428</v>
      </c>
    </row>
    <row r="4" spans="1:18" x14ac:dyDescent="0.3">
      <c r="A4" s="8" t="s">
        <v>182</v>
      </c>
      <c r="B4" s="8" t="s">
        <v>429</v>
      </c>
      <c r="C4" s="8" t="s">
        <v>430</v>
      </c>
      <c r="D4" s="8" t="s">
        <v>431</v>
      </c>
      <c r="E4" s="24">
        <v>1</v>
      </c>
      <c r="F4" s="24">
        <v>5</v>
      </c>
      <c r="G4" s="31">
        <v>0.1</v>
      </c>
      <c r="H4" s="31">
        <v>1.25</v>
      </c>
      <c r="I4" s="31">
        <v>0.5</v>
      </c>
      <c r="J4" s="8" t="s">
        <v>432</v>
      </c>
      <c r="K4" s="32">
        <v>46285</v>
      </c>
      <c r="L4" s="33"/>
      <c r="M4" s="20" t="s">
        <v>433</v>
      </c>
      <c r="N4" s="8" t="s">
        <v>434</v>
      </c>
      <c r="O4" s="32">
        <v>46285</v>
      </c>
      <c r="P4" s="8" t="s">
        <v>435</v>
      </c>
      <c r="Q4" s="8" t="s">
        <v>436</v>
      </c>
      <c r="R4" s="20"/>
    </row>
    <row r="5" spans="1:18" x14ac:dyDescent="0.3">
      <c r="A5" s="8" t="s">
        <v>179</v>
      </c>
      <c r="B5" s="8" t="s">
        <v>429</v>
      </c>
      <c r="C5" s="8" t="s">
        <v>437</v>
      </c>
      <c r="D5" s="8" t="s">
        <v>431</v>
      </c>
      <c r="E5" s="24">
        <v>2</v>
      </c>
      <c r="F5" s="24">
        <v>10</v>
      </c>
      <c r="G5" s="31">
        <v>0.1</v>
      </c>
      <c r="H5" s="31">
        <v>1.25</v>
      </c>
      <c r="I5" s="31">
        <v>0.5</v>
      </c>
      <c r="J5" s="8" t="s">
        <v>432</v>
      </c>
      <c r="K5" s="32">
        <v>46285</v>
      </c>
      <c r="L5" s="33"/>
      <c r="M5" s="20" t="s">
        <v>433</v>
      </c>
      <c r="N5" s="8" t="s">
        <v>434</v>
      </c>
      <c r="O5" s="32">
        <v>46285</v>
      </c>
      <c r="P5" s="8" t="s">
        <v>435</v>
      </c>
      <c r="Q5" s="8" t="s">
        <v>436</v>
      </c>
      <c r="R5" s="20"/>
    </row>
    <row r="6" spans="1:18" x14ac:dyDescent="0.3">
      <c r="A6" s="8" t="s">
        <v>180</v>
      </c>
      <c r="B6" s="8" t="s">
        <v>429</v>
      </c>
      <c r="C6" s="8" t="s">
        <v>438</v>
      </c>
      <c r="D6" s="8" t="s">
        <v>431</v>
      </c>
      <c r="E6" s="24">
        <v>5</v>
      </c>
      <c r="F6" s="24">
        <v>25</v>
      </c>
      <c r="G6" s="31">
        <v>0.1</v>
      </c>
      <c r="H6" s="31">
        <v>1.25</v>
      </c>
      <c r="I6" s="31">
        <v>0.5</v>
      </c>
      <c r="J6" s="8" t="s">
        <v>432</v>
      </c>
      <c r="K6" s="32">
        <v>46285</v>
      </c>
      <c r="L6" s="33"/>
      <c r="M6" s="20" t="s">
        <v>433</v>
      </c>
      <c r="N6" s="8" t="s">
        <v>434</v>
      </c>
      <c r="O6" s="32">
        <v>46285</v>
      </c>
      <c r="P6" s="8" t="s">
        <v>435</v>
      </c>
      <c r="Q6" s="8" t="s">
        <v>436</v>
      </c>
      <c r="R6" s="20"/>
    </row>
    <row r="7" spans="1:18" x14ac:dyDescent="0.3">
      <c r="A7" s="8" t="s">
        <v>439</v>
      </c>
      <c r="B7" s="8" t="s">
        <v>440</v>
      </c>
      <c r="C7" s="8" t="s">
        <v>441</v>
      </c>
      <c r="D7" s="8" t="s">
        <v>431</v>
      </c>
      <c r="E7" s="24">
        <v>0.75</v>
      </c>
      <c r="F7" s="24">
        <v>4.5</v>
      </c>
      <c r="G7" s="31">
        <v>0.1</v>
      </c>
      <c r="H7" s="31">
        <v>1</v>
      </c>
      <c r="I7" s="31">
        <v>0.5</v>
      </c>
      <c r="J7" s="8" t="s">
        <v>432</v>
      </c>
      <c r="K7" s="32">
        <v>46285</v>
      </c>
      <c r="L7" s="33"/>
      <c r="M7" s="20" t="s">
        <v>433</v>
      </c>
      <c r="N7" s="8" t="s">
        <v>442</v>
      </c>
      <c r="O7" s="32">
        <v>46285</v>
      </c>
      <c r="P7" s="8" t="s">
        <v>435</v>
      </c>
      <c r="Q7" s="8" t="s">
        <v>436</v>
      </c>
      <c r="R7" s="20"/>
    </row>
    <row r="8" spans="1:18" x14ac:dyDescent="0.3">
      <c r="A8" s="8" t="s">
        <v>443</v>
      </c>
      <c r="B8" s="8" t="s">
        <v>444</v>
      </c>
      <c r="C8" s="8" t="s">
        <v>445</v>
      </c>
      <c r="D8" s="8" t="s">
        <v>431</v>
      </c>
      <c r="E8" s="24">
        <v>0.75</v>
      </c>
      <c r="F8" s="24">
        <v>3.75</v>
      </c>
      <c r="G8" s="31">
        <v>0.1</v>
      </c>
      <c r="H8" s="31">
        <v>1</v>
      </c>
      <c r="I8" s="31">
        <v>0.5</v>
      </c>
      <c r="J8" s="8" t="s">
        <v>432</v>
      </c>
      <c r="K8" s="32">
        <v>46285</v>
      </c>
      <c r="L8" s="33">
        <v>46387</v>
      </c>
      <c r="M8" s="20" t="s">
        <v>446</v>
      </c>
      <c r="N8" s="8" t="s">
        <v>447</v>
      </c>
      <c r="O8" s="32">
        <v>46285</v>
      </c>
      <c r="P8" s="8" t="s">
        <v>435</v>
      </c>
      <c r="Q8" s="8" t="s">
        <v>436</v>
      </c>
      <c r="R8" s="20"/>
    </row>
    <row r="9" spans="1:18" x14ac:dyDescent="0.3">
      <c r="A9" s="8" t="s">
        <v>143</v>
      </c>
      <c r="B9" s="8" t="s">
        <v>429</v>
      </c>
      <c r="C9" s="8" t="s">
        <v>448</v>
      </c>
      <c r="D9" s="8" t="s">
        <v>138</v>
      </c>
      <c r="E9" s="24">
        <v>20</v>
      </c>
      <c r="F9" s="24"/>
      <c r="G9" s="31"/>
      <c r="H9" s="31"/>
      <c r="I9" s="31"/>
      <c r="J9" s="8" t="s">
        <v>449</v>
      </c>
      <c r="K9" s="32">
        <v>46285</v>
      </c>
      <c r="L9" s="33"/>
      <c r="M9" s="20" t="s">
        <v>433</v>
      </c>
      <c r="N9" s="8" t="s">
        <v>450</v>
      </c>
      <c r="O9" s="32">
        <v>46285</v>
      </c>
      <c r="P9" s="8" t="s">
        <v>435</v>
      </c>
      <c r="Q9" s="8" t="s">
        <v>436</v>
      </c>
      <c r="R9" s="20"/>
    </row>
    <row r="10" spans="1:18" x14ac:dyDescent="0.3">
      <c r="A10" s="8" t="s">
        <v>146</v>
      </c>
      <c r="B10" s="8" t="s">
        <v>429</v>
      </c>
      <c r="C10" s="8" t="s">
        <v>451</v>
      </c>
      <c r="D10" s="8" t="s">
        <v>138</v>
      </c>
      <c r="E10" s="24">
        <v>100</v>
      </c>
      <c r="F10" s="24"/>
      <c r="G10" s="31"/>
      <c r="H10" s="31"/>
      <c r="I10" s="31"/>
      <c r="J10" s="8" t="s">
        <v>449</v>
      </c>
      <c r="K10" s="32">
        <v>46285</v>
      </c>
      <c r="L10" s="33"/>
      <c r="M10" s="20" t="s">
        <v>433</v>
      </c>
      <c r="N10" s="8" t="s">
        <v>450</v>
      </c>
      <c r="O10" s="32">
        <v>46285</v>
      </c>
      <c r="P10" s="8" t="s">
        <v>435</v>
      </c>
      <c r="Q10" s="8" t="s">
        <v>436</v>
      </c>
      <c r="R10" s="20"/>
    </row>
    <row r="11" spans="1:18" x14ac:dyDescent="0.3">
      <c r="A11" s="8" t="s">
        <v>144</v>
      </c>
      <c r="B11" s="8" t="s">
        <v>429</v>
      </c>
      <c r="C11" s="8" t="s">
        <v>452</v>
      </c>
      <c r="D11" s="8" t="s">
        <v>138</v>
      </c>
      <c r="E11" s="24">
        <v>20</v>
      </c>
      <c r="F11" s="24"/>
      <c r="G11" s="31"/>
      <c r="H11" s="31"/>
      <c r="I11" s="31"/>
      <c r="J11" s="8" t="s">
        <v>449</v>
      </c>
      <c r="K11" s="32">
        <v>46285</v>
      </c>
      <c r="L11" s="33"/>
      <c r="M11" s="20" t="s">
        <v>433</v>
      </c>
      <c r="N11" s="8" t="s">
        <v>450</v>
      </c>
      <c r="O11" s="32">
        <v>46285</v>
      </c>
      <c r="P11" s="8" t="s">
        <v>435</v>
      </c>
      <c r="Q11" s="8" t="s">
        <v>436</v>
      </c>
      <c r="R11" s="20"/>
    </row>
    <row r="12" spans="1:18" x14ac:dyDescent="0.3">
      <c r="A12" s="8" t="s">
        <v>453</v>
      </c>
      <c r="B12" s="8" t="s">
        <v>454</v>
      </c>
      <c r="C12" s="8" t="s">
        <v>455</v>
      </c>
      <c r="D12" s="8" t="s">
        <v>138</v>
      </c>
      <c r="E12" s="24">
        <v>18</v>
      </c>
      <c r="F12" s="24"/>
      <c r="G12" s="31"/>
      <c r="H12" s="31"/>
      <c r="I12" s="31"/>
      <c r="J12" s="8" t="s">
        <v>449</v>
      </c>
      <c r="K12" s="32">
        <v>46285</v>
      </c>
      <c r="L12" s="33">
        <v>46387</v>
      </c>
      <c r="M12" s="20" t="s">
        <v>446</v>
      </c>
      <c r="N12" s="8" t="s">
        <v>456</v>
      </c>
      <c r="O12" s="32">
        <v>46285</v>
      </c>
      <c r="P12" s="8" t="s">
        <v>435</v>
      </c>
      <c r="Q12" s="8" t="s">
        <v>436</v>
      </c>
      <c r="R12" s="20"/>
    </row>
    <row r="13" spans="1:18" x14ac:dyDescent="0.3">
      <c r="A13" s="8" t="s">
        <v>457</v>
      </c>
      <c r="B13" s="8" t="s">
        <v>454</v>
      </c>
      <c r="C13" s="8" t="s">
        <v>458</v>
      </c>
      <c r="D13" s="8" t="s">
        <v>138</v>
      </c>
      <c r="E13" s="24">
        <v>30</v>
      </c>
      <c r="F13" s="24"/>
      <c r="G13" s="31"/>
      <c r="H13" s="31"/>
      <c r="I13" s="31"/>
      <c r="J13" s="8" t="s">
        <v>449</v>
      </c>
      <c r="K13" s="32">
        <v>46285</v>
      </c>
      <c r="L13" s="33"/>
      <c r="M13" s="20" t="s">
        <v>433</v>
      </c>
      <c r="N13" s="8" t="s">
        <v>459</v>
      </c>
      <c r="O13" s="32">
        <v>46285</v>
      </c>
      <c r="P13" s="8" t="s">
        <v>435</v>
      </c>
      <c r="Q13" s="8" t="s">
        <v>436</v>
      </c>
      <c r="R13" s="20"/>
    </row>
    <row r="14" spans="1:18" x14ac:dyDescent="0.3">
      <c r="A14" s="8" t="s">
        <v>155</v>
      </c>
      <c r="B14" s="8" t="s">
        <v>460</v>
      </c>
      <c r="C14" s="8" t="s">
        <v>461</v>
      </c>
      <c r="D14" s="8" t="s">
        <v>462</v>
      </c>
      <c r="E14" s="24">
        <v>0.99</v>
      </c>
      <c r="F14" s="24"/>
      <c r="G14" s="31"/>
      <c r="H14" s="31"/>
      <c r="I14" s="31"/>
      <c r="J14" s="8" t="s">
        <v>463</v>
      </c>
      <c r="K14" s="32">
        <v>46285</v>
      </c>
      <c r="L14" s="33"/>
      <c r="M14" s="20" t="s">
        <v>433</v>
      </c>
      <c r="N14" s="8" t="s">
        <v>464</v>
      </c>
      <c r="O14" s="32">
        <v>46285</v>
      </c>
      <c r="P14" s="8" t="s">
        <v>435</v>
      </c>
      <c r="Q14" s="8" t="s">
        <v>436</v>
      </c>
      <c r="R14" s="20"/>
    </row>
    <row r="15" spans="1:18" x14ac:dyDescent="0.3">
      <c r="A15" s="8" t="s">
        <v>213</v>
      </c>
      <c r="B15" s="8" t="s">
        <v>465</v>
      </c>
      <c r="C15" s="8" t="s">
        <v>466</v>
      </c>
      <c r="D15" s="8" t="s">
        <v>260</v>
      </c>
      <c r="E15" s="34">
        <v>1.5E-3</v>
      </c>
      <c r="F15" s="34"/>
      <c r="G15" s="31"/>
      <c r="H15" s="31"/>
      <c r="I15" s="31"/>
      <c r="J15" s="8" t="s">
        <v>467</v>
      </c>
      <c r="K15" s="32">
        <v>46285</v>
      </c>
      <c r="L15" s="33"/>
      <c r="M15" s="20" t="s">
        <v>433</v>
      </c>
      <c r="N15" s="8" t="s">
        <v>468</v>
      </c>
      <c r="O15" s="32">
        <v>46285</v>
      </c>
      <c r="P15" s="8" t="s">
        <v>435</v>
      </c>
      <c r="Q15" s="8" t="s">
        <v>436</v>
      </c>
      <c r="R15" s="20"/>
    </row>
    <row r="16" spans="1:18" x14ac:dyDescent="0.3">
      <c r="A16" s="8" t="s">
        <v>214</v>
      </c>
      <c r="B16" s="8" t="s">
        <v>465</v>
      </c>
      <c r="C16" s="8" t="s">
        <v>469</v>
      </c>
      <c r="D16" s="8" t="s">
        <v>260</v>
      </c>
      <c r="E16" s="34">
        <v>1.4999999999999999E-2</v>
      </c>
      <c r="F16" s="34"/>
      <c r="G16" s="31"/>
      <c r="H16" s="31"/>
      <c r="I16" s="31"/>
      <c r="J16" s="8" t="s">
        <v>467</v>
      </c>
      <c r="K16" s="32">
        <v>46285</v>
      </c>
      <c r="L16" s="33"/>
      <c r="M16" s="20" t="s">
        <v>433</v>
      </c>
      <c r="N16" s="8" t="s">
        <v>468</v>
      </c>
      <c r="O16" s="32">
        <v>46285</v>
      </c>
      <c r="P16" s="8" t="s">
        <v>435</v>
      </c>
      <c r="Q16" s="8" t="s">
        <v>436</v>
      </c>
      <c r="R16" s="20"/>
    </row>
    <row r="17" spans="1:18" x14ac:dyDescent="0.3">
      <c r="A17" s="8" t="s">
        <v>217</v>
      </c>
      <c r="B17" s="8" t="s">
        <v>440</v>
      </c>
      <c r="C17" s="8" t="s">
        <v>470</v>
      </c>
      <c r="D17" s="8" t="s">
        <v>260</v>
      </c>
      <c r="E17" s="34">
        <v>0.13</v>
      </c>
      <c r="F17" s="34"/>
      <c r="G17" s="31"/>
      <c r="H17" s="31"/>
      <c r="I17" s="31"/>
      <c r="J17" s="8" t="s">
        <v>432</v>
      </c>
      <c r="K17" s="32">
        <v>46285</v>
      </c>
      <c r="L17" s="33"/>
      <c r="M17" s="20" t="s">
        <v>433</v>
      </c>
      <c r="N17" s="8" t="s">
        <v>442</v>
      </c>
      <c r="O17" s="32">
        <v>46285</v>
      </c>
      <c r="P17" s="8" t="s">
        <v>435</v>
      </c>
      <c r="Q17" s="8" t="s">
        <v>436</v>
      </c>
      <c r="R17" s="20"/>
    </row>
    <row r="18" spans="1:18" x14ac:dyDescent="0.3">
      <c r="A18" s="8" t="s">
        <v>227</v>
      </c>
      <c r="B18" s="8" t="s">
        <v>471</v>
      </c>
      <c r="C18" s="8" t="s">
        <v>472</v>
      </c>
      <c r="D18" s="8" t="s">
        <v>260</v>
      </c>
      <c r="E18" s="24">
        <v>16</v>
      </c>
      <c r="F18" s="24"/>
      <c r="G18" s="31"/>
      <c r="H18" s="31"/>
      <c r="I18" s="31"/>
      <c r="J18" s="8" t="s">
        <v>473</v>
      </c>
      <c r="K18" s="32">
        <v>46285</v>
      </c>
      <c r="L18" s="33"/>
      <c r="M18" s="20" t="s">
        <v>433</v>
      </c>
      <c r="N18" s="8" t="s">
        <v>474</v>
      </c>
      <c r="O18" s="32">
        <v>46285</v>
      </c>
      <c r="P18" s="8" t="s">
        <v>435</v>
      </c>
      <c r="Q18" s="8" t="s">
        <v>436</v>
      </c>
      <c r="R18" s="20"/>
    </row>
    <row r="19" spans="1:18" x14ac:dyDescent="0.3">
      <c r="A19" s="8" t="s">
        <v>225</v>
      </c>
      <c r="B19" s="8" t="s">
        <v>471</v>
      </c>
      <c r="C19" s="8" t="s">
        <v>475</v>
      </c>
      <c r="D19" s="8" t="s">
        <v>260</v>
      </c>
      <c r="E19" s="34">
        <v>0.33</v>
      </c>
      <c r="F19" s="34"/>
      <c r="G19" s="31"/>
      <c r="H19" s="31"/>
      <c r="I19" s="31"/>
      <c r="J19" s="8" t="s">
        <v>476</v>
      </c>
      <c r="K19" s="32">
        <v>46285</v>
      </c>
      <c r="L19" s="33"/>
      <c r="M19" s="20" t="s">
        <v>433</v>
      </c>
      <c r="N19" s="8" t="s">
        <v>474</v>
      </c>
      <c r="O19" s="32">
        <v>46285</v>
      </c>
      <c r="P19" s="8" t="s">
        <v>435</v>
      </c>
      <c r="Q19" s="8" t="s">
        <v>436</v>
      </c>
      <c r="R19" s="20"/>
    </row>
    <row r="20" spans="1:18" x14ac:dyDescent="0.3">
      <c r="A20" s="8" t="s">
        <v>223</v>
      </c>
      <c r="B20" s="8" t="s">
        <v>471</v>
      </c>
      <c r="C20" s="8" t="s">
        <v>477</v>
      </c>
      <c r="D20" s="8" t="s">
        <v>478</v>
      </c>
      <c r="E20" s="24">
        <v>50</v>
      </c>
      <c r="F20" s="24"/>
      <c r="G20" s="31"/>
      <c r="H20" s="31"/>
      <c r="I20" s="31"/>
      <c r="J20" s="8" t="s">
        <v>157</v>
      </c>
      <c r="K20" s="32">
        <v>46285</v>
      </c>
      <c r="L20" s="33"/>
      <c r="M20" s="20" t="s">
        <v>433</v>
      </c>
      <c r="N20" s="8" t="s">
        <v>474</v>
      </c>
      <c r="O20" s="32">
        <v>46285</v>
      </c>
      <c r="P20" s="8" t="s">
        <v>435</v>
      </c>
      <c r="Q20" s="8" t="s">
        <v>436</v>
      </c>
      <c r="R20" s="20"/>
    </row>
    <row r="21" spans="1:18" x14ac:dyDescent="0.3">
      <c r="A21" s="8" t="s">
        <v>203</v>
      </c>
      <c r="B21" s="8" t="s">
        <v>465</v>
      </c>
      <c r="C21" s="8" t="s">
        <v>479</v>
      </c>
      <c r="D21" s="8" t="s">
        <v>260</v>
      </c>
      <c r="E21" s="34">
        <v>0.15</v>
      </c>
      <c r="F21" s="34"/>
      <c r="G21" s="31"/>
      <c r="H21" s="31"/>
      <c r="I21" s="31"/>
      <c r="J21" s="8" t="s">
        <v>480</v>
      </c>
      <c r="K21" s="32">
        <v>46285</v>
      </c>
      <c r="L21" s="33"/>
      <c r="M21" s="20" t="s">
        <v>433</v>
      </c>
      <c r="N21" s="8" t="s">
        <v>481</v>
      </c>
      <c r="O21" s="32">
        <v>46285</v>
      </c>
      <c r="P21" s="8" t="s">
        <v>435</v>
      </c>
      <c r="Q21" s="8" t="s">
        <v>436</v>
      </c>
      <c r="R21" s="20"/>
    </row>
    <row r="22" spans="1:18" x14ac:dyDescent="0.3">
      <c r="A22" s="8" t="s">
        <v>200</v>
      </c>
      <c r="B22" s="8" t="s">
        <v>482</v>
      </c>
      <c r="C22" s="8" t="s">
        <v>483</v>
      </c>
      <c r="D22" s="8" t="s">
        <v>260</v>
      </c>
      <c r="E22" s="24">
        <v>10</v>
      </c>
      <c r="F22" s="24"/>
      <c r="G22" s="31"/>
      <c r="H22" s="31"/>
      <c r="I22" s="31"/>
      <c r="J22" s="8" t="s">
        <v>484</v>
      </c>
      <c r="K22" s="32">
        <v>46285</v>
      </c>
      <c r="L22" s="33"/>
      <c r="M22" s="20" t="s">
        <v>433</v>
      </c>
      <c r="N22" s="8" t="s">
        <v>434</v>
      </c>
      <c r="O22" s="32">
        <v>46285</v>
      </c>
      <c r="P22" s="8" t="s">
        <v>435</v>
      </c>
      <c r="Q22" s="8" t="s">
        <v>436</v>
      </c>
      <c r="R22" s="20"/>
    </row>
    <row r="23" spans="1:18" x14ac:dyDescent="0.3">
      <c r="A23" s="8" t="s">
        <v>485</v>
      </c>
      <c r="B23" s="8" t="s">
        <v>486</v>
      </c>
      <c r="C23" s="8" t="s">
        <v>487</v>
      </c>
      <c r="D23" s="8" t="s">
        <v>478</v>
      </c>
      <c r="E23" s="24">
        <v>199</v>
      </c>
      <c r="F23" s="24"/>
      <c r="G23" s="31"/>
      <c r="H23" s="31"/>
      <c r="I23" s="31"/>
      <c r="J23" s="8" t="s">
        <v>157</v>
      </c>
      <c r="K23" s="32">
        <v>46285</v>
      </c>
      <c r="L23" s="33"/>
      <c r="M23" s="20" t="s">
        <v>433</v>
      </c>
      <c r="N23" s="8" t="s">
        <v>488</v>
      </c>
      <c r="O23" s="32">
        <v>46285</v>
      </c>
      <c r="P23" s="8" t="s">
        <v>435</v>
      </c>
      <c r="Q23" s="8" t="s">
        <v>436</v>
      </c>
      <c r="R23" s="20">
        <v>100000</v>
      </c>
    </row>
    <row r="24" spans="1:18" x14ac:dyDescent="0.3">
      <c r="A24" s="8" t="s">
        <v>489</v>
      </c>
      <c r="B24" s="8" t="s">
        <v>486</v>
      </c>
      <c r="C24" s="8" t="s">
        <v>490</v>
      </c>
      <c r="D24" s="8" t="s">
        <v>260</v>
      </c>
      <c r="E24" s="24">
        <v>8</v>
      </c>
      <c r="F24" s="24"/>
      <c r="G24" s="31"/>
      <c r="H24" s="31"/>
      <c r="I24" s="31"/>
      <c r="J24" s="8" t="s">
        <v>491</v>
      </c>
      <c r="K24" s="32">
        <v>46285</v>
      </c>
      <c r="L24" s="33"/>
      <c r="M24" s="20" t="s">
        <v>433</v>
      </c>
      <c r="N24" s="8" t="s">
        <v>488</v>
      </c>
      <c r="O24" s="32">
        <v>46285</v>
      </c>
      <c r="P24" s="8" t="s">
        <v>435</v>
      </c>
      <c r="Q24" s="8" t="s">
        <v>436</v>
      </c>
      <c r="R24" s="2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6" customWidth="1"/>
    <col min="3" max="3" width="7" customWidth="1"/>
    <col min="4" max="4" width="30" customWidth="1"/>
    <col min="5" max="5" width="20" customWidth="1"/>
    <col min="6" max="6" width="8" customWidth="1"/>
    <col min="7" max="7" width="30" customWidth="1"/>
    <col min="8" max="8" width="34" customWidth="1"/>
    <col min="9" max="9" width="58" customWidth="1"/>
  </cols>
  <sheetData>
    <row r="1" spans="1:9" ht="17.399999999999999" x14ac:dyDescent="0.3">
      <c r="A1" s="5" t="s">
        <v>492</v>
      </c>
    </row>
    <row r="2" spans="1:9" x14ac:dyDescent="0.3">
      <c r="A2" s="18" t="s">
        <v>493</v>
      </c>
    </row>
    <row r="3" spans="1:9" x14ac:dyDescent="0.3">
      <c r="A3" s="19" t="s">
        <v>142</v>
      </c>
      <c r="B3" s="19" t="s">
        <v>494</v>
      </c>
      <c r="C3" s="19" t="s">
        <v>495</v>
      </c>
      <c r="D3" s="19" t="s">
        <v>496</v>
      </c>
      <c r="E3" s="19" t="s">
        <v>497</v>
      </c>
      <c r="F3" s="19" t="s">
        <v>498</v>
      </c>
      <c r="G3" s="19" t="s">
        <v>499</v>
      </c>
      <c r="H3" s="19" t="s">
        <v>426</v>
      </c>
      <c r="I3" s="19" t="s">
        <v>500</v>
      </c>
    </row>
    <row r="4" spans="1:9" x14ac:dyDescent="0.3">
      <c r="A4" s="8" t="s">
        <v>268</v>
      </c>
      <c r="B4" s="8" t="s">
        <v>501</v>
      </c>
      <c r="C4" s="8" t="s">
        <v>502</v>
      </c>
      <c r="D4" s="8" t="s">
        <v>503</v>
      </c>
      <c r="E4" s="8" t="s">
        <v>504</v>
      </c>
      <c r="F4" s="8" t="s">
        <v>505</v>
      </c>
      <c r="G4" s="8" t="s">
        <v>506</v>
      </c>
      <c r="H4" s="8" t="s">
        <v>507</v>
      </c>
      <c r="I4" s="8" t="s">
        <v>508</v>
      </c>
    </row>
    <row r="5" spans="1:9" x14ac:dyDescent="0.3">
      <c r="A5" s="8" t="s">
        <v>272</v>
      </c>
      <c r="B5" s="8" t="s">
        <v>509</v>
      </c>
      <c r="C5" s="8" t="s">
        <v>502</v>
      </c>
      <c r="D5" s="8" t="s">
        <v>510</v>
      </c>
      <c r="E5" s="8" t="s">
        <v>169</v>
      </c>
      <c r="F5" s="8" t="s">
        <v>505</v>
      </c>
      <c r="G5" s="8" t="s">
        <v>511</v>
      </c>
      <c r="H5" s="8" t="s">
        <v>507</v>
      </c>
      <c r="I5" s="8" t="s">
        <v>508</v>
      </c>
    </row>
    <row r="6" spans="1:9" x14ac:dyDescent="0.3">
      <c r="A6" s="8" t="s">
        <v>276</v>
      </c>
      <c r="B6" s="8" t="s">
        <v>512</v>
      </c>
      <c r="C6" s="8" t="s">
        <v>502</v>
      </c>
      <c r="D6" s="8" t="s">
        <v>513</v>
      </c>
      <c r="E6" s="8" t="s">
        <v>504</v>
      </c>
      <c r="F6" s="8" t="s">
        <v>505</v>
      </c>
      <c r="G6" s="8" t="s">
        <v>506</v>
      </c>
      <c r="H6" s="8" t="s">
        <v>507</v>
      </c>
      <c r="I6" s="8" t="s">
        <v>514</v>
      </c>
    </row>
    <row r="7" spans="1:9" x14ac:dyDescent="0.3">
      <c r="A7" s="8" t="s">
        <v>284</v>
      </c>
      <c r="B7" s="8" t="s">
        <v>515</v>
      </c>
      <c r="C7" s="8" t="s">
        <v>502</v>
      </c>
      <c r="D7" s="8" t="s">
        <v>516</v>
      </c>
      <c r="E7" s="8" t="s">
        <v>517</v>
      </c>
      <c r="F7" s="8" t="s">
        <v>505</v>
      </c>
      <c r="G7" s="8" t="s">
        <v>518</v>
      </c>
      <c r="H7" s="8" t="s">
        <v>507</v>
      </c>
      <c r="I7" s="8" t="s">
        <v>519</v>
      </c>
    </row>
    <row r="8" spans="1:9" x14ac:dyDescent="0.3">
      <c r="A8" s="8" t="s">
        <v>520</v>
      </c>
      <c r="B8" s="8" t="s">
        <v>521</v>
      </c>
      <c r="C8" s="8" t="s">
        <v>502</v>
      </c>
      <c r="D8" s="8" t="s">
        <v>522</v>
      </c>
      <c r="E8" s="8" t="s">
        <v>169</v>
      </c>
      <c r="F8" s="8" t="s">
        <v>523</v>
      </c>
      <c r="G8" s="8" t="s">
        <v>524</v>
      </c>
      <c r="H8" s="8" t="s">
        <v>507</v>
      </c>
      <c r="I8" s="8" t="s">
        <v>525</v>
      </c>
    </row>
    <row r="9" spans="1:9" x14ac:dyDescent="0.3">
      <c r="A9" s="8" t="s">
        <v>526</v>
      </c>
      <c r="B9" s="8" t="s">
        <v>527</v>
      </c>
      <c r="C9" s="8" t="s">
        <v>502</v>
      </c>
      <c r="D9" s="8" t="s">
        <v>522</v>
      </c>
      <c r="E9" s="8" t="s">
        <v>169</v>
      </c>
      <c r="F9" s="8" t="s">
        <v>523</v>
      </c>
      <c r="G9" s="8" t="s">
        <v>528</v>
      </c>
      <c r="H9" s="8" t="s">
        <v>507</v>
      </c>
      <c r="I9" s="8" t="s">
        <v>525</v>
      </c>
    </row>
    <row r="10" spans="1:9" x14ac:dyDescent="0.3">
      <c r="A10" s="8" t="s">
        <v>529</v>
      </c>
      <c r="B10" s="8" t="s">
        <v>530</v>
      </c>
      <c r="C10" s="8" t="s">
        <v>502</v>
      </c>
      <c r="D10" s="8" t="s">
        <v>531</v>
      </c>
      <c r="E10" s="8" t="s">
        <v>504</v>
      </c>
      <c r="F10" s="8" t="s">
        <v>523</v>
      </c>
      <c r="G10" s="8" t="s">
        <v>532</v>
      </c>
      <c r="H10" s="8" t="s">
        <v>507</v>
      </c>
      <c r="I10" s="8" t="s">
        <v>533</v>
      </c>
    </row>
    <row r="11" spans="1:9" x14ac:dyDescent="0.3">
      <c r="A11" s="8" t="s">
        <v>291</v>
      </c>
      <c r="B11" s="8" t="s">
        <v>534</v>
      </c>
      <c r="C11" s="8" t="s">
        <v>502</v>
      </c>
      <c r="D11" s="8" t="s">
        <v>535</v>
      </c>
      <c r="E11" s="8" t="s">
        <v>169</v>
      </c>
      <c r="F11" s="8" t="s">
        <v>505</v>
      </c>
      <c r="G11" s="8" t="s">
        <v>536</v>
      </c>
      <c r="H11" s="8" t="s">
        <v>507</v>
      </c>
      <c r="I11" s="8" t="s">
        <v>537</v>
      </c>
    </row>
    <row r="12" spans="1:9" x14ac:dyDescent="0.3">
      <c r="A12" s="8" t="s">
        <v>295</v>
      </c>
      <c r="B12" s="8" t="s">
        <v>538</v>
      </c>
      <c r="C12" s="8" t="s">
        <v>539</v>
      </c>
      <c r="D12" s="8" t="s">
        <v>540</v>
      </c>
      <c r="E12" s="8" t="s">
        <v>517</v>
      </c>
      <c r="F12" s="8" t="s">
        <v>505</v>
      </c>
      <c r="G12" s="8" t="s">
        <v>541</v>
      </c>
      <c r="H12" s="8" t="s">
        <v>507</v>
      </c>
      <c r="I12" s="8" t="s">
        <v>542</v>
      </c>
    </row>
    <row r="13" spans="1:9" x14ac:dyDescent="0.3">
      <c r="A13" s="8" t="s">
        <v>303</v>
      </c>
      <c r="B13" s="8" t="s">
        <v>543</v>
      </c>
      <c r="C13" s="8" t="s">
        <v>539</v>
      </c>
      <c r="D13" s="8" t="s">
        <v>503</v>
      </c>
      <c r="E13" s="8" t="s">
        <v>169</v>
      </c>
      <c r="F13" s="8" t="s">
        <v>505</v>
      </c>
      <c r="G13" s="8" t="s">
        <v>544</v>
      </c>
      <c r="H13" s="8" t="s">
        <v>507</v>
      </c>
      <c r="I13" s="8" t="s">
        <v>545</v>
      </c>
    </row>
    <row r="14" spans="1:9" x14ac:dyDescent="0.3">
      <c r="A14" s="8" t="s">
        <v>307</v>
      </c>
      <c r="B14" s="8" t="s">
        <v>546</v>
      </c>
      <c r="C14" s="8" t="s">
        <v>539</v>
      </c>
      <c r="D14" s="8" t="s">
        <v>547</v>
      </c>
      <c r="E14" s="8" t="s">
        <v>517</v>
      </c>
      <c r="F14" s="8" t="s">
        <v>505</v>
      </c>
      <c r="G14" s="8" t="s">
        <v>544</v>
      </c>
      <c r="H14" s="8" t="s">
        <v>507</v>
      </c>
      <c r="I14" s="8" t="s">
        <v>548</v>
      </c>
    </row>
    <row r="15" spans="1:9" x14ac:dyDescent="0.3">
      <c r="A15" s="8" t="s">
        <v>314</v>
      </c>
      <c r="B15" s="8" t="s">
        <v>549</v>
      </c>
      <c r="C15" s="8" t="s">
        <v>539</v>
      </c>
      <c r="D15" s="8" t="s">
        <v>550</v>
      </c>
      <c r="E15" s="8" t="s">
        <v>504</v>
      </c>
      <c r="F15" s="8" t="s">
        <v>505</v>
      </c>
      <c r="G15" s="8" t="s">
        <v>544</v>
      </c>
      <c r="H15" s="8" t="s">
        <v>507</v>
      </c>
      <c r="I15" s="8" t="s">
        <v>551</v>
      </c>
    </row>
    <row r="16" spans="1:9" x14ac:dyDescent="0.3">
      <c r="A16" s="8" t="s">
        <v>321</v>
      </c>
      <c r="B16" s="8" t="s">
        <v>552</v>
      </c>
      <c r="C16" s="8" t="s">
        <v>539</v>
      </c>
      <c r="D16" s="8" t="s">
        <v>553</v>
      </c>
      <c r="E16" s="8" t="s">
        <v>517</v>
      </c>
      <c r="F16" s="8" t="s">
        <v>505</v>
      </c>
      <c r="G16" s="8" t="s">
        <v>544</v>
      </c>
      <c r="H16" s="8" t="s">
        <v>507</v>
      </c>
      <c r="I16" s="8" t="s">
        <v>554</v>
      </c>
    </row>
    <row r="17" spans="1:9" x14ac:dyDescent="0.3">
      <c r="A17" s="8" t="s">
        <v>328</v>
      </c>
      <c r="B17" s="8" t="s">
        <v>555</v>
      </c>
      <c r="C17" s="8" t="s">
        <v>539</v>
      </c>
      <c r="D17" s="8" t="s">
        <v>556</v>
      </c>
      <c r="E17" s="8" t="s">
        <v>517</v>
      </c>
      <c r="F17" s="8" t="s">
        <v>505</v>
      </c>
      <c r="G17" s="8" t="s">
        <v>536</v>
      </c>
      <c r="H17" s="8" t="str">
        <f>IF(Params!$E$20=0,"OFF","ON")</f>
        <v>OFF</v>
      </c>
      <c r="I17" s="8" t="s">
        <v>557</v>
      </c>
    </row>
    <row r="18" spans="1:9" x14ac:dyDescent="0.3">
      <c r="A18" s="8" t="s">
        <v>558</v>
      </c>
      <c r="B18" s="8" t="s">
        <v>559</v>
      </c>
      <c r="C18" s="8" t="s">
        <v>539</v>
      </c>
      <c r="D18" s="8" t="s">
        <v>556</v>
      </c>
      <c r="E18" s="8" t="s">
        <v>560</v>
      </c>
      <c r="F18" s="8" t="s">
        <v>505</v>
      </c>
      <c r="G18" s="8" t="s">
        <v>561</v>
      </c>
      <c r="H18" s="8" t="str">
        <f>IF(SUM(Teams!$C$16:$G$16)=0,"OFF","ON")</f>
        <v>OFF</v>
      </c>
      <c r="I18" s="8" t="s">
        <v>562</v>
      </c>
    </row>
    <row r="19" spans="1:9" x14ac:dyDescent="0.3">
      <c r="A19" s="8" t="s">
        <v>404</v>
      </c>
      <c r="B19" s="8" t="s">
        <v>563</v>
      </c>
      <c r="C19" s="8" t="s">
        <v>564</v>
      </c>
      <c r="D19" s="8" t="s">
        <v>522</v>
      </c>
      <c r="E19" s="8" t="s">
        <v>169</v>
      </c>
      <c r="F19" s="8" t="s">
        <v>523</v>
      </c>
      <c r="G19" s="8" t="s">
        <v>565</v>
      </c>
      <c r="H19" s="8" t="s">
        <v>507</v>
      </c>
      <c r="I19" s="8" t="s">
        <v>566</v>
      </c>
    </row>
    <row r="20" spans="1:9" x14ac:dyDescent="0.3">
      <c r="A20" s="8" t="s">
        <v>332</v>
      </c>
      <c r="B20" s="8" t="s">
        <v>567</v>
      </c>
      <c r="C20" s="8" t="s">
        <v>564</v>
      </c>
      <c r="D20" s="8" t="s">
        <v>522</v>
      </c>
      <c r="E20" s="8" t="s">
        <v>169</v>
      </c>
      <c r="F20" s="8" t="s">
        <v>505</v>
      </c>
      <c r="G20" s="8" t="s">
        <v>568</v>
      </c>
      <c r="H20" s="8" t="s">
        <v>507</v>
      </c>
      <c r="I20" s="8" t="s">
        <v>569</v>
      </c>
    </row>
    <row r="21" spans="1:9" x14ac:dyDescent="0.3">
      <c r="A21" s="8" t="s">
        <v>570</v>
      </c>
      <c r="B21" s="8" t="s">
        <v>571</v>
      </c>
      <c r="C21" s="8" t="s">
        <v>564</v>
      </c>
      <c r="D21" s="8" t="s">
        <v>522</v>
      </c>
      <c r="E21" s="8" t="s">
        <v>169</v>
      </c>
      <c r="F21" s="8" t="s">
        <v>523</v>
      </c>
      <c r="G21" s="8" t="s">
        <v>572</v>
      </c>
      <c r="H21" s="8" t="s">
        <v>507</v>
      </c>
      <c r="I21" s="8" t="s">
        <v>573</v>
      </c>
    </row>
    <row r="22" spans="1:9" x14ac:dyDescent="0.3">
      <c r="A22" s="8" t="s">
        <v>574</v>
      </c>
      <c r="B22" s="8" t="s">
        <v>575</v>
      </c>
      <c r="C22" s="8" t="s">
        <v>564</v>
      </c>
      <c r="D22" s="8" t="s">
        <v>522</v>
      </c>
      <c r="E22" s="8" t="s">
        <v>504</v>
      </c>
      <c r="F22" s="8" t="s">
        <v>523</v>
      </c>
      <c r="G22" s="8" t="s">
        <v>576</v>
      </c>
      <c r="H22" s="8" t="s">
        <v>507</v>
      </c>
      <c r="I22" s="8" t="s">
        <v>573</v>
      </c>
    </row>
    <row r="23" spans="1:9" x14ac:dyDescent="0.3">
      <c r="A23" s="8" t="s">
        <v>577</v>
      </c>
      <c r="B23" s="8" t="s">
        <v>578</v>
      </c>
      <c r="C23" s="8" t="s">
        <v>564</v>
      </c>
      <c r="D23" s="8" t="s">
        <v>522</v>
      </c>
      <c r="E23" s="8" t="s">
        <v>169</v>
      </c>
      <c r="F23" s="8" t="s">
        <v>523</v>
      </c>
      <c r="G23" s="8" t="s">
        <v>579</v>
      </c>
      <c r="H23" s="8" t="s">
        <v>580</v>
      </c>
      <c r="I23" s="8" t="s">
        <v>581</v>
      </c>
    </row>
    <row r="24" spans="1:9" x14ac:dyDescent="0.3">
      <c r="A24" s="8" t="s">
        <v>582</v>
      </c>
      <c r="B24" s="8" t="s">
        <v>583</v>
      </c>
      <c r="C24" s="8" t="s">
        <v>564</v>
      </c>
      <c r="D24" s="8" t="s">
        <v>556</v>
      </c>
      <c r="E24" s="8" t="s">
        <v>169</v>
      </c>
      <c r="F24" s="8" t="s">
        <v>523</v>
      </c>
      <c r="G24" s="8" t="s">
        <v>584</v>
      </c>
      <c r="H24" s="8" t="s">
        <v>507</v>
      </c>
      <c r="I24" s="8" t="s">
        <v>585</v>
      </c>
    </row>
    <row r="25" spans="1:9" x14ac:dyDescent="0.3">
      <c r="A25" s="8" t="s">
        <v>586</v>
      </c>
      <c r="B25" s="8" t="s">
        <v>587</v>
      </c>
      <c r="C25" s="8" t="s">
        <v>564</v>
      </c>
      <c r="D25" s="8" t="s">
        <v>522</v>
      </c>
      <c r="E25" s="8" t="s">
        <v>169</v>
      </c>
      <c r="F25" s="8" t="s">
        <v>523</v>
      </c>
      <c r="G25" s="8" t="s">
        <v>588</v>
      </c>
      <c r="H25" s="8" t="s">
        <v>507</v>
      </c>
      <c r="I25" s="8" t="s">
        <v>589</v>
      </c>
    </row>
    <row r="26" spans="1:9" x14ac:dyDescent="0.3">
      <c r="A26" s="8" t="s">
        <v>590</v>
      </c>
      <c r="B26" s="8" t="s">
        <v>591</v>
      </c>
      <c r="C26" s="8" t="s">
        <v>564</v>
      </c>
      <c r="D26" s="8" t="s">
        <v>592</v>
      </c>
      <c r="E26" s="8" t="s">
        <v>169</v>
      </c>
      <c r="F26" s="8" t="s">
        <v>523</v>
      </c>
      <c r="G26" s="8" t="s">
        <v>593</v>
      </c>
      <c r="H26" s="8" t="s">
        <v>507</v>
      </c>
      <c r="I26" s="8" t="s">
        <v>594</v>
      </c>
    </row>
    <row r="27" spans="1:9" x14ac:dyDescent="0.3">
      <c r="A27" s="8" t="s">
        <v>595</v>
      </c>
      <c r="B27" s="8" t="s">
        <v>596</v>
      </c>
      <c r="C27" s="8" t="s">
        <v>597</v>
      </c>
      <c r="D27" s="8" t="s">
        <v>531</v>
      </c>
      <c r="E27" s="8" t="s">
        <v>517</v>
      </c>
      <c r="F27" s="8" t="s">
        <v>523</v>
      </c>
      <c r="G27" s="8" t="s">
        <v>598</v>
      </c>
      <c r="H27" s="8" t="s">
        <v>507</v>
      </c>
      <c r="I27" s="8" t="s">
        <v>599</v>
      </c>
    </row>
    <row r="28" spans="1:9" x14ac:dyDescent="0.3">
      <c r="A28" s="8" t="s">
        <v>340</v>
      </c>
      <c r="B28" s="8" t="s">
        <v>600</v>
      </c>
      <c r="C28" s="8" t="s">
        <v>597</v>
      </c>
      <c r="D28" s="8" t="s">
        <v>535</v>
      </c>
      <c r="E28" s="8" t="s">
        <v>504</v>
      </c>
      <c r="F28" s="8" t="s">
        <v>505</v>
      </c>
      <c r="G28" s="8" t="s">
        <v>536</v>
      </c>
      <c r="H28" s="8" t="s">
        <v>507</v>
      </c>
      <c r="I28" s="8" t="s">
        <v>601</v>
      </c>
    </row>
    <row r="29" spans="1:9" x14ac:dyDescent="0.3">
      <c r="A29" s="8" t="s">
        <v>347</v>
      </c>
      <c r="B29" s="8" t="s">
        <v>602</v>
      </c>
      <c r="C29" s="8" t="s">
        <v>597</v>
      </c>
      <c r="D29" s="8" t="s">
        <v>603</v>
      </c>
      <c r="E29" s="8" t="s">
        <v>169</v>
      </c>
      <c r="F29" s="8" t="s">
        <v>604</v>
      </c>
      <c r="G29" s="8" t="s">
        <v>605</v>
      </c>
      <c r="H29" s="8" t="s">
        <v>507</v>
      </c>
      <c r="I29" s="8" t="s">
        <v>606</v>
      </c>
    </row>
    <row r="30" spans="1:9" x14ac:dyDescent="0.3">
      <c r="A30" s="8" t="s">
        <v>356</v>
      </c>
      <c r="B30" s="8" t="s">
        <v>607</v>
      </c>
      <c r="C30" s="8" t="s">
        <v>597</v>
      </c>
      <c r="D30" s="8" t="s">
        <v>535</v>
      </c>
      <c r="E30" s="8" t="s">
        <v>169</v>
      </c>
      <c r="F30" s="8" t="s">
        <v>505</v>
      </c>
      <c r="G30" s="8" t="s">
        <v>536</v>
      </c>
      <c r="H30" s="8" t="s">
        <v>507</v>
      </c>
      <c r="I30" s="8" t="s">
        <v>601</v>
      </c>
    </row>
    <row r="31" spans="1:9" x14ac:dyDescent="0.3">
      <c r="A31" s="8" t="s">
        <v>360</v>
      </c>
      <c r="B31" s="8" t="s">
        <v>608</v>
      </c>
      <c r="C31" s="8" t="s">
        <v>597</v>
      </c>
      <c r="D31" s="8" t="s">
        <v>535</v>
      </c>
      <c r="E31" s="8" t="s">
        <v>504</v>
      </c>
      <c r="F31" s="8" t="s">
        <v>505</v>
      </c>
      <c r="G31" s="8" t="s">
        <v>536</v>
      </c>
      <c r="H31" s="8" t="s">
        <v>507</v>
      </c>
      <c r="I31" s="8" t="s">
        <v>601</v>
      </c>
    </row>
    <row r="32" spans="1:9" x14ac:dyDescent="0.3">
      <c r="A32" s="8" t="s">
        <v>368</v>
      </c>
      <c r="B32" s="8" t="s">
        <v>609</v>
      </c>
      <c r="C32" s="8" t="s">
        <v>597</v>
      </c>
      <c r="D32" s="8" t="s">
        <v>556</v>
      </c>
      <c r="E32" s="8" t="s">
        <v>517</v>
      </c>
      <c r="F32" s="8" t="s">
        <v>505</v>
      </c>
      <c r="G32" s="8" t="s">
        <v>610</v>
      </c>
      <c r="H32" s="8" t="s">
        <v>507</v>
      </c>
      <c r="I32" s="8" t="s">
        <v>611</v>
      </c>
    </row>
    <row r="33" spans="1:9" x14ac:dyDescent="0.3">
      <c r="A33" s="8" t="s">
        <v>372</v>
      </c>
      <c r="B33" s="8" t="s">
        <v>612</v>
      </c>
      <c r="C33" s="8" t="s">
        <v>597</v>
      </c>
      <c r="D33" s="8" t="s">
        <v>556</v>
      </c>
      <c r="E33" s="8" t="s">
        <v>517</v>
      </c>
      <c r="F33" s="8" t="s">
        <v>604</v>
      </c>
      <c r="G33" s="8" t="s">
        <v>613</v>
      </c>
      <c r="H33" s="8" t="s">
        <v>507</v>
      </c>
      <c r="I33" s="8" t="s">
        <v>614</v>
      </c>
    </row>
    <row r="34" spans="1:9" x14ac:dyDescent="0.3">
      <c r="A34" s="8" t="s">
        <v>377</v>
      </c>
      <c r="B34" s="8" t="s">
        <v>375</v>
      </c>
      <c r="C34" s="8" t="s">
        <v>597</v>
      </c>
      <c r="D34" s="8" t="s">
        <v>535</v>
      </c>
      <c r="E34" s="8" t="s">
        <v>517</v>
      </c>
      <c r="F34" s="8" t="s">
        <v>505</v>
      </c>
      <c r="G34" s="8" t="s">
        <v>615</v>
      </c>
      <c r="H34" s="8" t="str">
        <f>IF(Params!$E$32=0,"OFF","ON")</f>
        <v>OFF</v>
      </c>
      <c r="I34" s="8" t="s">
        <v>616</v>
      </c>
    </row>
    <row r="35" spans="1:9" x14ac:dyDescent="0.3">
      <c r="A35" s="8" t="s">
        <v>380</v>
      </c>
      <c r="B35" s="8" t="s">
        <v>379</v>
      </c>
      <c r="C35" s="8" t="s">
        <v>597</v>
      </c>
      <c r="D35" s="8" t="s">
        <v>556</v>
      </c>
      <c r="E35" s="8" t="s">
        <v>517</v>
      </c>
      <c r="F35" s="8" t="s">
        <v>505</v>
      </c>
      <c r="G35" s="8" t="s">
        <v>536</v>
      </c>
      <c r="H35" s="8" t="str">
        <f>IF(Params!$E$33=0,"OFF","ON")</f>
        <v>OFF</v>
      </c>
      <c r="I35" s="8" t="s">
        <v>617</v>
      </c>
    </row>
    <row r="36" spans="1:9" x14ac:dyDescent="0.3">
      <c r="A36" s="8" t="s">
        <v>384</v>
      </c>
      <c r="B36" s="8" t="s">
        <v>618</v>
      </c>
      <c r="C36" s="8" t="s">
        <v>619</v>
      </c>
      <c r="D36" s="8" t="s">
        <v>620</v>
      </c>
      <c r="E36" s="8" t="s">
        <v>169</v>
      </c>
      <c r="F36" s="8" t="s">
        <v>505</v>
      </c>
      <c r="G36" s="8" t="s">
        <v>536</v>
      </c>
      <c r="H36" s="8" t="s">
        <v>507</v>
      </c>
      <c r="I36" s="8" t="s">
        <v>621</v>
      </c>
    </row>
    <row r="37" spans="1:9" x14ac:dyDescent="0.3">
      <c r="A37" s="8" t="s">
        <v>389</v>
      </c>
      <c r="B37" s="8" t="s">
        <v>622</v>
      </c>
      <c r="C37" s="8" t="s">
        <v>619</v>
      </c>
      <c r="D37" s="8" t="s">
        <v>522</v>
      </c>
      <c r="E37" s="8" t="s">
        <v>169</v>
      </c>
      <c r="F37" s="8" t="s">
        <v>604</v>
      </c>
      <c r="G37" s="8" t="s">
        <v>623</v>
      </c>
      <c r="H37" s="8" t="s">
        <v>507</v>
      </c>
      <c r="I37" s="8" t="s">
        <v>624</v>
      </c>
    </row>
    <row r="38" spans="1:9" x14ac:dyDescent="0.3">
      <c r="A38" s="8" t="s">
        <v>397</v>
      </c>
      <c r="B38" s="8" t="s">
        <v>625</v>
      </c>
      <c r="C38" s="8" t="s">
        <v>619</v>
      </c>
      <c r="D38" s="8" t="s">
        <v>535</v>
      </c>
      <c r="E38" s="8" t="s">
        <v>504</v>
      </c>
      <c r="F38" s="8" t="s">
        <v>505</v>
      </c>
      <c r="G38" s="8" t="s">
        <v>536</v>
      </c>
      <c r="H38" s="8" t="s">
        <v>507</v>
      </c>
      <c r="I38" s="8" t="s">
        <v>626</v>
      </c>
    </row>
    <row r="40" spans="1:9" x14ac:dyDescent="0.3">
      <c r="A40" s="7" t="s">
        <v>627</v>
      </c>
    </row>
    <row r="41" spans="1:9" x14ac:dyDescent="0.3">
      <c r="A41" s="8" t="s">
        <v>523</v>
      </c>
      <c r="B41" s="22">
        <f>COUNTIF($F$4:$F$38,A41)</f>
        <v>11</v>
      </c>
    </row>
    <row r="42" spans="1:9" x14ac:dyDescent="0.3">
      <c r="A42" s="8" t="s">
        <v>604</v>
      </c>
      <c r="B42" s="22">
        <f>COUNTIF($F$4:$F$38,A42)</f>
        <v>3</v>
      </c>
    </row>
    <row r="43" spans="1:9" x14ac:dyDescent="0.3">
      <c r="A43" s="8" t="s">
        <v>505</v>
      </c>
      <c r="B43" s="22">
        <f>COUNTIF($F$4:$F$38,A43)</f>
        <v>21</v>
      </c>
    </row>
    <row r="44" spans="1:9" x14ac:dyDescent="0.3">
      <c r="A44" s="18" t="s">
        <v>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workbookViewId="0"/>
  </sheetViews>
  <sheetFormatPr defaultRowHeight="14.4" x14ac:dyDescent="0.3"/>
  <cols>
    <col min="1" max="1" width="58" customWidth="1"/>
    <col min="2" max="6" width="24" customWidth="1"/>
  </cols>
  <sheetData>
    <row r="1" spans="1:6" ht="17.399999999999999" x14ac:dyDescent="0.3">
      <c r="A1" s="5" t="s">
        <v>629</v>
      </c>
    </row>
    <row r="2" spans="1:6" x14ac:dyDescent="0.3">
      <c r="A2" s="18" t="s">
        <v>630</v>
      </c>
    </row>
    <row r="3" spans="1:6" x14ac:dyDescent="0.3">
      <c r="A3" s="19" t="s">
        <v>631</v>
      </c>
      <c r="B3" s="19" t="str">
        <f>Teams!$C$4</f>
        <v>Corporate knowledge assistant (conservative calibration)</v>
      </c>
      <c r="C3" s="19" t="str">
        <f>Teams!$D$4</f>
        <v>Engineering assistant</v>
      </c>
      <c r="D3" s="19" t="str">
        <f>Teams!$E$4</f>
        <v>Customer service agent</v>
      </c>
      <c r="E3" s="19" t="str">
        <f>Teams!$F$4</f>
        <v>Regulated document review</v>
      </c>
      <c r="F3" s="19" t="str">
        <f>Teams!$G$4</f>
        <v>Sales assistant (published-range calibration)</v>
      </c>
    </row>
    <row r="4" spans="1:6" x14ac:dyDescent="0.3">
      <c r="A4" s="8" t="s">
        <v>632</v>
      </c>
      <c r="B4" s="22">
        <f>Teams!$C$29</f>
        <v>2000</v>
      </c>
      <c r="C4" s="22">
        <f>Teams!$D$29</f>
        <v>8000</v>
      </c>
      <c r="D4" s="22">
        <f>Teams!$E$29</f>
        <v>0</v>
      </c>
      <c r="E4" s="22">
        <f>Teams!$F$29</f>
        <v>30000</v>
      </c>
      <c r="F4" s="22">
        <f>Teams!$G$29</f>
        <v>2000</v>
      </c>
    </row>
    <row r="5" spans="1:6" x14ac:dyDescent="0.3">
      <c r="A5" s="8" t="s">
        <v>633</v>
      </c>
      <c r="B5" s="22">
        <f>Teams!$C$30</f>
        <v>500</v>
      </c>
      <c r="C5" s="22">
        <f>Teams!$D$30</f>
        <v>2000</v>
      </c>
      <c r="D5" s="22">
        <f>Teams!$E$30</f>
        <v>0</v>
      </c>
      <c r="E5" s="22">
        <f>Teams!$F$30</f>
        <v>1500</v>
      </c>
      <c r="F5" s="22">
        <f>Teams!$G$30</f>
        <v>500</v>
      </c>
    </row>
    <row r="6" spans="1:6" x14ac:dyDescent="0.3">
      <c r="A6" s="8" t="s">
        <v>634</v>
      </c>
      <c r="B6" s="26">
        <f>(1-Teams!$C$31)*Params!$E$39*Params!$E$21*IF(Teams!$C$36="Yes",Params!$E$22,1)</f>
        <v>1.1499999999999999</v>
      </c>
      <c r="C6" s="26">
        <f>(1-Teams!$D$31)*Params!$E$39*Params!$E$21*IF(Teams!$D$36="Yes",Params!$E$22,1)</f>
        <v>6.2099999999999991</v>
      </c>
      <c r="D6" s="26">
        <f>(1-Teams!$E$31)*Params!$E$39*Params!$E$21*IF(Teams!$E$36="Yes",Params!$E$22,1)</f>
        <v>1.1499999999999999</v>
      </c>
      <c r="E6" s="26">
        <f>(1-Teams!$F$31)*Params!$E$39*Params!$E$21*IF(Teams!$F$36="Yes",Params!$E$22,1)</f>
        <v>1.1499999999999999</v>
      </c>
      <c r="F6" s="26">
        <f>(1-Teams!$G$31)*Params!$E$39*Params!$E$21*IF(Teams!$G$36="Yes",Params!$E$22,1)</f>
        <v>1.1499999999999999</v>
      </c>
    </row>
    <row r="7" spans="1:6" x14ac:dyDescent="0.3">
      <c r="A7" s="8" t="s">
        <v>635</v>
      </c>
      <c r="B7" s="22">
        <f>B4*B6</f>
        <v>2300</v>
      </c>
      <c r="C7" s="22">
        <f>C4*C6</f>
        <v>49679.999999999993</v>
      </c>
      <c r="D7" s="22">
        <f>D4*D6</f>
        <v>0</v>
      </c>
      <c r="E7" s="22">
        <f>E4*E6</f>
        <v>34500</v>
      </c>
      <c r="F7" s="22">
        <f>F4*F6</f>
        <v>2300</v>
      </c>
    </row>
    <row r="8" spans="1:6" x14ac:dyDescent="0.3">
      <c r="A8" s="8" t="s">
        <v>636</v>
      </c>
      <c r="B8" s="22">
        <f>B5*B6</f>
        <v>575</v>
      </c>
      <c r="C8" s="22">
        <f>C5*C6</f>
        <v>12419.999999999998</v>
      </c>
      <c r="D8" s="22">
        <f>D5*D6</f>
        <v>0</v>
      </c>
      <c r="E8" s="22">
        <f>E5*E6</f>
        <v>1724.9999999999998</v>
      </c>
      <c r="F8" s="22">
        <f>F5*F6</f>
        <v>575</v>
      </c>
    </row>
    <row r="9" spans="1:6" x14ac:dyDescent="0.3">
      <c r="A9" s="8" t="s">
        <v>637</v>
      </c>
      <c r="B9" s="35">
        <f>Teams!$C$68</f>
        <v>2</v>
      </c>
      <c r="C9" s="35">
        <f>Teams!$D$68</f>
        <v>2</v>
      </c>
      <c r="D9" s="35">
        <f>Teams!$E$68</f>
        <v>2</v>
      </c>
      <c r="E9" s="35">
        <f>Teams!$F$68</f>
        <v>3.5</v>
      </c>
      <c r="F9" s="35">
        <f>Teams!$G$68</f>
        <v>2</v>
      </c>
    </row>
    <row r="10" spans="1:6" x14ac:dyDescent="0.3">
      <c r="A10" s="8" t="s">
        <v>638</v>
      </c>
      <c r="B10" s="35">
        <f>Teams!$C$69</f>
        <v>10</v>
      </c>
      <c r="C10" s="35">
        <f>Teams!$D$69</f>
        <v>10</v>
      </c>
      <c r="D10" s="35">
        <f>Teams!$E$69</f>
        <v>10</v>
      </c>
      <c r="E10" s="35">
        <f>Teams!$F$69</f>
        <v>17.5</v>
      </c>
      <c r="F10" s="35">
        <f>Teams!$G$69</f>
        <v>10</v>
      </c>
    </row>
    <row r="11" spans="1:6" x14ac:dyDescent="0.3">
      <c r="A11" s="8" t="s">
        <v>243</v>
      </c>
      <c r="B11" s="36">
        <f>Teams!$C$70</f>
        <v>0.74249999999999994</v>
      </c>
      <c r="C11" s="36">
        <f>Teams!$D$70</f>
        <v>0.47250000000000003</v>
      </c>
      <c r="D11" s="36">
        <f>Teams!$E$70</f>
        <v>1</v>
      </c>
      <c r="E11" s="36">
        <f>Teams!$F$70</f>
        <v>0.74249999999999994</v>
      </c>
      <c r="F11" s="36">
        <f>Teams!$G$70</f>
        <v>0.74249999999999994</v>
      </c>
    </row>
    <row r="12" spans="1:6" x14ac:dyDescent="0.3">
      <c r="A12" s="8" t="s">
        <v>244</v>
      </c>
      <c r="B12" s="36">
        <f>Teams!$C$71</f>
        <v>1</v>
      </c>
      <c r="C12" s="36">
        <f>Teams!$D$71</f>
        <v>1</v>
      </c>
      <c r="D12" s="36">
        <f>Teams!$E$71</f>
        <v>1</v>
      </c>
      <c r="E12" s="36">
        <f>Teams!$F$71</f>
        <v>0.8</v>
      </c>
      <c r="F12" s="36">
        <f>Teams!$G$71</f>
        <v>1</v>
      </c>
    </row>
    <row r="13" spans="1:6" x14ac:dyDescent="0.3">
      <c r="A13" s="8" t="s">
        <v>191</v>
      </c>
      <c r="B13" s="37">
        <f>Teams!$C$35</f>
        <v>1</v>
      </c>
      <c r="C13" s="37">
        <f>Teams!$D$35</f>
        <v>1</v>
      </c>
      <c r="D13" s="37">
        <f>Teams!$E$35</f>
        <v>1</v>
      </c>
      <c r="E13" s="37">
        <f>Teams!$F$35</f>
        <v>1.1000000000000001</v>
      </c>
      <c r="F13" s="37">
        <f>Teams!$G$35</f>
        <v>1</v>
      </c>
    </row>
    <row r="14" spans="1:6" x14ac:dyDescent="0.3">
      <c r="A14" s="38" t="s">
        <v>639</v>
      </c>
      <c r="B14" s="39">
        <f>(B7*B9*B11+B8*B10)/1000000*B12*B13</f>
        <v>9.1655E-3</v>
      </c>
      <c r="C14" s="39">
        <f>(C7*C9*C11+C8*C10)/1000000*C12*C13</f>
        <v>0.17114759999999998</v>
      </c>
      <c r="D14" s="39">
        <f>(D7*D9*D11+D8*D10)/1000000*D12*D13</f>
        <v>0</v>
      </c>
      <c r="E14" s="39">
        <f>(E7*E9*E11+E8*E10)/1000000*E12*E13</f>
        <v>0.10546305000000002</v>
      </c>
      <c r="F14" s="39">
        <f>(F7*F9*F11+F8*F10)/1000000*F12*F13</f>
        <v>9.1655E-3</v>
      </c>
    </row>
    <row r="15" spans="1:6" x14ac:dyDescent="0.3">
      <c r="A15" s="8" t="s">
        <v>640</v>
      </c>
      <c r="B15" s="40">
        <f>Calc_Base!$C$8</f>
        <v>9.1655E-3</v>
      </c>
      <c r="C15" s="40">
        <f>Calc_Base!$C$35</f>
        <v>0.17114760000000001</v>
      </c>
      <c r="D15" s="40">
        <f>Calc_Base!$C$62</f>
        <v>0</v>
      </c>
      <c r="E15" s="40">
        <f>Calc_Base!$C$89</f>
        <v>0.10546305000000002</v>
      </c>
      <c r="F15" s="40">
        <f>Calc_Base!$C$116</f>
        <v>9.1655E-3</v>
      </c>
    </row>
    <row r="16" spans="1:6" x14ac:dyDescent="0.3">
      <c r="A16" s="8" t="s">
        <v>641</v>
      </c>
      <c r="B16" s="41">
        <f>B14-B15</f>
        <v>0</v>
      </c>
      <c r="C16" s="41">
        <f>C14-C15</f>
        <v>0</v>
      </c>
      <c r="D16" s="41">
        <f>D14-D15</f>
        <v>0</v>
      </c>
      <c r="E16" s="41">
        <f>E14-E15</f>
        <v>0</v>
      </c>
      <c r="F16" s="41">
        <f>F14-F15</f>
        <v>0</v>
      </c>
    </row>
    <row r="19" spans="1:5" ht="26.4" x14ac:dyDescent="0.3">
      <c r="A19" s="7" t="s">
        <v>642</v>
      </c>
      <c r="B19" s="3" t="s">
        <v>643</v>
      </c>
      <c r="C19" s="3" t="s">
        <v>644</v>
      </c>
      <c r="D19" s="3" t="s">
        <v>645</v>
      </c>
      <c r="E19" s="3" t="s">
        <v>646</v>
      </c>
    </row>
    <row r="20" spans="1:5" x14ac:dyDescent="0.3">
      <c r="A20" s="8" t="s">
        <v>184</v>
      </c>
      <c r="B20" s="20">
        <v>10000</v>
      </c>
      <c r="C20" s="20">
        <v>20000</v>
      </c>
      <c r="D20" s="20">
        <v>50000</v>
      </c>
      <c r="E20" s="20">
        <v>50000</v>
      </c>
    </row>
    <row r="21" spans="1:5" x14ac:dyDescent="0.3">
      <c r="A21" s="8" t="s">
        <v>186</v>
      </c>
      <c r="B21" s="20">
        <v>1000</v>
      </c>
      <c r="C21" s="20">
        <v>2000</v>
      </c>
      <c r="D21" s="20">
        <v>15000</v>
      </c>
      <c r="E21" s="20">
        <v>15000</v>
      </c>
    </row>
    <row r="22" spans="1:5" x14ac:dyDescent="0.3">
      <c r="A22" s="8" t="s">
        <v>187</v>
      </c>
      <c r="B22" s="20">
        <v>0</v>
      </c>
      <c r="C22" s="20">
        <v>0.2</v>
      </c>
      <c r="D22" s="20">
        <v>0</v>
      </c>
      <c r="E22" s="20">
        <v>0</v>
      </c>
    </row>
    <row r="23" spans="1:5" x14ac:dyDescent="0.3">
      <c r="A23" s="8" t="s">
        <v>647</v>
      </c>
      <c r="B23" s="20">
        <v>1</v>
      </c>
      <c r="C23" s="20">
        <v>1</v>
      </c>
      <c r="D23" s="20">
        <v>1</v>
      </c>
      <c r="E23" s="20">
        <v>1</v>
      </c>
    </row>
    <row r="24" spans="1:5" x14ac:dyDescent="0.3">
      <c r="A24" s="8" t="s">
        <v>648</v>
      </c>
      <c r="B24" s="20">
        <v>1</v>
      </c>
      <c r="C24" s="20">
        <v>1.2</v>
      </c>
      <c r="D24" s="20">
        <v>1</v>
      </c>
      <c r="E24" s="20">
        <v>1</v>
      </c>
    </row>
    <row r="25" spans="1:5" x14ac:dyDescent="0.3">
      <c r="A25" s="8" t="s">
        <v>649</v>
      </c>
      <c r="B25" s="20">
        <v>1</v>
      </c>
      <c r="C25" s="20">
        <v>2</v>
      </c>
      <c r="D25" s="20">
        <v>1</v>
      </c>
      <c r="E25" s="20">
        <v>1</v>
      </c>
    </row>
    <row r="26" spans="1:5" x14ac:dyDescent="0.3">
      <c r="A26" s="8" t="s">
        <v>650</v>
      </c>
      <c r="B26" s="20">
        <v>2</v>
      </c>
      <c r="C26" s="20">
        <v>5</v>
      </c>
      <c r="D26" s="20">
        <v>5</v>
      </c>
      <c r="E26" s="20">
        <v>5</v>
      </c>
    </row>
    <row r="27" spans="1:5" x14ac:dyDescent="0.3">
      <c r="A27" s="8" t="s">
        <v>651</v>
      </c>
      <c r="B27" s="20">
        <v>10</v>
      </c>
      <c r="C27" s="20">
        <v>25</v>
      </c>
      <c r="D27" s="20">
        <v>25</v>
      </c>
      <c r="E27" s="20">
        <v>25</v>
      </c>
    </row>
    <row r="28" spans="1:5" x14ac:dyDescent="0.3">
      <c r="A28" s="8" t="s">
        <v>652</v>
      </c>
      <c r="B28" s="20">
        <v>1</v>
      </c>
      <c r="C28" s="20">
        <v>1</v>
      </c>
      <c r="D28" s="20">
        <v>1</v>
      </c>
      <c r="E28" s="20">
        <v>1</v>
      </c>
    </row>
    <row r="29" spans="1:5" x14ac:dyDescent="0.3">
      <c r="A29" s="8" t="s">
        <v>653</v>
      </c>
      <c r="B29" s="20">
        <v>5</v>
      </c>
      <c r="C29" s="20">
        <v>5</v>
      </c>
      <c r="D29" s="20">
        <v>5</v>
      </c>
      <c r="E29" s="20">
        <v>5</v>
      </c>
    </row>
    <row r="30" spans="1:5" x14ac:dyDescent="0.3">
      <c r="A30" s="8" t="s">
        <v>183</v>
      </c>
      <c r="B30" s="20">
        <v>0</v>
      </c>
      <c r="C30" s="20">
        <v>0.5</v>
      </c>
      <c r="D30" s="20">
        <v>0</v>
      </c>
      <c r="E30" s="20">
        <v>0</v>
      </c>
    </row>
    <row r="31" spans="1:5" x14ac:dyDescent="0.3">
      <c r="A31" s="8" t="s">
        <v>188</v>
      </c>
      <c r="B31" s="20">
        <v>0.5</v>
      </c>
      <c r="C31" s="20">
        <v>0.4</v>
      </c>
      <c r="D31" s="20">
        <v>0</v>
      </c>
      <c r="E31" s="20">
        <v>0.8</v>
      </c>
    </row>
    <row r="32" spans="1:5" x14ac:dyDescent="0.3">
      <c r="A32" s="8" t="s">
        <v>189</v>
      </c>
      <c r="B32" s="20">
        <v>0</v>
      </c>
      <c r="C32" s="20">
        <v>0.1</v>
      </c>
      <c r="D32" s="20">
        <v>0</v>
      </c>
      <c r="E32" s="20">
        <v>0</v>
      </c>
    </row>
    <row r="33" spans="1:5" x14ac:dyDescent="0.3">
      <c r="A33" s="8" t="s">
        <v>654</v>
      </c>
      <c r="B33" s="20">
        <v>0.1</v>
      </c>
      <c r="C33" s="20">
        <v>0.1</v>
      </c>
      <c r="D33" s="20">
        <v>0.1</v>
      </c>
      <c r="E33" s="20">
        <v>0.1</v>
      </c>
    </row>
    <row r="34" spans="1:5" x14ac:dyDescent="0.3">
      <c r="A34" s="8" t="s">
        <v>655</v>
      </c>
      <c r="B34" s="20">
        <v>1.25</v>
      </c>
      <c r="C34" s="20">
        <v>1.25</v>
      </c>
      <c r="D34" s="20">
        <v>1.25</v>
      </c>
      <c r="E34" s="20">
        <v>1.25</v>
      </c>
    </row>
    <row r="35" spans="1:5" x14ac:dyDescent="0.3">
      <c r="A35" s="8" t="s">
        <v>190</v>
      </c>
      <c r="B35" s="20">
        <v>0</v>
      </c>
      <c r="C35" s="20">
        <v>0.3</v>
      </c>
      <c r="D35" s="20">
        <v>0</v>
      </c>
      <c r="E35" s="20">
        <v>0</v>
      </c>
    </row>
    <row r="36" spans="1:5" x14ac:dyDescent="0.3">
      <c r="A36" s="8" t="s">
        <v>656</v>
      </c>
      <c r="B36" s="20">
        <v>0.5</v>
      </c>
      <c r="C36" s="20">
        <v>0.5</v>
      </c>
      <c r="D36" s="20">
        <v>0.5</v>
      </c>
      <c r="E36" s="20">
        <v>0.5</v>
      </c>
    </row>
    <row r="37" spans="1:5" x14ac:dyDescent="0.3">
      <c r="A37" s="8" t="s">
        <v>191</v>
      </c>
      <c r="B37" s="20">
        <v>1</v>
      </c>
      <c r="C37" s="20">
        <v>1.1000000000000001</v>
      </c>
      <c r="D37" s="20">
        <v>1</v>
      </c>
      <c r="E37" s="20">
        <v>1</v>
      </c>
    </row>
    <row r="38" spans="1:5" x14ac:dyDescent="0.3">
      <c r="A38" s="38" t="s">
        <v>657</v>
      </c>
      <c r="B38" s="42">
        <f>(B20*((1-B22)*B23*B24*B25)*((1-B30)*B26+B30*B28)*((1-B31-B32)+B31*B33+B32*B34)+B21*((1-B22)*B23*B24*B25)*((1-B30)*B27+B30*B29))/1000000*(1-B35*(1-B36))*B37</f>
        <v>2.1000000000000001E-2</v>
      </c>
      <c r="C38" s="42">
        <f>(C20*((1-C22)*C23*C24*C25)*((1-C30)*C26+C30*C28)*((1-C31-C32)+C31*C33+C32*C34)+C21*((1-C22)*C23*C24*C25)*((1-C30)*C27+C30*C29))/1000000*(1-C35*(1-C36))*C37</f>
        <v>0.12548448000000001</v>
      </c>
      <c r="D38" s="42">
        <f>(D20*((1-D22)*D23*D24*D25)*((1-D30)*D26+D30*D28)*((1-D31-D32)+D31*D33+D32*D34)+D21*((1-D22)*D23*D24*D25)*((1-D30)*D27+D30*D29))/1000000*(1-D35*(1-D36))*D37</f>
        <v>0.625</v>
      </c>
      <c r="E38" s="42">
        <f>(E20*((1-E22)*E23*E24*E25)*((1-E30)*E26+E30*E28)*((1-E31-E32)+E31*E33+E32*E34)+E21*((1-E22)*E23*E24*E25)*((1-E30)*E27+E30*E29))/1000000*(1-E35*(1-E36))*E37</f>
        <v>0.44500000000000001</v>
      </c>
    </row>
    <row r="39" spans="1:5" x14ac:dyDescent="0.3">
      <c r="A39" s="8" t="s">
        <v>658</v>
      </c>
      <c r="B39" s="43">
        <v>2.1000000000000001E-2</v>
      </c>
      <c r="C39" s="43">
        <v>0.12548448000000001</v>
      </c>
      <c r="D39" s="43">
        <v>0.625</v>
      </c>
      <c r="E39" s="43">
        <v>0.44500000000000001</v>
      </c>
    </row>
    <row r="40" spans="1:5" x14ac:dyDescent="0.3">
      <c r="A40" s="8" t="s">
        <v>641</v>
      </c>
      <c r="B40" s="41">
        <f>B38-B39</f>
        <v>0</v>
      </c>
      <c r="C40" s="41">
        <f>C38-C39</f>
        <v>0</v>
      </c>
      <c r="D40" s="41">
        <f>D38-D39</f>
        <v>0</v>
      </c>
      <c r="E40" s="41">
        <f>E38-E39</f>
        <v>0</v>
      </c>
    </row>
    <row r="42" spans="1:5" x14ac:dyDescent="0.3">
      <c r="A42" s="18" t="s">
        <v>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2" width="10" customWidth="1"/>
    <col min="3" max="3" width="8" customWidth="1"/>
    <col min="4" max="10" width="16" customWidth="1"/>
  </cols>
  <sheetData>
    <row r="1" spans="1:10" ht="17.399999999999999" x14ac:dyDescent="0.3">
      <c r="A1" s="5" t="s">
        <v>660</v>
      </c>
    </row>
    <row r="2" spans="1:10" x14ac:dyDescent="0.3">
      <c r="A2" s="18" t="s">
        <v>661</v>
      </c>
    </row>
    <row r="3" spans="1:10" x14ac:dyDescent="0.3">
      <c r="A3" s="8" t="s">
        <v>662</v>
      </c>
      <c r="D3" s="37">
        <f>CHOOSE(Org!$B$16,Calc_Low!$B$170,Calc_Base!$B$170,Calc_High!$B$170)</f>
        <v>1</v>
      </c>
    </row>
    <row r="4" spans="1:10" x14ac:dyDescent="0.3">
      <c r="A4" s="19" t="s">
        <v>663</v>
      </c>
      <c r="B4" s="19" t="s">
        <v>499</v>
      </c>
      <c r="C4" s="19" t="s">
        <v>495</v>
      </c>
      <c r="D4" s="19" t="str">
        <f>Teams!C$4</f>
        <v>Corporate knowledge assistant (conservative calibration)</v>
      </c>
      <c r="E4" s="19" t="str">
        <f>Teams!D$4</f>
        <v>Engineering assistant</v>
      </c>
      <c r="F4" s="19" t="str">
        <f>Teams!E$4</f>
        <v>Customer service agent</v>
      </c>
      <c r="G4" s="19" t="str">
        <f>Teams!F$4</f>
        <v>Regulated document review</v>
      </c>
      <c r="H4" s="19" t="str">
        <f>Teams!G$4</f>
        <v>Sales assistant (published-range calibration)</v>
      </c>
      <c r="I4" s="19" t="s">
        <v>664</v>
      </c>
      <c r="J4" s="19" t="s">
        <v>20</v>
      </c>
    </row>
    <row r="5" spans="1:10" x14ac:dyDescent="0.3">
      <c r="A5" s="8" t="s">
        <v>665</v>
      </c>
      <c r="B5" s="8" t="s">
        <v>435</v>
      </c>
      <c r="C5" s="8">
        <v>3</v>
      </c>
      <c r="D5" s="44">
        <f>CHOOSE(Org!$B$16,Calc_Low!$C$13,Calc_Base!$C$13,Calc_High!$C$13)</f>
        <v>3024000</v>
      </c>
      <c r="E5" s="44">
        <f>CHOOSE(Org!$B$16,Calc_Low!$C$40,Calc_Base!$C$40,Calc_High!$C$40)</f>
        <v>288000</v>
      </c>
      <c r="F5" s="44">
        <f>CHOOSE(Org!$B$16,Calc_Low!$C$67,Calc_Base!$C$67,Calc_High!$C$67)</f>
        <v>0</v>
      </c>
      <c r="G5" s="44">
        <f>CHOOSE(Org!$B$16,Calc_Low!$C$94,Calc_Base!$C$94,Calc_High!$C$94)</f>
        <v>0</v>
      </c>
      <c r="H5" s="44">
        <f>CHOOSE(Org!$B$16,Calc_Low!$C$121,Calc_Base!$C$121,Calc_High!$C$121)</f>
        <v>2016000</v>
      </c>
      <c r="J5" s="44">
        <f t="shared" ref="J5:J19" si="0">SUM(D5:H5)</f>
        <v>5328000</v>
      </c>
    </row>
    <row r="6" spans="1:10" x14ac:dyDescent="0.3">
      <c r="A6" s="8" t="s">
        <v>666</v>
      </c>
      <c r="B6" s="8" t="s">
        <v>435</v>
      </c>
      <c r="C6" s="8">
        <v>3</v>
      </c>
      <c r="D6" s="44">
        <f>CHOOSE(Org!$B$16,Calc_Low!$C$14,Calc_Base!$C$14,Calc_High!$C$14)</f>
        <v>0</v>
      </c>
      <c r="E6" s="44">
        <f>CHOOSE(Org!$B$16,Calc_Low!$C$41,Calc_Base!$C$41,Calc_High!$C$41)</f>
        <v>755787.8016000007</v>
      </c>
      <c r="F6" s="44">
        <f>CHOOSE(Org!$B$16,Calc_Low!$C$68,Calc_Base!$C$68,Calc_High!$C$68)</f>
        <v>0</v>
      </c>
      <c r="G6" s="44">
        <f>CHOOSE(Org!$B$16,Calc_Low!$C$95,Calc_Base!$C$95,Calc_High!$C$95)</f>
        <v>42522.701760000011</v>
      </c>
      <c r="H6" s="44">
        <f>CHOOSE(Org!$B$16,Calc_Low!$C$122,Calc_Base!$C$122,Calc_High!$C$122)</f>
        <v>0</v>
      </c>
      <c r="J6" s="44">
        <f t="shared" si="0"/>
        <v>798310.50336000067</v>
      </c>
    </row>
    <row r="7" spans="1:10" x14ac:dyDescent="0.3">
      <c r="A7" s="8" t="s">
        <v>667</v>
      </c>
      <c r="B7" s="8" t="s">
        <v>435</v>
      </c>
      <c r="C7" s="8">
        <v>3</v>
      </c>
      <c r="D7" s="44">
        <f>CHOOSE(Org!$B$16,Calc_Low!$C$15,Calc_Base!$C$15,Calc_High!$C$15)</f>
        <v>0</v>
      </c>
      <c r="E7" s="44">
        <f>CHOOSE(Org!$B$16,Calc_Low!$C$42,Calc_Base!$C$42,Calc_High!$C$42)</f>
        <v>0</v>
      </c>
      <c r="F7" s="44">
        <f>CHOOSE(Org!$B$16,Calc_Low!$C$69,Calc_Base!$C$69,Calc_High!$C$69)</f>
        <v>1287000</v>
      </c>
      <c r="G7" s="44">
        <f>CHOOSE(Org!$B$16,Calc_Low!$C$96,Calc_Base!$C$96,Calc_High!$C$96)</f>
        <v>0</v>
      </c>
      <c r="H7" s="44">
        <f>CHOOSE(Org!$B$16,Calc_Low!$C$123,Calc_Base!$C$123,Calc_High!$C$123)</f>
        <v>0</v>
      </c>
      <c r="J7" s="44">
        <f t="shared" si="0"/>
        <v>1287000</v>
      </c>
    </row>
    <row r="8" spans="1:10" x14ac:dyDescent="0.3">
      <c r="A8" s="8" t="s">
        <v>668</v>
      </c>
      <c r="B8" s="8" t="s">
        <v>435</v>
      </c>
      <c r="C8" s="8">
        <v>3</v>
      </c>
      <c r="D8" s="44">
        <f>CHOOSE(Org!$B$16,Calc_Low!$C$16,Calc_Base!$C$16,Calc_High!$C$16)</f>
        <v>0</v>
      </c>
      <c r="E8" s="44">
        <f>CHOOSE(Org!$B$16,Calc_Low!$C$43,Calc_Base!$C$43,Calc_High!$C$43)</f>
        <v>0</v>
      </c>
      <c r="F8" s="44">
        <f>CHOOSE(Org!$B$16,Calc_Low!$C$70,Calc_Base!$C$70,Calc_High!$C$70)</f>
        <v>0</v>
      </c>
      <c r="G8" s="44">
        <f>CHOOSE(Org!$B$16,Calc_Low!$C$97,Calc_Base!$C$97,Calc_High!$C$97)</f>
        <v>7620.4800000000041</v>
      </c>
      <c r="H8" s="44">
        <f>CHOOSE(Org!$B$16,Calc_Low!$C$124,Calc_Base!$C$124,Calc_High!$C$124)</f>
        <v>0</v>
      </c>
      <c r="J8" s="44">
        <f t="shared" si="0"/>
        <v>7620.4800000000041</v>
      </c>
    </row>
    <row r="9" spans="1:10" x14ac:dyDescent="0.3">
      <c r="A9" s="8" t="s">
        <v>669</v>
      </c>
      <c r="B9" s="8" t="s">
        <v>505</v>
      </c>
      <c r="C9" s="8">
        <v>2</v>
      </c>
      <c r="D9" s="44">
        <f>CHOOSE(Org!$B$16,Calc_Low!$C$17,Calc_Base!$C$17,Calc_High!$C$17)</f>
        <v>0</v>
      </c>
      <c r="E9" s="44">
        <f>CHOOSE(Org!$B$16,Calc_Low!$C$44,Calc_Base!$C$44,Calc_High!$C$44)</f>
        <v>0</v>
      </c>
      <c r="F9" s="44">
        <f>CHOOSE(Org!$B$16,Calc_Low!$C$71,Calc_Base!$C$71,Calc_High!$C$71)</f>
        <v>0</v>
      </c>
      <c r="G9" s="44">
        <f>CHOOSE(Org!$B$16,Calc_Low!$C$98,Calc_Base!$C$98,Calc_High!$C$98)</f>
        <v>0</v>
      </c>
      <c r="H9" s="44">
        <f>CHOOSE(Org!$B$16,Calc_Low!$C$125,Calc_Base!$C$125,Calc_High!$C$125)</f>
        <v>0</v>
      </c>
      <c r="J9" s="44">
        <f t="shared" si="0"/>
        <v>0</v>
      </c>
    </row>
    <row r="10" spans="1:10" x14ac:dyDescent="0.3">
      <c r="A10" s="8" t="s">
        <v>670</v>
      </c>
      <c r="B10" s="8" t="s">
        <v>435</v>
      </c>
      <c r="C10" s="8">
        <v>1</v>
      </c>
      <c r="D10" s="44">
        <f>CHOOSE(Org!$B$16,Calc_Low!$C$18,Calc_Base!$C$18,Calc_High!$C$18)</f>
        <v>2323.7999999999993</v>
      </c>
      <c r="E10" s="44">
        <f>CHOOSE(Org!$B$16,Calc_Low!$C$45,Calc_Base!$C$45,Calc_High!$C$45)</f>
        <v>2899.5599999999986</v>
      </c>
      <c r="F10" s="44">
        <f>CHOOSE(Org!$B$16,Calc_Low!$C$72,Calc_Base!$C$72,Calc_High!$C$72)</f>
        <v>0</v>
      </c>
      <c r="G10" s="44">
        <f>CHOOSE(Org!$B$16,Calc_Low!$C$99,Calc_Base!$C$99,Calc_High!$C$99)</f>
        <v>29769.631999999998</v>
      </c>
      <c r="H10" s="44">
        <f>CHOOSE(Org!$B$16,Calc_Low!$C$126,Calc_Base!$C$126,Calc_High!$C$126)</f>
        <v>2081.1959999999999</v>
      </c>
      <c r="J10" s="44">
        <f t="shared" si="0"/>
        <v>37074.187999999995</v>
      </c>
    </row>
    <row r="11" spans="1:10" x14ac:dyDescent="0.3">
      <c r="A11" s="8" t="s">
        <v>671</v>
      </c>
      <c r="B11" s="8" t="s">
        <v>169</v>
      </c>
      <c r="C11" s="8">
        <v>1</v>
      </c>
      <c r="D11" s="44">
        <f>CHOOSE(Org!$B$16,Calc_Low!$C$19,Calc_Base!$C$19,Calc_High!$C$19)</f>
        <v>10800</v>
      </c>
      <c r="E11" s="44">
        <f>CHOOSE(Org!$B$16,Calc_Low!$C$46,Calc_Base!$C$46,Calc_High!$C$46)</f>
        <v>7200</v>
      </c>
      <c r="F11" s="44">
        <f>CHOOSE(Org!$B$16,Calc_Low!$C$73,Calc_Base!$C$73,Calc_High!$C$73)</f>
        <v>10500</v>
      </c>
      <c r="G11" s="44">
        <f>CHOOSE(Org!$B$16,Calc_Low!$C$100,Calc_Base!$C$100,Calc_High!$C$100)</f>
        <v>13600</v>
      </c>
      <c r="H11" s="44">
        <f>CHOOSE(Org!$B$16,Calc_Low!$C$127,Calc_Base!$C$127,Calc_High!$C$127)</f>
        <v>7200</v>
      </c>
      <c r="J11" s="44">
        <f t="shared" si="0"/>
        <v>49300</v>
      </c>
    </row>
    <row r="12" spans="1:10" x14ac:dyDescent="0.3">
      <c r="A12" s="8" t="s">
        <v>672</v>
      </c>
      <c r="B12" s="8" t="s">
        <v>169</v>
      </c>
      <c r="C12" s="8">
        <v>4</v>
      </c>
      <c r="D12" s="44">
        <f>CHOOSE(Org!$B$16,Calc_Low!$C$20,Calc_Base!$C$20,Calc_High!$C$20)</f>
        <v>250200</v>
      </c>
      <c r="E12" s="44">
        <f>CHOOSE(Org!$B$16,Calc_Low!$C$47,Calc_Base!$C$47,Calc_High!$C$47)</f>
        <v>151680</v>
      </c>
      <c r="F12" s="44">
        <f>CHOOSE(Org!$B$16,Calc_Low!$C$74,Calc_Base!$C$74,Calc_High!$C$74)</f>
        <v>129315</v>
      </c>
      <c r="G12" s="44">
        <f>CHOOSE(Org!$B$16,Calc_Low!$C$101,Calc_Base!$C$101,Calc_High!$C$101)</f>
        <v>129120</v>
      </c>
      <c r="H12" s="44">
        <f>CHOOSE(Org!$B$16,Calc_Low!$C$128,Calc_Base!$C$128,Calc_High!$C$128)</f>
        <v>210000</v>
      </c>
      <c r="J12" s="44">
        <f t="shared" si="0"/>
        <v>870315</v>
      </c>
    </row>
    <row r="13" spans="1:10" x14ac:dyDescent="0.3">
      <c r="A13" s="8" t="s">
        <v>673</v>
      </c>
      <c r="B13" s="8" t="s">
        <v>604</v>
      </c>
      <c r="C13" s="8">
        <v>4</v>
      </c>
      <c r="D13" s="44">
        <f>CHOOSE(Org!$B$16,Calc_Low!$C$21,Calc_Base!$C$21,Calc_High!$C$21)</f>
        <v>12800</v>
      </c>
      <c r="E13" s="44">
        <f>CHOOSE(Org!$B$16,Calc_Low!$C$48,Calc_Base!$C$48,Calc_High!$C$48)</f>
        <v>12800</v>
      </c>
      <c r="F13" s="44">
        <f>CHOOSE(Org!$B$16,Calc_Low!$C$75,Calc_Base!$C$75,Calc_High!$C$75)</f>
        <v>12800</v>
      </c>
      <c r="G13" s="44">
        <f>CHOOSE(Org!$B$16,Calc_Low!$C$102,Calc_Base!$C$102,Calc_High!$C$102)</f>
        <v>12800</v>
      </c>
      <c r="H13" s="44">
        <f>CHOOSE(Org!$B$16,Calc_Low!$C$129,Calc_Base!$C$129,Calc_High!$C$129)</f>
        <v>12800</v>
      </c>
      <c r="J13" s="44">
        <f t="shared" si="0"/>
        <v>64000</v>
      </c>
    </row>
    <row r="14" spans="1:10" x14ac:dyDescent="0.3">
      <c r="A14" s="8" t="s">
        <v>674</v>
      </c>
      <c r="B14" s="8" t="s">
        <v>604</v>
      </c>
      <c r="C14" s="8">
        <v>5</v>
      </c>
      <c r="D14" s="44">
        <f>CHOOSE(Org!$B$16,Calc_Low!$C$22,Calc_Base!$C$22,Calc_High!$C$22)</f>
        <v>424120.04999999976</v>
      </c>
      <c r="E14" s="44">
        <f>CHOOSE(Org!$B$16,Calc_Low!$C$49,Calc_Base!$C$49,Calc_High!$C$49)</f>
        <v>2070662.399999999</v>
      </c>
      <c r="F14" s="44">
        <f>CHOOSE(Org!$B$16,Calc_Low!$C$76,Calc_Base!$C$76,Calc_High!$C$76)</f>
        <v>304785</v>
      </c>
      <c r="G14" s="44">
        <f>CHOOSE(Org!$B$16,Calc_Low!$C$103,Calc_Base!$C$103,Calc_High!$C$103)</f>
        <v>945302.39999999944</v>
      </c>
      <c r="H14" s="44">
        <f>CHOOSE(Org!$B$16,Calc_Low!$C$130,Calc_Base!$C$130,Calc_High!$C$130)</f>
        <v>282746.70000000019</v>
      </c>
      <c r="J14" s="44">
        <f t="shared" si="0"/>
        <v>4027616.5499999984</v>
      </c>
    </row>
    <row r="15" spans="1:10" x14ac:dyDescent="0.3">
      <c r="A15" s="8" t="s">
        <v>675</v>
      </c>
      <c r="B15" s="8" t="s">
        <v>169</v>
      </c>
      <c r="C15" s="8">
        <v>5</v>
      </c>
      <c r="D15" s="44">
        <f>CHOOSE(Org!$B$16,Calc_Low!$C$23,Calc_Base!$C$23,Calc_High!$C$23)</f>
        <v>264000</v>
      </c>
      <c r="E15" s="44">
        <f>CHOOSE(Org!$B$16,Calc_Low!$C$50,Calc_Base!$C$50,Calc_High!$C$50)</f>
        <v>35200.000000000022</v>
      </c>
      <c r="F15" s="44">
        <f>CHOOSE(Org!$B$16,Calc_Low!$C$77,Calc_Base!$C$77,Calc_High!$C$77)</f>
        <v>5192</v>
      </c>
      <c r="G15" s="44">
        <f>CHOOSE(Org!$B$16,Calc_Low!$C$104,Calc_Base!$C$104,Calc_High!$C$104)</f>
        <v>12760</v>
      </c>
      <c r="H15" s="44">
        <f>CHOOSE(Org!$B$16,Calc_Low!$C$131,Calc_Base!$C$131,Calc_High!$C$131)</f>
        <v>176000.00000000009</v>
      </c>
      <c r="J15" s="44">
        <f t="shared" si="0"/>
        <v>493152.00000000012</v>
      </c>
    </row>
    <row r="16" spans="1:10" x14ac:dyDescent="0.3">
      <c r="A16" s="8" t="s">
        <v>676</v>
      </c>
      <c r="B16" s="8" t="s">
        <v>169</v>
      </c>
      <c r="C16" s="8">
        <v>1</v>
      </c>
      <c r="D16" s="44">
        <f>CHOOSE(Org!$B$16,Calc_Low!$C$24,Calc_Base!$C$24,Calc_High!$C$24)</f>
        <v>34400</v>
      </c>
      <c r="E16" s="44">
        <f>CHOOSE(Org!$B$16,Calc_Low!$C$51,Calc_Base!$C$51,Calc_High!$C$51)</f>
        <v>28800</v>
      </c>
      <c r="F16" s="44">
        <f>CHOOSE(Org!$B$16,Calc_Low!$C$78,Calc_Base!$C$78,Calc_High!$C$78)</f>
        <v>32480</v>
      </c>
      <c r="G16" s="44">
        <f>CHOOSE(Org!$B$16,Calc_Low!$C$105,Calc_Base!$C$105,Calc_High!$C$105)</f>
        <v>73600</v>
      </c>
      <c r="H16" s="44">
        <f>CHOOSE(Org!$B$16,Calc_Low!$C$132,Calc_Base!$C$132,Calc_High!$C$132)</f>
        <v>22400</v>
      </c>
      <c r="J16" s="44">
        <f t="shared" si="0"/>
        <v>191680</v>
      </c>
    </row>
    <row r="17" spans="1:10" x14ac:dyDescent="0.3">
      <c r="A17" s="8" t="s">
        <v>677</v>
      </c>
      <c r="B17" s="8" t="s">
        <v>435</v>
      </c>
      <c r="C17" s="8">
        <v>1</v>
      </c>
      <c r="D17" s="44">
        <f>CHOOSE(Org!$B$16,Calc_Low!$C$25,Calc_Base!$C$25,Calc_High!$C$25)</f>
        <v>157.80000000000001</v>
      </c>
      <c r="E17" s="44">
        <f>CHOOSE(Org!$B$16,Calc_Low!$C$52,Calc_Base!$C$52,Calc_High!$C$52)</f>
        <v>251</v>
      </c>
      <c r="F17" s="44">
        <f>CHOOSE(Org!$B$16,Calc_Low!$C$79,Calc_Base!$C$79,Calc_High!$C$79)</f>
        <v>0</v>
      </c>
      <c r="G17" s="44">
        <f>CHOOSE(Org!$B$16,Calc_Low!$C$106,Calc_Base!$C$106,Calc_High!$C$106)</f>
        <v>24156</v>
      </c>
      <c r="H17" s="44">
        <f>CHOOSE(Org!$B$16,Calc_Low!$C$133,Calc_Base!$C$133,Calc_High!$C$133)</f>
        <v>78.900000000000006</v>
      </c>
      <c r="J17" s="44">
        <f t="shared" si="0"/>
        <v>24643.7</v>
      </c>
    </row>
    <row r="18" spans="1:10" x14ac:dyDescent="0.3">
      <c r="A18" s="8" t="s">
        <v>678</v>
      </c>
      <c r="B18" s="8" t="s">
        <v>169</v>
      </c>
      <c r="C18" s="8">
        <v>2</v>
      </c>
      <c r="D18" s="44">
        <f>CHOOSE(Org!$B$16,Calc_Low!$C$26,Calc_Base!$C$26,Calc_High!$C$26)</f>
        <v>48000</v>
      </c>
      <c r="E18" s="44">
        <f>CHOOSE(Org!$B$16,Calc_Low!$C$53,Calc_Base!$C$53,Calc_High!$C$53)</f>
        <v>48000</v>
      </c>
      <c r="F18" s="44">
        <f>CHOOSE(Org!$B$16,Calc_Low!$C$80,Calc_Base!$C$80,Calc_High!$C$80)</f>
        <v>48000</v>
      </c>
      <c r="G18" s="44">
        <f>CHOOSE(Org!$B$16,Calc_Low!$C$107,Calc_Base!$C$107,Calc_High!$C$107)</f>
        <v>48000</v>
      </c>
      <c r="H18" s="44">
        <f>CHOOSE(Org!$B$16,Calc_Low!$C$134,Calc_Base!$C$134,Calc_High!$C$134)</f>
        <v>48000</v>
      </c>
      <c r="J18" s="44">
        <f t="shared" si="0"/>
        <v>240000</v>
      </c>
    </row>
    <row r="19" spans="1:10" x14ac:dyDescent="0.3">
      <c r="A19" s="8" t="s">
        <v>679</v>
      </c>
      <c r="B19" s="8" t="s">
        <v>169</v>
      </c>
      <c r="C19" s="8">
        <v>5</v>
      </c>
      <c r="D19" s="44">
        <f>CHOOSE(Org!$B$16,Calc_Low!$C$27,Calc_Base!$C$27,Calc_High!$C$27)</f>
        <v>720000</v>
      </c>
      <c r="E19" s="44">
        <f>CHOOSE(Org!$B$16,Calc_Low!$C$54,Calc_Base!$C$54,Calc_High!$C$54)</f>
        <v>128000</v>
      </c>
      <c r="F19" s="44">
        <f>CHOOSE(Org!$B$16,Calc_Low!$C$81,Calc_Base!$C$81,Calc_High!$C$81)</f>
        <v>20400</v>
      </c>
      <c r="G19" s="44">
        <f>CHOOSE(Org!$B$16,Calc_Low!$C$108,Calc_Base!$C$108,Calc_High!$C$108)</f>
        <v>42000</v>
      </c>
      <c r="H19" s="44">
        <f>CHOOSE(Org!$B$16,Calc_Low!$C$135,Calc_Base!$C$135,Calc_High!$C$135)</f>
        <v>480000</v>
      </c>
      <c r="J19" s="44">
        <f t="shared" si="0"/>
        <v>1390400</v>
      </c>
    </row>
    <row r="20" spans="1:10" x14ac:dyDescent="0.3">
      <c r="A20" s="8" t="s">
        <v>680</v>
      </c>
      <c r="B20" s="8" t="s">
        <v>169</v>
      </c>
      <c r="C20" s="8">
        <v>2</v>
      </c>
      <c r="I20" s="44">
        <f>CHOOSE(Org!$B$16,Calc_Low!$C$145,Calc_Base!$C$145,Calc_High!$C$145)</f>
        <v>96000</v>
      </c>
      <c r="J20" s="44">
        <f t="shared" ref="J20:J32" si="1">I20*$D$3</f>
        <v>96000</v>
      </c>
    </row>
    <row r="21" spans="1:10" x14ac:dyDescent="0.3">
      <c r="A21" s="8" t="s">
        <v>681</v>
      </c>
      <c r="B21" s="8" t="s">
        <v>169</v>
      </c>
      <c r="C21" s="8">
        <v>1</v>
      </c>
      <c r="I21" s="44">
        <f>CHOOSE(Org!$B$16,Calc_Low!$C$146,Calc_Base!$C$146,Calc_High!$C$146)</f>
        <v>44800</v>
      </c>
      <c r="J21" s="44">
        <f t="shared" si="1"/>
        <v>44800</v>
      </c>
    </row>
    <row r="22" spans="1:10" x14ac:dyDescent="0.3">
      <c r="A22" s="8" t="s">
        <v>682</v>
      </c>
      <c r="B22" s="8" t="s">
        <v>169</v>
      </c>
      <c r="C22" s="8">
        <v>2</v>
      </c>
      <c r="I22" s="44">
        <f>CHOOSE(Org!$B$16,Calc_Low!$C$147,Calc_Base!$C$147,Calc_High!$C$147)</f>
        <v>64000</v>
      </c>
      <c r="J22" s="44">
        <f t="shared" si="1"/>
        <v>64000</v>
      </c>
    </row>
    <row r="23" spans="1:10" x14ac:dyDescent="0.3">
      <c r="A23" s="8" t="s">
        <v>683</v>
      </c>
      <c r="B23" s="8" t="s">
        <v>169</v>
      </c>
      <c r="C23" s="8">
        <v>2</v>
      </c>
      <c r="I23" s="44">
        <f>CHOOSE(Org!$B$16,Calc_Low!$C$148,Calc_Base!$C$148,Calc_High!$C$148)</f>
        <v>32000</v>
      </c>
      <c r="J23" s="44">
        <f t="shared" si="1"/>
        <v>32000</v>
      </c>
    </row>
    <row r="24" spans="1:10" x14ac:dyDescent="0.3">
      <c r="A24" s="8" t="s">
        <v>684</v>
      </c>
      <c r="B24" s="8" t="s">
        <v>169</v>
      </c>
      <c r="C24" s="8">
        <v>2</v>
      </c>
      <c r="I24" s="44">
        <f>CHOOSE(Org!$B$16,Calc_Low!$C$149,Calc_Base!$C$149,Calc_High!$C$149)</f>
        <v>57600</v>
      </c>
      <c r="J24" s="44">
        <f t="shared" si="1"/>
        <v>57600</v>
      </c>
    </row>
    <row r="25" spans="1:10" x14ac:dyDescent="0.3">
      <c r="A25" s="8" t="s">
        <v>685</v>
      </c>
      <c r="B25" s="8" t="s">
        <v>169</v>
      </c>
      <c r="C25" s="8">
        <v>1</v>
      </c>
      <c r="I25" s="44">
        <f>CHOOSE(Org!$B$16,Calc_Low!$C$150,Calc_Base!$C$150,Calc_High!$C$150)</f>
        <v>13440.000000000005</v>
      </c>
      <c r="J25" s="44">
        <f t="shared" si="1"/>
        <v>13440.000000000005</v>
      </c>
    </row>
    <row r="26" spans="1:10" x14ac:dyDescent="0.3">
      <c r="A26" s="8" t="s">
        <v>686</v>
      </c>
      <c r="B26" s="8" t="s">
        <v>169</v>
      </c>
      <c r="C26" s="8">
        <v>2</v>
      </c>
      <c r="I26" s="44">
        <f>CHOOSE(Org!$B$16,Calc_Low!$C$151,Calc_Base!$C$151,Calc_High!$C$151)</f>
        <v>48000.000000000015</v>
      </c>
      <c r="J26" s="44">
        <f t="shared" si="1"/>
        <v>48000.000000000015</v>
      </c>
    </row>
    <row r="27" spans="1:10" x14ac:dyDescent="0.3">
      <c r="A27" s="8" t="s">
        <v>687</v>
      </c>
      <c r="B27" s="8" t="s">
        <v>505</v>
      </c>
      <c r="C27" s="8">
        <v>2</v>
      </c>
      <c r="I27" s="44">
        <f>CHOOSE(Org!$B$16,Calc_Low!$C$152,Calc_Base!$C$152,Calc_High!$C$152)</f>
        <v>0</v>
      </c>
      <c r="J27" s="44">
        <f t="shared" si="1"/>
        <v>0</v>
      </c>
    </row>
    <row r="28" spans="1:10" x14ac:dyDescent="0.3">
      <c r="A28" s="8" t="s">
        <v>688</v>
      </c>
      <c r="B28" s="8" t="s">
        <v>435</v>
      </c>
      <c r="C28" s="8">
        <v>4</v>
      </c>
      <c r="I28" s="44">
        <f>CHOOSE(Org!$B$16,Calc_Low!$C$153,Calc_Base!$C$153,Calc_High!$C$153)</f>
        <v>11735.679999999995</v>
      </c>
      <c r="J28" s="44">
        <f t="shared" si="1"/>
        <v>11735.679999999995</v>
      </c>
    </row>
    <row r="29" spans="1:10" x14ac:dyDescent="0.3">
      <c r="A29" s="8" t="s">
        <v>689</v>
      </c>
      <c r="B29" s="8" t="s">
        <v>169</v>
      </c>
      <c r="C29" s="8">
        <v>4</v>
      </c>
      <c r="I29" s="44">
        <f>CHOOSE(Org!$B$16,Calc_Low!$C$154,Calc_Base!$C$154,Calc_High!$C$154)</f>
        <v>2640000.0000000005</v>
      </c>
      <c r="J29" s="44">
        <f t="shared" si="1"/>
        <v>2640000.0000000005</v>
      </c>
    </row>
    <row r="30" spans="1:10" x14ac:dyDescent="0.3">
      <c r="A30" s="8" t="s">
        <v>690</v>
      </c>
      <c r="B30" s="8" t="s">
        <v>604</v>
      </c>
      <c r="C30" s="8">
        <v>4</v>
      </c>
      <c r="I30" s="44">
        <f>CHOOSE(Org!$B$16,Calc_Low!$C$155,Calc_Base!$C$155,Calc_High!$C$155)</f>
        <v>528000.00000000023</v>
      </c>
      <c r="J30" s="44">
        <f t="shared" si="1"/>
        <v>528000.00000000023</v>
      </c>
    </row>
    <row r="31" spans="1:10" x14ac:dyDescent="0.3">
      <c r="A31" s="8" t="s">
        <v>691</v>
      </c>
      <c r="B31" s="8" t="s">
        <v>505</v>
      </c>
      <c r="C31" s="8">
        <v>4</v>
      </c>
      <c r="I31" s="44">
        <f>CHOOSE(Org!$B$16,Calc_Low!$C$156,Calc_Base!$C$156,Calc_High!$C$156)</f>
        <v>0</v>
      </c>
      <c r="J31" s="44">
        <f t="shared" si="1"/>
        <v>0</v>
      </c>
    </row>
    <row r="32" spans="1:10" x14ac:dyDescent="0.3">
      <c r="A32" s="8" t="s">
        <v>692</v>
      </c>
      <c r="B32" s="8" t="s">
        <v>505</v>
      </c>
      <c r="C32" s="8">
        <v>4</v>
      </c>
      <c r="I32" s="44">
        <f>CHOOSE(Org!$B$16,Calc_Low!$C$157,Calc_Base!$C$157,Calc_High!$C$157)</f>
        <v>0</v>
      </c>
      <c r="J32" s="44">
        <f t="shared" si="1"/>
        <v>0</v>
      </c>
    </row>
    <row r="33" spans="1:10" x14ac:dyDescent="0.3">
      <c r="A33" s="38" t="s">
        <v>693</v>
      </c>
      <c r="D33" s="45">
        <f t="shared" ref="D33:J33" si="2">SUM(D5:D32)</f>
        <v>4790801.6499999994</v>
      </c>
      <c r="E33" s="45">
        <f t="shared" si="2"/>
        <v>3529280.7615999999</v>
      </c>
      <c r="F33" s="45">
        <f t="shared" si="2"/>
        <v>1850472</v>
      </c>
      <c r="G33" s="45">
        <f t="shared" si="2"/>
        <v>1381251.2137599995</v>
      </c>
      <c r="H33" s="45">
        <f t="shared" si="2"/>
        <v>3257306.7960000001</v>
      </c>
      <c r="I33" s="45">
        <f t="shared" si="2"/>
        <v>3535575.6800000006</v>
      </c>
      <c r="J33" s="45">
        <f t="shared" si="2"/>
        <v>18344688.101360001</v>
      </c>
    </row>
    <row r="35" spans="1:10" x14ac:dyDescent="0.3">
      <c r="A35" s="7" t="s">
        <v>694</v>
      </c>
    </row>
    <row r="36" spans="1:10" x14ac:dyDescent="0.3">
      <c r="A36" s="8" t="s">
        <v>21</v>
      </c>
      <c r="D36" s="44">
        <f t="shared" ref="D36:J36" si="3">SUMIF($C$5:$C$32,1,D$5:D$32)</f>
        <v>47681.600000000006</v>
      </c>
      <c r="E36" s="44">
        <f t="shared" si="3"/>
        <v>39150.559999999998</v>
      </c>
      <c r="F36" s="44">
        <f t="shared" si="3"/>
        <v>42980</v>
      </c>
      <c r="G36" s="44">
        <f t="shared" si="3"/>
        <v>141125.63199999998</v>
      </c>
      <c r="H36" s="44">
        <f t="shared" si="3"/>
        <v>31760.096000000001</v>
      </c>
      <c r="I36" s="44">
        <f t="shared" si="3"/>
        <v>58240.000000000007</v>
      </c>
      <c r="J36" s="44">
        <f t="shared" si="3"/>
        <v>360937.88799999998</v>
      </c>
    </row>
    <row r="37" spans="1:10" x14ac:dyDescent="0.3">
      <c r="A37" s="8" t="s">
        <v>22</v>
      </c>
      <c r="D37" s="44">
        <f t="shared" ref="D37:J37" si="4">SUMIF($C$5:$C$32,2,D$5:D$32)</f>
        <v>48000</v>
      </c>
      <c r="E37" s="44">
        <f t="shared" si="4"/>
        <v>48000</v>
      </c>
      <c r="F37" s="44">
        <f t="shared" si="4"/>
        <v>48000</v>
      </c>
      <c r="G37" s="44">
        <f t="shared" si="4"/>
        <v>48000</v>
      </c>
      <c r="H37" s="44">
        <f t="shared" si="4"/>
        <v>48000</v>
      </c>
      <c r="I37" s="44">
        <f t="shared" si="4"/>
        <v>297600</v>
      </c>
      <c r="J37" s="44">
        <f t="shared" si="4"/>
        <v>537600</v>
      </c>
    </row>
    <row r="38" spans="1:10" x14ac:dyDescent="0.3">
      <c r="A38" s="8" t="s">
        <v>23</v>
      </c>
      <c r="D38" s="44">
        <f t="shared" ref="D38:J38" si="5">SUMIF($C$5:$C$32,3,D$5:D$32)</f>
        <v>3024000</v>
      </c>
      <c r="E38" s="44">
        <f t="shared" si="5"/>
        <v>1043787.8016000007</v>
      </c>
      <c r="F38" s="44">
        <f t="shared" si="5"/>
        <v>1287000</v>
      </c>
      <c r="G38" s="44">
        <f t="shared" si="5"/>
        <v>50143.181760000014</v>
      </c>
      <c r="H38" s="44">
        <f t="shared" si="5"/>
        <v>2016000</v>
      </c>
      <c r="I38" s="44">
        <f t="shared" si="5"/>
        <v>0</v>
      </c>
      <c r="J38" s="44">
        <f t="shared" si="5"/>
        <v>7420930.9833600009</v>
      </c>
    </row>
    <row r="39" spans="1:10" x14ac:dyDescent="0.3">
      <c r="A39" s="8" t="s">
        <v>24</v>
      </c>
      <c r="D39" s="44">
        <f t="shared" ref="D39:J39" si="6">SUMIF($C$5:$C$32,4,D$5:D$32)</f>
        <v>263000</v>
      </c>
      <c r="E39" s="44">
        <f t="shared" si="6"/>
        <v>164480</v>
      </c>
      <c r="F39" s="44">
        <f t="shared" si="6"/>
        <v>142115</v>
      </c>
      <c r="G39" s="44">
        <f t="shared" si="6"/>
        <v>141920</v>
      </c>
      <c r="H39" s="44">
        <f t="shared" si="6"/>
        <v>222800</v>
      </c>
      <c r="I39" s="44">
        <f t="shared" si="6"/>
        <v>3179735.6800000006</v>
      </c>
      <c r="J39" s="44">
        <f t="shared" si="6"/>
        <v>4114050.6800000006</v>
      </c>
    </row>
    <row r="40" spans="1:10" x14ac:dyDescent="0.3">
      <c r="A40" s="8" t="s">
        <v>25</v>
      </c>
      <c r="D40" s="44">
        <f t="shared" ref="D40:J40" si="7">SUMIF($C$5:$C$32,5,D$5:D$32)</f>
        <v>1408120.0499999998</v>
      </c>
      <c r="E40" s="44">
        <f t="shared" si="7"/>
        <v>2233862.399999999</v>
      </c>
      <c r="F40" s="44">
        <f t="shared" si="7"/>
        <v>330377</v>
      </c>
      <c r="G40" s="44">
        <f t="shared" si="7"/>
        <v>1000062.3999999994</v>
      </c>
      <c r="H40" s="44">
        <f t="shared" si="7"/>
        <v>938746.7000000003</v>
      </c>
      <c r="I40" s="44">
        <f t="shared" si="7"/>
        <v>0</v>
      </c>
      <c r="J40" s="44">
        <f t="shared" si="7"/>
        <v>5911168.5499999989</v>
      </c>
    </row>
    <row r="42" spans="1:10" x14ac:dyDescent="0.3">
      <c r="A42" s="7" t="s">
        <v>695</v>
      </c>
      <c r="D42" s="18" t="s">
        <v>30</v>
      </c>
      <c r="E42" s="18" t="s">
        <v>31</v>
      </c>
    </row>
    <row r="43" spans="1:10" x14ac:dyDescent="0.3">
      <c r="A43" s="8" t="s">
        <v>32</v>
      </c>
      <c r="B43" s="8" t="s">
        <v>435</v>
      </c>
      <c r="D43" s="44">
        <f>SUMIF($B$5:$B$32,B43,$J$5:$J$32)</f>
        <v>7494384.5513600009</v>
      </c>
      <c r="E43" s="46">
        <f>IF($J$33=0,0,D43/$J$33)</f>
        <v>0.40853158745197732</v>
      </c>
    </row>
    <row r="44" spans="1:10" x14ac:dyDescent="0.3">
      <c r="A44" s="8" t="s">
        <v>33</v>
      </c>
      <c r="B44" s="8" t="s">
        <v>604</v>
      </c>
      <c r="D44" s="44">
        <f>SUMIF($B$5:$B$32,B44,$J$5:$J$32)</f>
        <v>4619616.5499999989</v>
      </c>
      <c r="E44" s="46">
        <f>IF($J$33=0,0,D44/$J$33)</f>
        <v>0.25182311764992721</v>
      </c>
    </row>
    <row r="45" spans="1:10" x14ac:dyDescent="0.3">
      <c r="A45" s="8" t="s">
        <v>34</v>
      </c>
      <c r="B45" s="8" t="s">
        <v>169</v>
      </c>
      <c r="D45" s="44">
        <f>SUMIF($B$5:$B$32,B45,$J$5:$J$32)</f>
        <v>6230687</v>
      </c>
      <c r="E45" s="46">
        <f>IF($J$33=0,0,D45/$J$33)</f>
        <v>0.33964529489809542</v>
      </c>
    </row>
    <row r="46" spans="1:10" x14ac:dyDescent="0.3">
      <c r="A46" s="8" t="s">
        <v>35</v>
      </c>
      <c r="B46" s="8" t="s">
        <v>505</v>
      </c>
      <c r="D46" s="44">
        <f>SUMIF($B$5:$B$32,B46,$J$5:$J$32)</f>
        <v>0</v>
      </c>
      <c r="E46" s="46">
        <f>IF($J$33=0,0,D46/$J$33)</f>
        <v>0</v>
      </c>
    </row>
    <row r="47" spans="1:10" x14ac:dyDescent="0.3">
      <c r="A47" s="8" t="s">
        <v>696</v>
      </c>
      <c r="E47" s="46">
        <f>SUM(E43:E46)</f>
        <v>1</v>
      </c>
    </row>
    <row r="49" spans="1:10" x14ac:dyDescent="0.3">
      <c r="A49" s="7" t="s">
        <v>697</v>
      </c>
    </row>
    <row r="50" spans="1:10" x14ac:dyDescent="0.3">
      <c r="A50" s="8" t="s">
        <v>27</v>
      </c>
      <c r="D50" s="8" t="str">
        <f>Teams!$C$8</f>
        <v>Seat</v>
      </c>
      <c r="E50" s="8" t="str">
        <f>Teams!$D$8</f>
        <v>Seat + usage</v>
      </c>
      <c r="F50" s="8" t="str">
        <f>Teams!$E$8</f>
        <v>Per-unit</v>
      </c>
      <c r="G50" s="8" t="str">
        <f>Teams!$F$8</f>
        <v>Per-unit</v>
      </c>
      <c r="H50" s="8" t="str">
        <f>Teams!$G$8</f>
        <v>Seat</v>
      </c>
    </row>
    <row r="51" spans="1:10" x14ac:dyDescent="0.3">
      <c r="A51" s="8" t="s">
        <v>698</v>
      </c>
      <c r="D51" s="22">
        <f>Teams!$C$81</f>
        <v>3000</v>
      </c>
      <c r="E51" s="22">
        <f>Teams!$D$81</f>
        <v>400</v>
      </c>
      <c r="F51" s="22">
        <f>Teams!$E$81</f>
        <v>60</v>
      </c>
      <c r="G51" s="22">
        <f>Teams!$F$81</f>
        <v>150</v>
      </c>
      <c r="H51" s="22">
        <f>Teams!$G$81</f>
        <v>2000</v>
      </c>
      <c r="J51" s="22">
        <f>SUM(D51:H51)</f>
        <v>5610</v>
      </c>
    </row>
    <row r="52" spans="1:10" x14ac:dyDescent="0.3">
      <c r="A52" s="8" t="s">
        <v>699</v>
      </c>
      <c r="D52" s="22">
        <f>CHOOSE(Org!$B$16,Calc_Low!$C$12,Calc_Base!$C$12,Calc_High!$C$12)</f>
        <v>3618000</v>
      </c>
      <c r="E52" s="22">
        <f>CHOOSE(Org!$B$16,Calc_Low!$C$39,Calc_Base!$C$39,Calc_High!$C$39)</f>
        <v>4416000</v>
      </c>
      <c r="F52" s="22">
        <f>CHOOSE(Org!$B$16,Calc_Low!$C$66,Calc_Base!$C$66,Calc_High!$C$66)</f>
        <v>1300000</v>
      </c>
      <c r="G52" s="22">
        <f>CHOOSE(Org!$B$16,Calc_Low!$C$93,Calc_Base!$C$93,Calc_High!$C$93)</f>
        <v>403200</v>
      </c>
      <c r="H52" s="22">
        <f>CHOOSE(Org!$B$16,Calc_Low!$C$120,Calc_Base!$C$120,Calc_High!$C$120)</f>
        <v>2412000</v>
      </c>
      <c r="J52" s="22">
        <f>SUM(D52:H52)</f>
        <v>12149200</v>
      </c>
    </row>
    <row r="53" spans="1:10" x14ac:dyDescent="0.3">
      <c r="A53" s="8" t="s">
        <v>700</v>
      </c>
      <c r="D53" s="22">
        <f>CHOOSE(Org!$B$16,Calc_Low!$C$11,Calc_Base!$C$11,Calc_High!$C$11)</f>
        <v>60300</v>
      </c>
      <c r="E53" s="22">
        <f>CHOOSE(Org!$B$16,Calc_Low!$C$38,Calc_Base!$C$38,Calc_High!$C$38)</f>
        <v>11040</v>
      </c>
      <c r="F53" s="22">
        <f>CHOOSE(Org!$B$16,Calc_Low!$C$65,Calc_Base!$C$65,Calc_High!$C$65)</f>
        <v>1657.5</v>
      </c>
      <c r="G53" s="22">
        <f>CHOOSE(Org!$B$16,Calc_Low!$C$92,Calc_Base!$C$92,Calc_High!$C$92)</f>
        <v>3360</v>
      </c>
      <c r="H53" s="22">
        <f>CHOOSE(Org!$B$16,Calc_Low!$C$119,Calc_Base!$C$119,Calc_High!$C$119)</f>
        <v>40200</v>
      </c>
      <c r="J53" s="22">
        <f>SUM(D53:H53)</f>
        <v>116557.5</v>
      </c>
    </row>
    <row r="54" spans="1:10" x14ac:dyDescent="0.3">
      <c r="A54" s="8" t="s">
        <v>11</v>
      </c>
      <c r="D54" s="44">
        <f>CHOOSE(Org!$B$16,Calc_Low!$C$28,Calc_Base!$C$28,Calc_High!$C$28)</f>
        <v>2544720.2999999998</v>
      </c>
      <c r="E54" s="44">
        <f>CHOOSE(Org!$B$16,Calc_Low!$C$55,Calc_Base!$C$55,Calc_High!$C$55)</f>
        <v>13763200.000000006</v>
      </c>
      <c r="F54" s="44">
        <f>CHOOSE(Org!$B$16,Calc_Low!$C$82,Calc_Base!$C$82,Calc_High!$C$82)</f>
        <v>2590672.5</v>
      </c>
      <c r="G54" s="44">
        <f>CHOOSE(Org!$B$16,Calc_Low!$C$109,Calc_Base!$C$109,Calc_High!$C$109)</f>
        <v>1197383.0399999993</v>
      </c>
      <c r="H54" s="44">
        <f>CHOOSE(Org!$B$16,Calc_Low!$C$136,Calc_Base!$C$136,Calc_High!$C$136)</f>
        <v>5937680.7000000039</v>
      </c>
      <c r="J54" s="44">
        <f>SUM(D54:H54)</f>
        <v>26033656.540000007</v>
      </c>
    </row>
    <row r="55" spans="1:10" x14ac:dyDescent="0.3">
      <c r="A55" s="8" t="s">
        <v>701</v>
      </c>
      <c r="D55" s="44">
        <f>D33</f>
        <v>4790801.6499999994</v>
      </c>
      <c r="E55" s="44">
        <f>E33</f>
        <v>3529280.7615999999</v>
      </c>
      <c r="F55" s="44">
        <f>F33</f>
        <v>1850472</v>
      </c>
      <c r="G55" s="44">
        <f>G33</f>
        <v>1381251.2137599995</v>
      </c>
      <c r="H55" s="44">
        <f>H33</f>
        <v>3257306.7960000001</v>
      </c>
    </row>
    <row r="56" spans="1:10" x14ac:dyDescent="0.3">
      <c r="A56" s="8" t="s">
        <v>702</v>
      </c>
      <c r="D56" s="44">
        <f>CHOOSE(Org!$B$16,Calc_Low!$B$167,Calc_Base!$B$167,Calc_High!$B$167)</f>
        <v>1052885.1949297078</v>
      </c>
      <c r="E56" s="44">
        <f>CHOOSE(Org!$B$16,Calc_Low!$C$167,Calc_Base!$C$167,Calc_High!$C$167)</f>
        <v>1285113.6044249833</v>
      </c>
      <c r="F56" s="44">
        <f>CHOOSE(Org!$B$16,Calc_Low!$D$167,Calc_Base!$D$167,Calc_High!$D$167)</f>
        <v>378316.95782438369</v>
      </c>
      <c r="G56" s="44">
        <f>CHOOSE(Org!$B$16,Calc_Low!$E$167,Calc_Base!$E$167,Calc_High!$E$167)</f>
        <v>117336.45953445499</v>
      </c>
      <c r="H56" s="44">
        <f>CHOOSE(Org!$B$16,Calc_Low!$F$167,Calc_Base!$F$167,Calc_High!$F$167)</f>
        <v>701923.4632864719</v>
      </c>
      <c r="J56" s="47">
        <f>CHOOSE(Org!$B$16,Calc_Low!$H$167,Calc_Base!$H$167,Calc_High!$H$167)</f>
        <v>3535575.680000002</v>
      </c>
    </row>
    <row r="57" spans="1:10" x14ac:dyDescent="0.3">
      <c r="A57" s="8" t="s">
        <v>703</v>
      </c>
      <c r="D57" s="44">
        <f>D55+D56</f>
        <v>5843686.8449297072</v>
      </c>
      <c r="E57" s="44">
        <f>E55+E56</f>
        <v>4814394.3660249831</v>
      </c>
      <c r="F57" s="44">
        <f>F55+F56</f>
        <v>2228788.9578243839</v>
      </c>
      <c r="G57" s="44">
        <f>G55+G56</f>
        <v>1498587.6732944546</v>
      </c>
      <c r="H57" s="44">
        <f>H55+H56</f>
        <v>3959230.2592864721</v>
      </c>
      <c r="J57" s="44">
        <f>J33</f>
        <v>18344688.101360001</v>
      </c>
    </row>
    <row r="58" spans="1:10" x14ac:dyDescent="0.3">
      <c r="A58" s="8" t="s">
        <v>704</v>
      </c>
      <c r="D58" s="44">
        <f>D54-D57</f>
        <v>-3298966.5449297074</v>
      </c>
      <c r="E58" s="44">
        <f>E54-E57</f>
        <v>8948805.6339750215</v>
      </c>
      <c r="F58" s="44">
        <f>F54-F57</f>
        <v>361883.54217561614</v>
      </c>
      <c r="G58" s="44">
        <f>G54-G57</f>
        <v>-301204.63329445524</v>
      </c>
      <c r="H58" s="44">
        <f>H54-H57</f>
        <v>1978450.4407135318</v>
      </c>
      <c r="J58" s="44">
        <f>J54-J57</f>
        <v>7688968.4386400059</v>
      </c>
    </row>
    <row r="59" spans="1:10" x14ac:dyDescent="0.3">
      <c r="A59" s="8" t="s">
        <v>13</v>
      </c>
      <c r="D59" s="22" t="str">
        <f>IF(Teams!$C$5=0,"n/a",CHOOSE(Org!$B$16,Calc_Low!$C$33,Calc_Base!$C$33,Calc_High!$C$33))</f>
        <v>None</v>
      </c>
      <c r="E59" s="22">
        <f>IF(Teams!$D$5=0,"n/a",CHOOSE(Org!$B$16,Calc_Low!$C$60,Calc_Base!$C$60,Calc_High!$C$60))</f>
        <v>3</v>
      </c>
      <c r="F59" s="22">
        <f>IF(Teams!$E$5=0,"n/a",CHOOSE(Org!$B$16,Calc_Low!$C$87,Calc_Base!$C$87,Calc_High!$C$87))</f>
        <v>14</v>
      </c>
      <c r="G59" s="22" t="str">
        <f>IF(Teams!$F$5=0,"n/a",CHOOSE(Org!$B$16,Calc_Low!$C$114,Calc_Base!$C$114,Calc_High!$C$114))</f>
        <v>None</v>
      </c>
      <c r="H59" s="22">
        <f>IF(Teams!$G$5=0,"n/a",CHOOSE(Org!$B$16,Calc_Low!$C$141,Calc_Base!$C$141,Calc_High!$C$141))</f>
        <v>13</v>
      </c>
      <c r="J59" s="22">
        <f>CHOOSE(Org!$B$16,Calc_Low!$C$179,Calc_Base!$C$179,Calc_High!$C$179)</f>
        <v>12</v>
      </c>
    </row>
    <row r="60" spans="1:10" x14ac:dyDescent="0.3">
      <c r="A60" s="8" t="s">
        <v>14</v>
      </c>
      <c r="D60" s="25">
        <f>IF(D52=0,0,D57/D52)</f>
        <v>1.6151704933470723</v>
      </c>
      <c r="E60" s="25">
        <f>IF(E52=0,0,E57/E52)</f>
        <v>1.0902161154947878</v>
      </c>
      <c r="F60" s="25">
        <f>IF(F52=0,0,F57/F52)</f>
        <v>1.7144530444802952</v>
      </c>
      <c r="G60" s="25">
        <f>IF(G52=0,0,G57/G52)</f>
        <v>3.7167353008295003</v>
      </c>
      <c r="H60" s="25">
        <f>IF(H52=0,0,H57/H52)</f>
        <v>1.6414719151270614</v>
      </c>
      <c r="J60" s="25">
        <f>IF(J52=0,0,J57/J52)</f>
        <v>1.5099502931353506</v>
      </c>
    </row>
    <row r="61" spans="1:10" x14ac:dyDescent="0.3">
      <c r="A61" s="8" t="s">
        <v>705</v>
      </c>
      <c r="D61" s="25">
        <f>IF(Teams!$C$23="direct volume","n/a",IF(D53=0,0,D57/D53))</f>
        <v>96.910229600824337</v>
      </c>
      <c r="E61" s="25">
        <f>IF(Teams!$D$23="direct volume","n/a",IF(E53=0,0,E57/E53))</f>
        <v>436.08644619791517</v>
      </c>
      <c r="F61" s="25" t="str">
        <f>IF(Teams!$E$23="direct volume","n/a",IF(F53=0,0,F57/F53))</f>
        <v>n/a</v>
      </c>
      <c r="G61" s="25">
        <f>IF(Teams!$F$23="direct volume","n/a",IF(G53=0,0,G57/G53))</f>
        <v>446.00823609954006</v>
      </c>
      <c r="H61" s="25">
        <f>IF(Teams!$G$23="direct volume","n/a",IF(H53=0,0,H57/H53))</f>
        <v>98.488314907623689</v>
      </c>
      <c r="J61" s="25">
        <f>IF(SUMPRODUCT((Teams!$C$23:$G$23="per user")*D53:H53)=0,0,SUMPRODUCT((Teams!$C$23:$G$23="per user")*D57:H57)/SUMPRODUCT((Teams!$C$23:$G$23="per user")*D53:H53))</f>
        <v>140.26021882972688</v>
      </c>
    </row>
    <row r="62" spans="1:10" x14ac:dyDescent="0.3">
      <c r="A62" s="8" t="s">
        <v>15</v>
      </c>
      <c r="D62" s="25">
        <f>IF(D52=0,0,D54/D52)</f>
        <v>0.70334999999999992</v>
      </c>
      <c r="E62" s="25">
        <f>IF(E52=0,0,E54/E52)</f>
        <v>3.116666666666668</v>
      </c>
      <c r="F62" s="25">
        <f>IF(F52=0,0,F54/F52)</f>
        <v>1.9928250000000001</v>
      </c>
      <c r="G62" s="25">
        <f>IF(G52=0,0,G54/G52)</f>
        <v>2.9696999999999982</v>
      </c>
      <c r="H62" s="25">
        <f>IF(H52=0,0,H54/H52)</f>
        <v>2.4617250000000017</v>
      </c>
      <c r="J62" s="25">
        <f>IF(J52=0,0,J54/J52)</f>
        <v>2.1428288726829754</v>
      </c>
    </row>
    <row r="63" spans="1:10" x14ac:dyDescent="0.3">
      <c r="A63" s="8" t="s">
        <v>706</v>
      </c>
      <c r="J63" s="44">
        <f>CHOOSE(Org!$B$16,Calc_Low!$C$180,Calc_Base!$C$180,Calc_High!$C$180)</f>
        <v>458413.6008966667</v>
      </c>
    </row>
    <row r="64" spans="1:10" x14ac:dyDescent="0.3">
      <c r="A64" s="8" t="s">
        <v>707</v>
      </c>
      <c r="J64" s="44">
        <f>CHOOSE(Org!$B$16,Calc_Low!$G$167,Calc_Base!$G$167,Calc_High!$G$167)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/>
  </sheetViews>
  <sheetFormatPr defaultRowHeight="14.4" x14ac:dyDescent="0.3"/>
  <cols>
    <col min="1" max="1" width="34" customWidth="1"/>
    <col min="2" max="3" width="18" customWidth="1"/>
    <col min="4" max="4" width="24" customWidth="1"/>
    <col min="5" max="5" width="22" customWidth="1"/>
  </cols>
  <sheetData>
    <row r="1" spans="1:5" ht="17.399999999999999" x14ac:dyDescent="0.3">
      <c r="A1" s="5" t="s">
        <v>708</v>
      </c>
    </row>
    <row r="2" spans="1:5" x14ac:dyDescent="0.3">
      <c r="A2" s="18" t="s">
        <v>709</v>
      </c>
    </row>
    <row r="3" spans="1:5" x14ac:dyDescent="0.3">
      <c r="A3" s="19" t="s">
        <v>710</v>
      </c>
      <c r="B3" s="19" t="s">
        <v>261</v>
      </c>
      <c r="C3" s="19" t="s">
        <v>84</v>
      </c>
      <c r="D3" s="19" t="s">
        <v>711</v>
      </c>
      <c r="E3" s="19" t="s">
        <v>712</v>
      </c>
    </row>
    <row r="4" spans="1:5" x14ac:dyDescent="0.3">
      <c r="A4" s="8" t="s">
        <v>21</v>
      </c>
      <c r="B4" s="44">
        <f>Calc_Low!$C$18+Calc_Low!$C$19+Calc_Low!$C$24+Calc_Low!$C$25+Calc_Low!$C$45+Calc_Low!$C$46+Calc_Low!$C$51+Calc_Low!$C$52+Calc_Low!$C$72+Calc_Low!$C$73+Calc_Low!$C$78+Calc_Low!$C$79+Calc_Low!$C$99+Calc_Low!$C$100+Calc_Low!$C$105+Calc_Low!$C$106+Calc_Low!$C$126+Calc_Low!$C$127+Calc_Low!$C$132+Calc_Low!$C$133+Calc_Low!$B$170*(Calc_Low!$C$146+Calc_Low!$C$150)</f>
        <v>165853.99733333333</v>
      </c>
      <c r="C4" s="44">
        <f>Calc_Base!$C$18+Calc_Base!$C$19+Calc_Base!$C$24+Calc_Base!$C$25+Calc_Base!$C$45+Calc_Base!$C$46+Calc_Base!$C$51+Calc_Base!$C$52+Calc_Base!$C$72+Calc_Base!$C$73+Calc_Base!$C$78+Calc_Base!$C$79+Calc_Base!$C$99+Calc_Base!$C$100+Calc_Base!$C$105+Calc_Base!$C$106+Calc_Base!$C$126+Calc_Base!$C$127+Calc_Base!$C$132+Calc_Base!$C$133+Calc_Base!$B$170*(Calc_Base!$C$146+Calc_Base!$C$150)</f>
        <v>360937.88800000004</v>
      </c>
      <c r="D4" s="44">
        <f>Calc_High!$C$18+Calc_High!$C$19+Calc_High!$C$24+Calc_High!$C$25+Calc_High!$C$45+Calc_High!$C$46+Calc_High!$C$51+Calc_High!$C$52+Calc_High!$C$72+Calc_High!$C$73+Calc_High!$C$78+Calc_High!$C$79+Calc_High!$C$99+Calc_High!$C$100+Calc_High!$C$105+Calc_High!$C$106+Calc_High!$C$126+Calc_High!$C$127+Calc_High!$C$132+Calc_High!$C$133+Calc_High!$B$170*(Calc_High!$C$146+Calc_High!$C$150)</f>
        <v>1012894.8386666665</v>
      </c>
      <c r="E4" s="8" t="str">
        <f t="shared" ref="E4:E9" si="0">IF(AND(B4&lt;=C4,C4&lt;=D4),"OK","CHECK")</f>
        <v>OK</v>
      </c>
    </row>
    <row r="5" spans="1:5" x14ac:dyDescent="0.3">
      <c r="A5" s="8" t="s">
        <v>22</v>
      </c>
      <c r="B5" s="44">
        <f>Calc_Low!$C$17+Calc_Low!$C$26+Calc_Low!$C$44+Calc_Low!$C$53+Calc_Low!$C$71+Calc_Low!$C$80+Calc_Low!$C$98+Calc_Low!$C$107+Calc_Low!$C$125+Calc_Low!$C$134+Calc_Low!$B$170*(Calc_Low!$C$145+Calc_Low!$C$147+Calc_Low!$C$148+Calc_Low!$C$149+Calc_Low!$C$151+Calc_Low!$C$152)</f>
        <v>207400</v>
      </c>
      <c r="C5" s="44">
        <f>Calc_Base!$C$17+Calc_Base!$C$26+Calc_Base!$C$44+Calc_Base!$C$53+Calc_Base!$C$71+Calc_Base!$C$80+Calc_Base!$C$98+Calc_Base!$C$107+Calc_Base!$C$125+Calc_Base!$C$134+Calc_Base!$B$170*(Calc_Base!$C$145+Calc_Base!$C$147+Calc_Base!$C$148+Calc_Base!$C$149+Calc_Base!$C$151+Calc_Base!$C$152)</f>
        <v>537600</v>
      </c>
      <c r="D5" s="44">
        <f>Calc_High!$C$17+Calc_High!$C$26+Calc_High!$C$44+Calc_High!$C$53+Calc_High!$C$71+Calc_High!$C$80+Calc_High!$C$98+Calc_High!$C$107+Calc_High!$C$125+Calc_High!$C$134+Calc_High!$B$170*(Calc_High!$C$145+Calc_High!$C$147+Calc_High!$C$148+Calc_High!$C$149+Calc_High!$C$151+Calc_High!$C$152)</f>
        <v>1744000</v>
      </c>
      <c r="E5" s="8" t="str">
        <f t="shared" si="0"/>
        <v>OK</v>
      </c>
    </row>
    <row r="6" spans="1:5" x14ac:dyDescent="0.3">
      <c r="A6" s="8" t="s">
        <v>23</v>
      </c>
      <c r="B6" s="44">
        <f>Calc_Low!$C$13+Calc_Low!$C$14+Calc_Low!$C$15+Calc_Low!$C$16+Calc_Low!$C$40+Calc_Low!$C$41+Calc_Low!$C$42+Calc_Low!$C$43+Calc_Low!$C$67+Calc_Low!$C$68+Calc_Low!$C$69+Calc_Low!$C$70+Calc_Low!$C$94+Calc_Low!$C$95+Calc_Low!$C$96+Calc_Low!$C$97+Calc_Low!$C$121+Calc_Low!$C$122+Calc_Low!$C$123+Calc_Low!$C$124</f>
        <v>6891321.5259840004</v>
      </c>
      <c r="C6" s="44">
        <f>Calc_Base!$C$13+Calc_Base!$C$14+Calc_Base!$C$15+Calc_Base!$C$16+Calc_Base!$C$40+Calc_Base!$C$41+Calc_Base!$C$42+Calc_Base!$C$43+Calc_Base!$C$67+Calc_Base!$C$68+Calc_Base!$C$69+Calc_Base!$C$70+Calc_Base!$C$94+Calc_Base!$C$95+Calc_Base!$C$96+Calc_Base!$C$97+Calc_Base!$C$121+Calc_Base!$C$122+Calc_Base!$C$123+Calc_Base!$C$124</f>
        <v>7420930.9833600009</v>
      </c>
      <c r="D6" s="44">
        <f>Calc_High!$C$13+Calc_High!$C$14+Calc_High!$C$15+Calc_High!$C$16+Calc_High!$C$40+Calc_High!$C$41+Calc_High!$C$42+Calc_High!$C$43+Calc_High!$C$67+Calc_High!$C$68+Calc_High!$C$69+Calc_High!$C$70+Calc_High!$C$94+Calc_High!$C$95+Calc_High!$C$96+Calc_High!$C$97+Calc_High!$C$121+Calc_High!$C$122+Calc_High!$C$123+Calc_High!$C$124</f>
        <v>11634867.9504</v>
      </c>
      <c r="E6" s="8" t="str">
        <f t="shared" si="0"/>
        <v>OK</v>
      </c>
    </row>
    <row r="7" spans="1:5" x14ac:dyDescent="0.3">
      <c r="A7" s="8" t="s">
        <v>24</v>
      </c>
      <c r="B7" s="44">
        <f>Calc_Low!$C$20+Calc_Low!$C$21+Calc_Low!$C$47+Calc_Low!$C$48+Calc_Low!$C$74+Calc_Low!$C$75+Calc_Low!$C$101+Calc_Low!$C$102+Calc_Low!$C$128+Calc_Low!$C$129+Calc_Low!$B$170*(Calc_Low!$C$153+Calc_Low!$C$154+Calc_Low!$C$155+Calc_Low!$C$156+Calc_Low!$C$157)</f>
        <v>1980275.0550000002</v>
      </c>
      <c r="C7" s="44">
        <f>Calc_Base!$C$20+Calc_Base!$C$21+Calc_Base!$C$47+Calc_Base!$C$48+Calc_Base!$C$74+Calc_Base!$C$75+Calc_Base!$C$101+Calc_Base!$C$102+Calc_Base!$C$128+Calc_Base!$C$129+Calc_Base!$B$170*(Calc_Base!$C$153+Calc_Base!$C$154+Calc_Base!$C$155+Calc_Base!$C$156+Calc_Base!$C$157)</f>
        <v>4114050.6800000006</v>
      </c>
      <c r="D7" s="44">
        <f>Calc_High!$C$20+Calc_High!$C$21+Calc_High!$C$47+Calc_High!$C$48+Calc_High!$C$74+Calc_High!$C$75+Calc_High!$C$101+Calc_High!$C$102+Calc_High!$C$128+Calc_High!$C$129+Calc_High!$B$170*(Calc_High!$C$153+Calc_High!$C$154+Calc_High!$C$155+Calc_High!$C$156+Calc_High!$C$157)</f>
        <v>15856425.679999996</v>
      </c>
      <c r="E7" s="8" t="str">
        <f t="shared" si="0"/>
        <v>OK</v>
      </c>
    </row>
    <row r="8" spans="1:5" x14ac:dyDescent="0.3">
      <c r="A8" s="8" t="s">
        <v>25</v>
      </c>
      <c r="B8" s="44">
        <f>Calc_Low!$C$22+Calc_Low!$C$23+Calc_Low!$C$27+Calc_Low!$C$49+Calc_Low!$C$50+Calc_Low!$C$54+Calc_Low!$C$76+Calc_Low!$C$77+Calc_Low!$C$81+Calc_Low!$C$103+Calc_Low!$C$104+Calc_Low!$C$108+Calc_Low!$C$130+Calc_Low!$C$131+Calc_Low!$C$135</f>
        <v>2284314.8500000006</v>
      </c>
      <c r="C8" s="44">
        <f>Calc_Base!$C$22+Calc_Base!$C$23+Calc_Base!$C$27+Calc_Base!$C$49+Calc_Base!$C$50+Calc_Base!$C$54+Calc_Base!$C$76+Calc_Base!$C$77+Calc_Base!$C$81+Calc_Base!$C$103+Calc_Base!$C$104+Calc_Base!$C$108+Calc_Base!$C$130+Calc_Base!$C$131+Calc_Base!$C$135</f>
        <v>5911168.549999998</v>
      </c>
      <c r="D8" s="44">
        <f>Calc_High!$C$22+Calc_High!$C$23+Calc_High!$C$27+Calc_High!$C$49+Calc_High!$C$50+Calc_High!$C$54+Calc_High!$C$76+Calc_High!$C$77+Calc_High!$C$81+Calc_High!$C$103+Calc_High!$C$104+Calc_High!$C$108+Calc_High!$C$130+Calc_High!$C$131+Calc_High!$C$135</f>
        <v>19377365.399999995</v>
      </c>
      <c r="E8" s="8" t="str">
        <f t="shared" si="0"/>
        <v>OK</v>
      </c>
    </row>
    <row r="9" spans="1:5" x14ac:dyDescent="0.3">
      <c r="A9" s="38" t="s">
        <v>10</v>
      </c>
      <c r="B9" s="45">
        <f>SUM(B4:B8)</f>
        <v>11529165.428317335</v>
      </c>
      <c r="C9" s="45">
        <f>SUM(C4:C8)</f>
        <v>18344688.101360001</v>
      </c>
      <c r="D9" s="45">
        <f>SUM(D4:D8)</f>
        <v>49625553.869066656</v>
      </c>
      <c r="E9" s="8" t="str">
        <f t="shared" si="0"/>
        <v>OK</v>
      </c>
    </row>
    <row r="10" spans="1:5" x14ac:dyDescent="0.3">
      <c r="A10" s="8" t="s">
        <v>11</v>
      </c>
      <c r="B10" s="13">
        <f>Calc_Low!$C$174</f>
        <v>26033656.540000007</v>
      </c>
      <c r="C10" s="13">
        <f>Calc_Base!$C$174</f>
        <v>26033656.540000007</v>
      </c>
      <c r="D10" s="13">
        <f>Calc_High!$C$174</f>
        <v>26033656.540000007</v>
      </c>
    </row>
    <row r="11" spans="1:5" x14ac:dyDescent="0.3">
      <c r="A11" s="8" t="s">
        <v>12</v>
      </c>
      <c r="B11" s="44">
        <f>B10-B9</f>
        <v>14504491.111682672</v>
      </c>
      <c r="C11" s="44">
        <f>C10-C9</f>
        <v>7688968.4386400059</v>
      </c>
      <c r="D11" s="44">
        <f>D10-D9</f>
        <v>-23591897.329066649</v>
      </c>
    </row>
    <row r="12" spans="1:5" x14ac:dyDescent="0.3">
      <c r="A12" s="8" t="s">
        <v>13</v>
      </c>
      <c r="B12" s="14">
        <f>Calc_Low!$C$179</f>
        <v>6</v>
      </c>
      <c r="C12" s="14">
        <f>Calc_Base!$C$179</f>
        <v>12</v>
      </c>
      <c r="D12" s="14" t="str">
        <f>Calc_High!$C$179</f>
        <v>None</v>
      </c>
    </row>
    <row r="13" spans="1:5" x14ac:dyDescent="0.3">
      <c r="A13" s="8" t="s">
        <v>14</v>
      </c>
      <c r="B13" s="25">
        <f>IF((Calc_Low!$C$12+Calc_Low!$C$39+Calc_Low!$C$66+Calc_Low!$C$93+Calc_Low!$C$120)=0,0,B9/(Calc_Low!$C$12+Calc_Low!$C$39+Calc_Low!$C$66+Calc_Low!$C$93+Calc_Low!$C$120))</f>
        <v>0.94896498767962778</v>
      </c>
      <c r="C13" s="25">
        <f>IF((Calc_Base!$C$12+Calc_Base!$C$39+Calc_Base!$C$66+Calc_Base!$C$93+Calc_Base!$C$120)=0,0,C9/(Calc_Base!$C$12+Calc_Base!$C$39+Calc_Base!$C$66+Calc_Base!$C$93+Calc_Base!$C$120))</f>
        <v>1.5099502931353506</v>
      </c>
      <c r="D13" s="25">
        <f>IF((Calc_High!$C$12+Calc_High!$C$39+Calc_High!$C$66+Calc_High!$C$93+Calc_High!$C$120)=0,0,D9/(Calc_High!$C$12+Calc_High!$C$39+Calc_High!$C$66+Calc_High!$C$93+Calc_High!$C$120))</f>
        <v>4.0846766757536841</v>
      </c>
    </row>
    <row r="15" spans="1:5" x14ac:dyDescent="0.3">
      <c r="A15" s="18" t="s">
        <v>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workbookViewId="0"/>
  </sheetViews>
  <sheetFormatPr defaultRowHeight="14.4" x14ac:dyDescent="0.3"/>
  <cols>
    <col min="1" max="1" width="62" customWidth="1"/>
    <col min="2" max="2" width="30" customWidth="1"/>
    <col min="3" max="4" width="12" customWidth="1"/>
    <col min="5" max="6" width="18" customWidth="1"/>
    <col min="7" max="7" width="16" customWidth="1"/>
    <col min="8" max="8" width="8" customWidth="1"/>
    <col min="9" max="10" width="12" customWidth="1"/>
    <col min="11" max="11" width="14" customWidth="1"/>
    <col min="12" max="12" width="22" customWidth="1"/>
  </cols>
  <sheetData>
    <row r="1" spans="1:12" ht="17.399999999999999" x14ac:dyDescent="0.3">
      <c r="A1" s="5" t="s">
        <v>714</v>
      </c>
    </row>
    <row r="2" spans="1:12" x14ac:dyDescent="0.3">
      <c r="A2" s="18" t="s">
        <v>715</v>
      </c>
    </row>
    <row r="4" spans="1:12" x14ac:dyDescent="0.3">
      <c r="A4" s="8" t="s">
        <v>716</v>
      </c>
      <c r="B4" s="13">
        <f>Results!$J$54</f>
        <v>26033656.540000007</v>
      </c>
    </row>
    <row r="5" spans="1:12" x14ac:dyDescent="0.3">
      <c r="A5" s="8" t="s">
        <v>10</v>
      </c>
      <c r="B5" s="13">
        <f>Results!$J$57</f>
        <v>18344688.101360001</v>
      </c>
    </row>
    <row r="6" spans="1:12" x14ac:dyDescent="0.3">
      <c r="A6" s="8" t="s">
        <v>717</v>
      </c>
      <c r="B6" s="44">
        <f>B4-B5</f>
        <v>7688968.4386400059</v>
      </c>
    </row>
    <row r="7" spans="1:12" x14ac:dyDescent="0.3">
      <c r="A7" s="8" t="s">
        <v>718</v>
      </c>
      <c r="B7" s="13">
        <f>SUM(Results!D6:H6)</f>
        <v>798310.50336000067</v>
      </c>
    </row>
    <row r="8" spans="1:12" x14ac:dyDescent="0.3">
      <c r="A8" s="8" t="s">
        <v>719</v>
      </c>
      <c r="B8" s="13">
        <f>SUM(Results!D14:H14)</f>
        <v>4027616.5499999984</v>
      </c>
    </row>
    <row r="9" spans="1:12" x14ac:dyDescent="0.3">
      <c r="A9" s="8" t="s">
        <v>720</v>
      </c>
      <c r="B9" s="13">
        <f>SUM(Results!D6:H6)+SUM(Results!D7:H7)+SUM(Results!D8:H8)+SUM(Results!D14:H14)</f>
        <v>6120547.5333599988</v>
      </c>
    </row>
    <row r="10" spans="1:12" x14ac:dyDescent="0.3">
      <c r="A10" s="8" t="s">
        <v>721</v>
      </c>
      <c r="B10" s="13">
        <f>Results!D45+SUM(Results!D13:H13)+Results!J30</f>
        <v>6822687</v>
      </c>
    </row>
    <row r="12" spans="1:12" ht="39.6" x14ac:dyDescent="0.3">
      <c r="A12" s="48" t="s">
        <v>722</v>
      </c>
      <c r="B12" s="48" t="s">
        <v>723</v>
      </c>
      <c r="C12" s="48" t="s">
        <v>724</v>
      </c>
      <c r="D12" s="48" t="s">
        <v>725</v>
      </c>
      <c r="E12" s="48" t="s">
        <v>726</v>
      </c>
      <c r="F12" s="48" t="s">
        <v>727</v>
      </c>
      <c r="G12" s="48" t="s">
        <v>728</v>
      </c>
      <c r="H12" s="48" t="s">
        <v>729</v>
      </c>
      <c r="I12" s="48" t="s">
        <v>730</v>
      </c>
      <c r="J12" s="48" t="s">
        <v>731</v>
      </c>
      <c r="K12" s="48" t="s">
        <v>732</v>
      </c>
      <c r="L12" s="48" t="s">
        <v>733</v>
      </c>
    </row>
    <row r="13" spans="1:12" x14ac:dyDescent="0.3">
      <c r="A13" s="8" t="s">
        <v>411</v>
      </c>
      <c r="B13" s="44">
        <f>$B$4</f>
        <v>26033656.540000007</v>
      </c>
      <c r="C13" s="31">
        <v>0.5</v>
      </c>
      <c r="D13" s="31">
        <v>1.5</v>
      </c>
      <c r="E13" s="44">
        <f t="shared" ref="E13:E19" si="0">$B$6+(C13-1)*B13</f>
        <v>-5327859.8313599974</v>
      </c>
      <c r="F13" s="44">
        <f t="shared" ref="F13:F19" si="1">$B$6+(D13-1)*B13</f>
        <v>20705796.708640009</v>
      </c>
      <c r="G13" s="44">
        <f t="shared" ref="G13:G19" si="2">ABS(F13-E13)</f>
        <v>26033656.540000007</v>
      </c>
      <c r="H13" s="22">
        <f>RANK(G13,$G$13:$G$19)+COUNTIF($G$13:G13,G13)-1</f>
        <v>1</v>
      </c>
      <c r="I13" s="37">
        <f t="shared" ref="I13:I19" si="3">IF(B13=0,"n/a",1-$B$6/B13)</f>
        <v>0.70465276643616637</v>
      </c>
      <c r="J13" s="46">
        <f t="shared" ref="J13:J19" si="4">IF(B13=0,1000000000,$B$6/ABS(B13))</f>
        <v>0.29534723356383358</v>
      </c>
      <c r="K13" s="8" t="str">
        <f t="shared" ref="K13:K19" si="5">IF(B13&gt;0,"can fall by","can rise by")</f>
        <v>can fall by</v>
      </c>
      <c r="L13" s="46">
        <f>I13*INDEX(Params!$D$41:$F$41,Org!$B$17)</f>
        <v>0.35232638321808318</v>
      </c>
    </row>
    <row r="14" spans="1:12" x14ac:dyDescent="0.3">
      <c r="A14" s="8" t="s">
        <v>228</v>
      </c>
      <c r="B14" s="44">
        <f>$B$4</f>
        <v>26033656.540000007</v>
      </c>
      <c r="C14" s="31">
        <v>0.5</v>
      </c>
      <c r="D14" s="31">
        <v>1.5</v>
      </c>
      <c r="E14" s="44">
        <f t="shared" si="0"/>
        <v>-5327859.8313599974</v>
      </c>
      <c r="F14" s="44">
        <f t="shared" si="1"/>
        <v>20705796.708640009</v>
      </c>
      <c r="G14" s="44">
        <f t="shared" si="2"/>
        <v>26033656.540000007</v>
      </c>
      <c r="H14" s="22">
        <f>RANK(G14,$G$13:$G$19)+COUNTIF($G$13:G14,G14)-1</f>
        <v>2</v>
      </c>
      <c r="I14" s="37">
        <f t="shared" si="3"/>
        <v>0.70465276643616637</v>
      </c>
      <c r="J14" s="46">
        <f t="shared" si="4"/>
        <v>0.29534723356383358</v>
      </c>
      <c r="K14" s="8" t="str">
        <f t="shared" si="5"/>
        <v>can fall by</v>
      </c>
    </row>
    <row r="15" spans="1:12" x14ac:dyDescent="0.3">
      <c r="A15" s="8" t="s">
        <v>231</v>
      </c>
      <c r="B15" s="44">
        <f>$B$4</f>
        <v>26033656.540000007</v>
      </c>
      <c r="C15" s="31">
        <v>0.8</v>
      </c>
      <c r="D15" s="31">
        <v>1.1000000000000001</v>
      </c>
      <c r="E15" s="44">
        <f t="shared" si="0"/>
        <v>2482237.1306400057</v>
      </c>
      <c r="F15" s="44">
        <f t="shared" si="1"/>
        <v>10292334.092640009</v>
      </c>
      <c r="G15" s="44">
        <f t="shared" si="2"/>
        <v>7810096.9620000031</v>
      </c>
      <c r="H15" s="22">
        <f>RANK(G15,$G$13:$G$19)+COUNTIF($G$13:G15,G15)-1</f>
        <v>5</v>
      </c>
      <c r="I15" s="37">
        <f t="shared" si="3"/>
        <v>0.70465276643616637</v>
      </c>
      <c r="J15" s="46">
        <f t="shared" si="4"/>
        <v>0.29534723356383358</v>
      </c>
      <c r="K15" s="8" t="str">
        <f t="shared" si="5"/>
        <v>can fall by</v>
      </c>
    </row>
    <row r="16" spans="1:12" x14ac:dyDescent="0.3">
      <c r="A16" s="8" t="s">
        <v>734</v>
      </c>
      <c r="B16" s="44">
        <f>$B$4-$B$9</f>
        <v>19913109.00664001</v>
      </c>
      <c r="C16" s="31">
        <v>0.7</v>
      </c>
      <c r="D16" s="31">
        <v>1.3</v>
      </c>
      <c r="E16" s="44">
        <f t="shared" si="0"/>
        <v>1715035.7366480017</v>
      </c>
      <c r="F16" s="44">
        <f t="shared" si="1"/>
        <v>13662901.140632011</v>
      </c>
      <c r="G16" s="44">
        <f t="shared" si="2"/>
        <v>11947865.40398401</v>
      </c>
      <c r="H16" s="22">
        <f>RANK(G16,$G$13:$G$19)+COUNTIF($G$13:G16,G16)-1</f>
        <v>3</v>
      </c>
      <c r="I16" s="37">
        <f t="shared" si="3"/>
        <v>0.6138740346333601</v>
      </c>
      <c r="J16" s="46">
        <f t="shared" si="4"/>
        <v>0.3861259653666399</v>
      </c>
      <c r="K16" s="8" t="str">
        <f t="shared" si="5"/>
        <v>can fall by</v>
      </c>
    </row>
    <row r="17" spans="1:11" x14ac:dyDescent="0.3">
      <c r="A17" s="8" t="s">
        <v>735</v>
      </c>
      <c r="B17" s="44">
        <f>-$B$7</f>
        <v>-798310.50336000067</v>
      </c>
      <c r="C17" s="31">
        <v>0.7</v>
      </c>
      <c r="D17" s="31">
        <v>1.5</v>
      </c>
      <c r="E17" s="44">
        <f t="shared" si="0"/>
        <v>7928461.5896480065</v>
      </c>
      <c r="F17" s="44">
        <f t="shared" si="1"/>
        <v>7289813.1869600052</v>
      </c>
      <c r="G17" s="44">
        <f t="shared" si="2"/>
        <v>638648.40268800128</v>
      </c>
      <c r="H17" s="22">
        <f>RANK(G17,$G$13:$G$19)+COUNTIF($G$13:G17,G17)-1</f>
        <v>7</v>
      </c>
      <c r="I17" s="37">
        <f t="shared" si="3"/>
        <v>10.631551139911084</v>
      </c>
      <c r="J17" s="46">
        <f t="shared" si="4"/>
        <v>9.6315511399110836</v>
      </c>
      <c r="K17" s="8" t="str">
        <f t="shared" si="5"/>
        <v>can rise by</v>
      </c>
    </row>
    <row r="18" spans="1:11" x14ac:dyDescent="0.3">
      <c r="A18" s="8" t="s">
        <v>736</v>
      </c>
      <c r="B18" s="44">
        <f>-$B$8</f>
        <v>-4027616.5499999984</v>
      </c>
      <c r="C18" s="31">
        <v>0.66666666666666663</v>
      </c>
      <c r="D18" s="31">
        <v>2</v>
      </c>
      <c r="E18" s="44">
        <f t="shared" si="0"/>
        <v>9031507.2886400055</v>
      </c>
      <c r="F18" s="44">
        <f t="shared" si="1"/>
        <v>3661351.8886400075</v>
      </c>
      <c r="G18" s="44">
        <f t="shared" si="2"/>
        <v>5370155.3999999985</v>
      </c>
      <c r="H18" s="22">
        <f>RANK(G18,$G$13:$G$19)+COUNTIF($G$13:G18,G18)-1</f>
        <v>6</v>
      </c>
      <c r="I18" s="37">
        <f t="shared" si="3"/>
        <v>2.9090616852887869</v>
      </c>
      <c r="J18" s="46">
        <f t="shared" si="4"/>
        <v>1.9090616852887867</v>
      </c>
      <c r="K18" s="8" t="str">
        <f t="shared" si="5"/>
        <v>can rise by</v>
      </c>
    </row>
    <row r="19" spans="1:11" x14ac:dyDescent="0.3">
      <c r="A19" s="8" t="s">
        <v>737</v>
      </c>
      <c r="B19" s="44">
        <f>-$B$10</f>
        <v>-6822687</v>
      </c>
      <c r="C19" s="31">
        <v>0.5</v>
      </c>
      <c r="D19" s="31">
        <v>2</v>
      </c>
      <c r="E19" s="44">
        <f t="shared" si="0"/>
        <v>11100311.938640006</v>
      </c>
      <c r="F19" s="44">
        <f t="shared" si="1"/>
        <v>866281.43864000589</v>
      </c>
      <c r="G19" s="44">
        <f t="shared" si="2"/>
        <v>10234030.5</v>
      </c>
      <c r="H19" s="22">
        <f>RANK(G19,$G$13:$G$19)+COUNTIF($G$13:G19,G19)-1</f>
        <v>4</v>
      </c>
      <c r="I19" s="37">
        <f t="shared" si="3"/>
        <v>2.1269707138316627</v>
      </c>
      <c r="J19" s="46">
        <f t="shared" si="4"/>
        <v>1.1269707138316627</v>
      </c>
      <c r="K19" s="8" t="str">
        <f t="shared" si="5"/>
        <v>can rise by</v>
      </c>
    </row>
    <row r="22" spans="1:11" x14ac:dyDescent="0.3">
      <c r="A22" s="7" t="s">
        <v>738</v>
      </c>
    </row>
    <row r="23" spans="1:11" x14ac:dyDescent="0.3">
      <c r="A23" s="8" t="s">
        <v>722</v>
      </c>
      <c r="B23" s="38" t="str">
        <f>IF($B$6&lt;=0,"Net value is already zero or negative",INDEX($A$13:$A$19,MATCH(MIN($J$13:$J$19),$J$13:$J$19,0)))</f>
        <v>Realisation share of self-reported time saved</v>
      </c>
    </row>
    <row r="24" spans="1:11" x14ac:dyDescent="0.3">
      <c r="A24" s="8" t="s">
        <v>739</v>
      </c>
      <c r="B24" s="8" t="str">
        <f>IF($B$6&lt;=0,"Nothing to erode in this scenario",INDEX($K$13:$K$19,MATCH(MIN($J$13:$J$19),$J$13:$J$19,0))&amp;" "&amp;TEXT(MIN($J$13:$J$19),"0%")&amp;" before net value reaches zero (break-even multiplier "&amp;TEXT(INDEX($I$13:$I$19,MATCH(MIN($J$13:$J$19),$J$13:$J$19,0)),"0.00")&amp;"x)")</f>
        <v>can fall by 30% before net value reaches zero (break-even multiplier 0.70x)</v>
      </c>
    </row>
    <row r="26" spans="1:11" x14ac:dyDescent="0.3">
      <c r="A26" s="7" t="s">
        <v>740</v>
      </c>
    </row>
    <row r="27" spans="1:11" x14ac:dyDescent="0.3">
      <c r="A27" s="8" t="s">
        <v>741</v>
      </c>
      <c r="B27" s="8" t="str">
        <f>INDEX($A$13:$A$19,MATCH(1,$H$13:$H$19,0))&amp;" (swing "&amp;TEXT(INDEX($G$13:$G$19,MATCH(1,$H$13:$H$19,0)),"$#,##0")&amp;")"</f>
        <v>Realisation share of self-reported time saved (swing $26,033,657)</v>
      </c>
    </row>
    <row r="28" spans="1:11" x14ac:dyDescent="0.3">
      <c r="A28" s="8" t="s">
        <v>742</v>
      </c>
      <c r="B28" s="8" t="str">
        <f>INDEX($A$13:$A$19,MATCH(2,$H$13:$H$19,0))&amp;" (swing "&amp;TEXT(INDEX($G$13:$G$19,MATCH(2,$H$13:$H$19,0)),"$#,##0")&amp;")"</f>
        <v>Minutes saved per outcome (swing $26,033,657)</v>
      </c>
    </row>
    <row r="29" spans="1:11" x14ac:dyDescent="0.3">
      <c r="A29" s="8" t="s">
        <v>743</v>
      </c>
      <c r="B29" s="8" t="str">
        <f>INDEX($A$13:$A$19,MATCH(3,$H$13:$H$19,0))&amp;" (swing "&amp;TEXT(INDEX($G$13:$G$19,MATCH(3,$H$13:$H$19,0)),"$#,##0")&amp;")"</f>
        <v>Adoption and volume (active share, outcomes) (swing $11,947,865)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/>
  </sheetViews>
  <sheetFormatPr defaultRowHeight="14.4" x14ac:dyDescent="0.3"/>
  <cols>
    <col min="1" max="1" width="16" customWidth="1"/>
    <col min="2" max="2" width="24" customWidth="1"/>
    <col min="3" max="3" width="34" customWidth="1"/>
    <col min="4" max="4" width="16" customWidth="1"/>
    <col min="5" max="5" width="18" customWidth="1"/>
    <col min="6" max="6" width="16" customWidth="1"/>
    <col min="7" max="7" width="14" customWidth="1"/>
  </cols>
  <sheetData>
    <row r="1" spans="1:7" ht="17.399999999999999" x14ac:dyDescent="0.3">
      <c r="A1" s="5" t="s">
        <v>744</v>
      </c>
    </row>
    <row r="2" spans="1:7" x14ac:dyDescent="0.3">
      <c r="A2" s="18" t="s">
        <v>745</v>
      </c>
    </row>
    <row r="3" spans="1:7" x14ac:dyDescent="0.3">
      <c r="A3" s="19" t="s">
        <v>746</v>
      </c>
      <c r="B3" s="19" t="s">
        <v>747</v>
      </c>
      <c r="C3" s="19" t="s">
        <v>748</v>
      </c>
      <c r="D3" s="19" t="s">
        <v>701</v>
      </c>
      <c r="E3" s="19" t="s">
        <v>702</v>
      </c>
      <c r="F3" s="19" t="s">
        <v>10</v>
      </c>
      <c r="G3" s="19" t="s">
        <v>749</v>
      </c>
    </row>
    <row r="4" spans="1:7" x14ac:dyDescent="0.3">
      <c r="A4" s="20" t="s">
        <v>750</v>
      </c>
      <c r="B4" s="9" t="str">
        <f>Teams!$C$7</f>
        <v>Corporate functions</v>
      </c>
      <c r="C4" s="9" t="str">
        <f>Teams!$C$4</f>
        <v>Corporate knowledge assistant (conservative calibration)</v>
      </c>
      <c r="D4" s="13">
        <f>Results!D55</f>
        <v>4790801.6499999994</v>
      </c>
      <c r="E4" s="13">
        <f>Results!D56</f>
        <v>1052885.1949297078</v>
      </c>
      <c r="F4" s="44">
        <f t="shared" ref="F4:F9" si="0">D4+E4</f>
        <v>5843686.8449297072</v>
      </c>
      <c r="G4" s="46">
        <f t="shared" ref="G4:G9" si="1">IF($F$10=0,0,F4/$F$10)</f>
        <v>0.31854926137972767</v>
      </c>
    </row>
    <row r="5" spans="1:7" x14ac:dyDescent="0.3">
      <c r="A5" s="20" t="s">
        <v>751</v>
      </c>
      <c r="B5" s="9" t="str">
        <f>Teams!$D$7</f>
        <v>Engineering</v>
      </c>
      <c r="C5" s="9" t="str">
        <f>Teams!$D$4</f>
        <v>Engineering assistant</v>
      </c>
      <c r="D5" s="13">
        <f>Results!E55</f>
        <v>3529280.7615999999</v>
      </c>
      <c r="E5" s="13">
        <f>Results!E56</f>
        <v>1285113.6044249833</v>
      </c>
      <c r="F5" s="44">
        <f t="shared" si="0"/>
        <v>4814394.3660249831</v>
      </c>
      <c r="G5" s="46">
        <f t="shared" si="1"/>
        <v>0.26244078609698812</v>
      </c>
    </row>
    <row r="6" spans="1:7" x14ac:dyDescent="0.3">
      <c r="A6" s="20" t="s">
        <v>752</v>
      </c>
      <c r="B6" s="9" t="str">
        <f>Teams!$E$7</f>
        <v>Customer operations</v>
      </c>
      <c r="C6" s="9" t="str">
        <f>Teams!$E$4</f>
        <v>Customer service agent</v>
      </c>
      <c r="D6" s="13">
        <f>Results!F55</f>
        <v>1850472</v>
      </c>
      <c r="E6" s="13">
        <f>Results!F56</f>
        <v>378316.95782438369</v>
      </c>
      <c r="F6" s="44">
        <f t="shared" si="0"/>
        <v>2228788.9578243839</v>
      </c>
      <c r="G6" s="46">
        <f t="shared" si="1"/>
        <v>0.12149505870634839</v>
      </c>
    </row>
    <row r="7" spans="1:7" x14ac:dyDescent="0.3">
      <c r="A7" s="20" t="s">
        <v>753</v>
      </c>
      <c r="B7" s="9" t="str">
        <f>Teams!$F$7</f>
        <v>Risk and legal</v>
      </c>
      <c r="C7" s="9" t="str">
        <f>Teams!$F$4</f>
        <v>Regulated document review</v>
      </c>
      <c r="D7" s="13">
        <f>Results!G55</f>
        <v>1381251.2137599995</v>
      </c>
      <c r="E7" s="13">
        <f>Results!G56</f>
        <v>117336.45953445499</v>
      </c>
      <c r="F7" s="44">
        <f t="shared" si="0"/>
        <v>1498587.6732944546</v>
      </c>
      <c r="G7" s="46">
        <f t="shared" si="1"/>
        <v>8.1690550693165248E-2</v>
      </c>
    </row>
    <row r="8" spans="1:7" x14ac:dyDescent="0.3">
      <c r="A8" s="20" t="s">
        <v>754</v>
      </c>
      <c r="B8" s="9" t="str">
        <f>Teams!$G$7</f>
        <v>Sales and marketing</v>
      </c>
      <c r="C8" s="9" t="str">
        <f>Teams!$G$4</f>
        <v>Sales assistant (published-range calibration)</v>
      </c>
      <c r="D8" s="13">
        <f>Results!H55</f>
        <v>3257306.7960000001</v>
      </c>
      <c r="E8" s="13">
        <f>Results!H56</f>
        <v>701923.4632864719</v>
      </c>
      <c r="F8" s="44">
        <f t="shared" si="0"/>
        <v>3959230.2592864721</v>
      </c>
      <c r="G8" s="46">
        <f t="shared" si="1"/>
        <v>0.21582434312377058</v>
      </c>
    </row>
    <row r="9" spans="1:7" x14ac:dyDescent="0.3">
      <c r="A9" s="8" t="s">
        <v>755</v>
      </c>
      <c r="B9" s="8" t="s">
        <v>756</v>
      </c>
      <c r="C9" s="8" t="s">
        <v>757</v>
      </c>
      <c r="D9" s="44">
        <v>0</v>
      </c>
      <c r="E9" s="13">
        <f>Results!$J$64</f>
        <v>0</v>
      </c>
      <c r="F9" s="44">
        <f t="shared" si="0"/>
        <v>0</v>
      </c>
      <c r="G9" s="46">
        <f t="shared" si="1"/>
        <v>0</v>
      </c>
    </row>
    <row r="10" spans="1:7" x14ac:dyDescent="0.3">
      <c r="A10" s="38" t="s">
        <v>758</v>
      </c>
      <c r="D10" s="45">
        <f>SUM(D4:D9)</f>
        <v>14809112.421359999</v>
      </c>
      <c r="E10" s="45">
        <f>SUM(E4:E9)</f>
        <v>3535575.680000002</v>
      </c>
      <c r="F10" s="45">
        <f>SUM(F4:F9)</f>
        <v>18344688.101360001</v>
      </c>
      <c r="G10" s="49">
        <f>SUM(G4:G9)</f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2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60" customWidth="1"/>
    <col min="3" max="3" width="26" customWidth="1"/>
    <col min="4" max="4" width="34" customWidth="1"/>
    <col min="5" max="5" width="10" customWidth="1"/>
    <col min="6" max="6" width="70" customWidth="1"/>
    <col min="7" max="7" width="12" customWidth="1"/>
    <col min="8" max="8" width="7" customWidth="1"/>
    <col min="9" max="9" width="30" customWidth="1"/>
    <col min="10" max="10" width="13" customWidth="1"/>
  </cols>
  <sheetData>
    <row r="1" spans="1:10" ht="17.399999999999999" x14ac:dyDescent="0.3">
      <c r="A1" s="5" t="s">
        <v>759</v>
      </c>
    </row>
    <row r="2" spans="1:10" x14ac:dyDescent="0.3">
      <c r="A2" s="18" t="s">
        <v>760</v>
      </c>
    </row>
    <row r="3" spans="1:10" x14ac:dyDescent="0.3">
      <c r="A3" s="19" t="s">
        <v>761</v>
      </c>
      <c r="B3" s="19" t="s">
        <v>762</v>
      </c>
      <c r="C3" s="19" t="s">
        <v>763</v>
      </c>
      <c r="D3" s="19" t="s">
        <v>260</v>
      </c>
      <c r="E3" s="19" t="s">
        <v>71</v>
      </c>
      <c r="F3" s="19" t="s">
        <v>72</v>
      </c>
      <c r="G3" s="19" t="s">
        <v>764</v>
      </c>
      <c r="H3" s="19" t="s">
        <v>73</v>
      </c>
      <c r="I3" s="19" t="s">
        <v>765</v>
      </c>
      <c r="J3" s="19" t="s">
        <v>766</v>
      </c>
    </row>
    <row r="4" spans="1:10" x14ac:dyDescent="0.3">
      <c r="A4" s="18" t="s">
        <v>767</v>
      </c>
      <c r="B4" s="8" t="s">
        <v>74</v>
      </c>
      <c r="C4" s="9" t="str">
        <f>Org!$B$4</f>
        <v>Northwind Example Co (fictional)</v>
      </c>
      <c r="D4" s="18" t="s">
        <v>76</v>
      </c>
      <c r="E4" s="8" t="s">
        <v>77</v>
      </c>
      <c r="F4" s="18" t="s">
        <v>78</v>
      </c>
      <c r="G4" s="32">
        <v>46285</v>
      </c>
      <c r="H4" s="8" t="s">
        <v>79</v>
      </c>
      <c r="I4" s="8" t="s">
        <v>768</v>
      </c>
      <c r="J4" s="32">
        <v>46285</v>
      </c>
    </row>
    <row r="5" spans="1:10" x14ac:dyDescent="0.3">
      <c r="A5" s="18" t="s">
        <v>769</v>
      </c>
      <c r="B5" s="8" t="s">
        <v>80</v>
      </c>
      <c r="C5" s="9">
        <f>Org!$B$5</f>
        <v>36</v>
      </c>
      <c r="D5" s="18" t="s">
        <v>81</v>
      </c>
      <c r="E5" s="8" t="s">
        <v>77</v>
      </c>
      <c r="F5" s="18" t="s">
        <v>82</v>
      </c>
      <c r="G5" s="32">
        <v>46285</v>
      </c>
      <c r="H5" s="8" t="s">
        <v>79</v>
      </c>
      <c r="I5" s="8" t="s">
        <v>768</v>
      </c>
      <c r="J5" s="32">
        <v>46285</v>
      </c>
    </row>
    <row r="6" spans="1:10" x14ac:dyDescent="0.3">
      <c r="A6" s="18" t="s">
        <v>770</v>
      </c>
      <c r="B6" s="8" t="s">
        <v>83</v>
      </c>
      <c r="C6" s="9" t="str">
        <f>Org!$B$6</f>
        <v>Base</v>
      </c>
      <c r="D6" s="18" t="s">
        <v>85</v>
      </c>
      <c r="E6" s="8" t="s">
        <v>77</v>
      </c>
      <c r="F6" s="18" t="s">
        <v>86</v>
      </c>
      <c r="G6" s="32">
        <v>46285</v>
      </c>
      <c r="H6" s="8" t="s">
        <v>79</v>
      </c>
      <c r="I6" s="8" t="s">
        <v>768</v>
      </c>
      <c r="J6" s="32">
        <v>46285</v>
      </c>
    </row>
    <row r="7" spans="1:10" x14ac:dyDescent="0.3">
      <c r="A7" s="18" t="s">
        <v>771</v>
      </c>
      <c r="B7" s="8" t="s">
        <v>87</v>
      </c>
      <c r="C7" s="9" t="str">
        <f>Org!$B$7</f>
        <v>Base</v>
      </c>
      <c r="D7" s="18" t="s">
        <v>88</v>
      </c>
      <c r="E7" s="8" t="s">
        <v>77</v>
      </c>
      <c r="F7" s="18" t="s">
        <v>86</v>
      </c>
      <c r="G7" s="32">
        <v>46285</v>
      </c>
      <c r="H7" s="8" t="s">
        <v>79</v>
      </c>
      <c r="I7" s="8" t="s">
        <v>768</v>
      </c>
      <c r="J7" s="32">
        <v>46285</v>
      </c>
    </row>
    <row r="8" spans="1:10" x14ac:dyDescent="0.3">
      <c r="A8" s="18" t="s">
        <v>772</v>
      </c>
      <c r="B8" s="8" t="s">
        <v>6</v>
      </c>
      <c r="C8" s="9" t="str">
        <f>Org!$B$8</f>
        <v>Hub-and-spoke</v>
      </c>
      <c r="D8" s="18" t="s">
        <v>90</v>
      </c>
      <c r="E8" s="8" t="s">
        <v>77</v>
      </c>
      <c r="F8" s="18" t="s">
        <v>91</v>
      </c>
      <c r="G8" s="32">
        <v>46285</v>
      </c>
      <c r="H8" s="8" t="s">
        <v>79</v>
      </c>
      <c r="I8" s="8" t="s">
        <v>768</v>
      </c>
      <c r="J8" s="32">
        <v>46285</v>
      </c>
    </row>
    <row r="9" spans="1:10" x14ac:dyDescent="0.3">
      <c r="A9" s="18" t="s">
        <v>773</v>
      </c>
      <c r="B9" s="8" t="s">
        <v>7</v>
      </c>
      <c r="C9" s="9" t="str">
        <f>Org!$B$9</f>
        <v>Usage-proportional</v>
      </c>
      <c r="D9" s="18" t="s">
        <v>93</v>
      </c>
      <c r="E9" s="8" t="s">
        <v>77</v>
      </c>
      <c r="F9" s="18" t="s">
        <v>94</v>
      </c>
      <c r="G9" s="32">
        <v>46285</v>
      </c>
      <c r="H9" s="8" t="s">
        <v>79</v>
      </c>
      <c r="I9" s="8" t="s">
        <v>768</v>
      </c>
      <c r="J9" s="32">
        <v>46285</v>
      </c>
    </row>
    <row r="10" spans="1:10" x14ac:dyDescent="0.3">
      <c r="A10" s="18" t="s">
        <v>774</v>
      </c>
      <c r="B10" s="8" t="s">
        <v>95</v>
      </c>
      <c r="C10" s="9">
        <f>Org!$B$10</f>
        <v>800</v>
      </c>
      <c r="D10" s="18" t="s">
        <v>96</v>
      </c>
      <c r="E10" s="8" t="s">
        <v>77</v>
      </c>
      <c r="F10" s="18" t="s">
        <v>97</v>
      </c>
      <c r="G10" s="32">
        <v>46285</v>
      </c>
      <c r="H10" s="8" t="s">
        <v>79</v>
      </c>
      <c r="I10" s="8" t="s">
        <v>768</v>
      </c>
      <c r="J10" s="32">
        <v>46285</v>
      </c>
    </row>
    <row r="11" spans="1:10" x14ac:dyDescent="0.3">
      <c r="A11" s="18" t="s">
        <v>775</v>
      </c>
      <c r="B11" s="8" t="s">
        <v>98</v>
      </c>
      <c r="C11" s="9">
        <f>Org!$B$11</f>
        <v>8</v>
      </c>
      <c r="D11" s="18" t="s">
        <v>99</v>
      </c>
      <c r="E11" s="8" t="s">
        <v>77</v>
      </c>
      <c r="F11" s="18" t="s">
        <v>100</v>
      </c>
      <c r="G11" s="32">
        <v>46285</v>
      </c>
      <c r="H11" s="8" t="s">
        <v>79</v>
      </c>
      <c r="I11" s="8" t="s">
        <v>768</v>
      </c>
      <c r="J11" s="32">
        <v>46285</v>
      </c>
    </row>
    <row r="12" spans="1:10" x14ac:dyDescent="0.3">
      <c r="A12" s="18" t="s">
        <v>776</v>
      </c>
      <c r="B12" s="8" t="s">
        <v>101</v>
      </c>
      <c r="C12" s="9">
        <f>Org!$B$12</f>
        <v>220</v>
      </c>
      <c r="D12" s="18" t="s">
        <v>102</v>
      </c>
      <c r="E12" s="8" t="s">
        <v>77</v>
      </c>
      <c r="F12" s="18" t="s">
        <v>100</v>
      </c>
      <c r="G12" s="32">
        <v>46285</v>
      </c>
      <c r="H12" s="8" t="s">
        <v>79</v>
      </c>
      <c r="I12" s="8" t="s">
        <v>768</v>
      </c>
      <c r="J12" s="32">
        <v>46285</v>
      </c>
    </row>
    <row r="13" spans="1:10" x14ac:dyDescent="0.3">
      <c r="A13" s="18" t="s">
        <v>777</v>
      </c>
      <c r="B13" s="8" t="s">
        <v>103</v>
      </c>
      <c r="C13" s="9">
        <f>Org!$B$13</f>
        <v>5</v>
      </c>
      <c r="D13" s="18" t="s">
        <v>104</v>
      </c>
      <c r="E13" s="8" t="s">
        <v>77</v>
      </c>
      <c r="F13" s="18" t="s">
        <v>78</v>
      </c>
      <c r="G13" s="32">
        <v>46285</v>
      </c>
      <c r="H13" s="8" t="s">
        <v>79</v>
      </c>
      <c r="I13" s="8" t="s">
        <v>768</v>
      </c>
      <c r="J13" s="32">
        <v>46285</v>
      </c>
    </row>
    <row r="14" spans="1:10" x14ac:dyDescent="0.3">
      <c r="A14" s="18" t="s">
        <v>778</v>
      </c>
      <c r="B14" s="8" t="s">
        <v>266</v>
      </c>
      <c r="C14" s="9">
        <f>Params!$E$4</f>
        <v>3</v>
      </c>
      <c r="D14" s="18" t="s">
        <v>267</v>
      </c>
      <c r="E14" s="8" t="s">
        <v>77</v>
      </c>
      <c r="F14" s="18" t="s">
        <v>779</v>
      </c>
      <c r="G14" s="32">
        <v>46285</v>
      </c>
      <c r="H14" s="8" t="s">
        <v>79</v>
      </c>
      <c r="I14" s="8" t="s">
        <v>768</v>
      </c>
      <c r="J14" s="32">
        <v>46285</v>
      </c>
    </row>
    <row r="15" spans="1:10" x14ac:dyDescent="0.3">
      <c r="A15" s="18" t="s">
        <v>780</v>
      </c>
      <c r="B15" s="8" t="s">
        <v>271</v>
      </c>
      <c r="C15" s="9">
        <f>Params!$E$5</f>
        <v>20</v>
      </c>
      <c r="D15" s="18" t="s">
        <v>267</v>
      </c>
      <c r="E15" s="8" t="s">
        <v>77</v>
      </c>
      <c r="F15" s="18" t="s">
        <v>781</v>
      </c>
      <c r="G15" s="32">
        <v>46285</v>
      </c>
      <c r="H15" s="8" t="s">
        <v>79</v>
      </c>
      <c r="I15" s="8" t="s">
        <v>768</v>
      </c>
      <c r="J15" s="32">
        <v>46285</v>
      </c>
    </row>
    <row r="16" spans="1:10" x14ac:dyDescent="0.3">
      <c r="A16" s="18" t="s">
        <v>782</v>
      </c>
      <c r="B16" s="8" t="s">
        <v>275</v>
      </c>
      <c r="C16" s="9">
        <f>Params!$E$6</f>
        <v>10</v>
      </c>
      <c r="D16" s="18" t="s">
        <v>267</v>
      </c>
      <c r="E16" s="8" t="s">
        <v>77</v>
      </c>
      <c r="F16" s="18" t="s">
        <v>783</v>
      </c>
      <c r="G16" s="32">
        <v>46285</v>
      </c>
      <c r="H16" s="8" t="s">
        <v>79</v>
      </c>
      <c r="I16" s="8" t="s">
        <v>768</v>
      </c>
      <c r="J16" s="32">
        <v>46285</v>
      </c>
    </row>
    <row r="17" spans="1:10" x14ac:dyDescent="0.3">
      <c r="A17" s="18" t="s">
        <v>784</v>
      </c>
      <c r="B17" s="8" t="s">
        <v>279</v>
      </c>
      <c r="C17" s="9">
        <f>Params!$E$7</f>
        <v>0.15</v>
      </c>
      <c r="D17" s="18" t="s">
        <v>280</v>
      </c>
      <c r="E17" s="8" t="s">
        <v>77</v>
      </c>
      <c r="F17" s="18" t="s">
        <v>785</v>
      </c>
      <c r="G17" s="32">
        <v>46285</v>
      </c>
      <c r="H17" s="8" t="s">
        <v>79</v>
      </c>
      <c r="I17" s="8" t="s">
        <v>768</v>
      </c>
      <c r="J17" s="32">
        <v>46285</v>
      </c>
    </row>
    <row r="18" spans="1:10" x14ac:dyDescent="0.3">
      <c r="A18" s="18" t="s">
        <v>786</v>
      </c>
      <c r="B18" s="8" t="s">
        <v>283</v>
      </c>
      <c r="C18" s="9">
        <f>Params!$E$8</f>
        <v>4</v>
      </c>
      <c r="D18" s="18" t="s">
        <v>267</v>
      </c>
      <c r="E18" s="8" t="s">
        <v>77</v>
      </c>
      <c r="F18" s="18" t="s">
        <v>787</v>
      </c>
      <c r="G18" s="32">
        <v>46285</v>
      </c>
      <c r="H18" s="8" t="s">
        <v>79</v>
      </c>
      <c r="I18" s="8" t="s">
        <v>768</v>
      </c>
      <c r="J18" s="32">
        <v>46285</v>
      </c>
    </row>
    <row r="19" spans="1:10" x14ac:dyDescent="0.3">
      <c r="A19" s="18" t="s">
        <v>788</v>
      </c>
      <c r="B19" s="8" t="s">
        <v>287</v>
      </c>
      <c r="C19" s="9">
        <f>Params!$E$9</f>
        <v>0.1</v>
      </c>
      <c r="D19" s="18" t="s">
        <v>280</v>
      </c>
      <c r="E19" s="8" t="s">
        <v>77</v>
      </c>
      <c r="F19" s="18" t="s">
        <v>789</v>
      </c>
      <c r="G19" s="32">
        <v>46285</v>
      </c>
      <c r="H19" s="8" t="s">
        <v>79</v>
      </c>
      <c r="I19" s="8" t="s">
        <v>768</v>
      </c>
      <c r="J19" s="32">
        <v>46285</v>
      </c>
    </row>
    <row r="20" spans="1:10" x14ac:dyDescent="0.3">
      <c r="A20" s="18" t="s">
        <v>790</v>
      </c>
      <c r="B20" s="8" t="s">
        <v>290</v>
      </c>
      <c r="C20" s="9">
        <f>Params!$E$10</f>
        <v>0.03</v>
      </c>
      <c r="D20" s="18" t="s">
        <v>148</v>
      </c>
      <c r="E20" s="8" t="s">
        <v>77</v>
      </c>
      <c r="F20" s="18" t="s">
        <v>791</v>
      </c>
      <c r="G20" s="32">
        <v>46285</v>
      </c>
      <c r="H20" s="8" t="s">
        <v>79</v>
      </c>
      <c r="I20" s="8" t="s">
        <v>768</v>
      </c>
      <c r="J20" s="32">
        <v>46285</v>
      </c>
    </row>
    <row r="21" spans="1:10" x14ac:dyDescent="0.3">
      <c r="A21" s="18" t="s">
        <v>792</v>
      </c>
      <c r="B21" s="8" t="s">
        <v>294</v>
      </c>
      <c r="C21" s="9">
        <f>Params!$E$11</f>
        <v>120</v>
      </c>
      <c r="D21" s="18" t="s">
        <v>267</v>
      </c>
      <c r="E21" s="8" t="s">
        <v>77</v>
      </c>
      <c r="F21" s="18" t="s">
        <v>793</v>
      </c>
      <c r="G21" s="32">
        <v>46285</v>
      </c>
      <c r="H21" s="8" t="s">
        <v>79</v>
      </c>
      <c r="I21" s="8" t="s">
        <v>768</v>
      </c>
      <c r="J21" s="32">
        <v>46285</v>
      </c>
    </row>
    <row r="22" spans="1:10" x14ac:dyDescent="0.3">
      <c r="A22" s="18" t="s">
        <v>794</v>
      </c>
      <c r="B22" s="8" t="s">
        <v>298</v>
      </c>
      <c r="C22" s="9">
        <f>Params!$E$12</f>
        <v>0.2</v>
      </c>
      <c r="D22" s="18" t="s">
        <v>299</v>
      </c>
      <c r="E22" s="8" t="s">
        <v>77</v>
      </c>
      <c r="F22" s="18" t="s">
        <v>795</v>
      </c>
      <c r="G22" s="32">
        <v>46285</v>
      </c>
      <c r="H22" s="8" t="s">
        <v>79</v>
      </c>
      <c r="I22" s="8" t="s">
        <v>768</v>
      </c>
      <c r="J22" s="32">
        <v>46285</v>
      </c>
    </row>
    <row r="23" spans="1:10" x14ac:dyDescent="0.3">
      <c r="A23" s="18" t="s">
        <v>796</v>
      </c>
      <c r="B23" s="8" t="s">
        <v>302</v>
      </c>
      <c r="C23" s="9">
        <f>Params!$E$13</f>
        <v>40</v>
      </c>
      <c r="D23" s="18" t="s">
        <v>267</v>
      </c>
      <c r="E23" s="8" t="s">
        <v>77</v>
      </c>
      <c r="F23" s="18" t="s">
        <v>797</v>
      </c>
      <c r="G23" s="32">
        <v>46285</v>
      </c>
      <c r="H23" s="8" t="s">
        <v>79</v>
      </c>
      <c r="I23" s="8" t="s">
        <v>768</v>
      </c>
      <c r="J23" s="32">
        <v>46285</v>
      </c>
    </row>
    <row r="24" spans="1:10" x14ac:dyDescent="0.3">
      <c r="A24" s="18" t="s">
        <v>798</v>
      </c>
      <c r="B24" s="8" t="s">
        <v>306</v>
      </c>
      <c r="C24" s="9">
        <f>Params!$E$14</f>
        <v>10</v>
      </c>
      <c r="D24" s="18" t="s">
        <v>267</v>
      </c>
      <c r="E24" s="8" t="s">
        <v>77</v>
      </c>
      <c r="F24" s="18" t="s">
        <v>799</v>
      </c>
      <c r="G24" s="32">
        <v>46285</v>
      </c>
      <c r="H24" s="8" t="s">
        <v>79</v>
      </c>
      <c r="I24" s="8" t="s">
        <v>768</v>
      </c>
      <c r="J24" s="32">
        <v>46285</v>
      </c>
    </row>
    <row r="25" spans="1:10" x14ac:dyDescent="0.3">
      <c r="A25" s="18" t="s">
        <v>800</v>
      </c>
      <c r="B25" s="8" t="s">
        <v>310</v>
      </c>
      <c r="C25" s="9">
        <f>Params!$E$15</f>
        <v>30</v>
      </c>
      <c r="D25" s="18" t="s">
        <v>267</v>
      </c>
      <c r="E25" s="8" t="s">
        <v>77</v>
      </c>
      <c r="F25" s="18" t="s">
        <v>801</v>
      </c>
      <c r="G25" s="32">
        <v>46285</v>
      </c>
      <c r="H25" s="8" t="s">
        <v>79</v>
      </c>
      <c r="I25" s="8" t="s">
        <v>768</v>
      </c>
      <c r="J25" s="32">
        <v>46285</v>
      </c>
    </row>
    <row r="26" spans="1:10" x14ac:dyDescent="0.3">
      <c r="A26" s="18" t="s">
        <v>802</v>
      </c>
      <c r="B26" s="8" t="s">
        <v>313</v>
      </c>
      <c r="C26" s="9">
        <f>Params!$E$16</f>
        <v>20</v>
      </c>
      <c r="D26" s="18" t="s">
        <v>267</v>
      </c>
      <c r="E26" s="8" t="s">
        <v>77</v>
      </c>
      <c r="F26" s="18" t="s">
        <v>803</v>
      </c>
      <c r="G26" s="32">
        <v>46285</v>
      </c>
      <c r="H26" s="8" t="s">
        <v>79</v>
      </c>
      <c r="I26" s="8" t="s">
        <v>768</v>
      </c>
      <c r="J26" s="32">
        <v>46285</v>
      </c>
    </row>
    <row r="27" spans="1:10" x14ac:dyDescent="0.3">
      <c r="A27" s="18" t="s">
        <v>804</v>
      </c>
      <c r="B27" s="8" t="s">
        <v>317</v>
      </c>
      <c r="C27" s="9">
        <f>Params!$E$17</f>
        <v>0.25</v>
      </c>
      <c r="D27" s="18" t="s">
        <v>148</v>
      </c>
      <c r="E27" s="8" t="s">
        <v>77</v>
      </c>
      <c r="F27" s="18" t="s">
        <v>805</v>
      </c>
      <c r="G27" s="32">
        <v>46285</v>
      </c>
      <c r="H27" s="8" t="s">
        <v>79</v>
      </c>
      <c r="I27" s="8" t="s">
        <v>768</v>
      </c>
      <c r="J27" s="32">
        <v>46285</v>
      </c>
    </row>
    <row r="28" spans="1:10" x14ac:dyDescent="0.3">
      <c r="A28" s="18" t="s">
        <v>806</v>
      </c>
      <c r="B28" s="8" t="s">
        <v>320</v>
      </c>
      <c r="C28" s="9">
        <f>Params!$E$18</f>
        <v>8</v>
      </c>
      <c r="D28" s="18" t="s">
        <v>267</v>
      </c>
      <c r="E28" s="8" t="s">
        <v>77</v>
      </c>
      <c r="F28" s="18" t="s">
        <v>807</v>
      </c>
      <c r="G28" s="32">
        <v>46285</v>
      </c>
      <c r="H28" s="8" t="s">
        <v>79</v>
      </c>
      <c r="I28" s="8" t="s">
        <v>768</v>
      </c>
      <c r="J28" s="32">
        <v>46285</v>
      </c>
    </row>
    <row r="29" spans="1:10" x14ac:dyDescent="0.3">
      <c r="A29" s="18" t="s">
        <v>808</v>
      </c>
      <c r="B29" s="8" t="s">
        <v>324</v>
      </c>
      <c r="C29" s="9">
        <f>Params!$E$19</f>
        <v>0.5</v>
      </c>
      <c r="D29" s="18" t="s">
        <v>299</v>
      </c>
      <c r="E29" s="8" t="s">
        <v>77</v>
      </c>
      <c r="F29" s="18" t="s">
        <v>809</v>
      </c>
      <c r="G29" s="32">
        <v>46285</v>
      </c>
      <c r="H29" s="8" t="s">
        <v>79</v>
      </c>
      <c r="I29" s="8" t="s">
        <v>768</v>
      </c>
      <c r="J29" s="32">
        <v>46285</v>
      </c>
    </row>
    <row r="30" spans="1:10" x14ac:dyDescent="0.3">
      <c r="A30" s="18" t="s">
        <v>810</v>
      </c>
      <c r="B30" s="8" t="s">
        <v>327</v>
      </c>
      <c r="C30" s="9">
        <f>Params!$E$20</f>
        <v>0</v>
      </c>
      <c r="D30" s="18" t="s">
        <v>157</v>
      </c>
      <c r="E30" s="8" t="s">
        <v>77</v>
      </c>
      <c r="F30" s="18" t="s">
        <v>811</v>
      </c>
      <c r="G30" s="32">
        <v>46285</v>
      </c>
      <c r="H30" s="8" t="s">
        <v>79</v>
      </c>
      <c r="I30" s="8" t="s">
        <v>768</v>
      </c>
      <c r="J30" s="32">
        <v>46285</v>
      </c>
    </row>
    <row r="31" spans="1:10" x14ac:dyDescent="0.3">
      <c r="A31" s="18" t="s">
        <v>812</v>
      </c>
      <c r="B31" s="8" t="s">
        <v>331</v>
      </c>
      <c r="C31" s="9">
        <f>Params!$E$21</f>
        <v>1.1499999999999999</v>
      </c>
      <c r="D31" s="18" t="s">
        <v>192</v>
      </c>
      <c r="E31" s="8" t="s">
        <v>77</v>
      </c>
      <c r="F31" s="18" t="s">
        <v>813</v>
      </c>
      <c r="G31" s="32">
        <v>46285</v>
      </c>
      <c r="H31" s="8" t="s">
        <v>79</v>
      </c>
      <c r="I31" s="8" t="s">
        <v>768</v>
      </c>
      <c r="J31" s="32">
        <v>46285</v>
      </c>
    </row>
    <row r="32" spans="1:10" x14ac:dyDescent="0.3">
      <c r="A32" s="18" t="s">
        <v>814</v>
      </c>
      <c r="B32" s="8" t="s">
        <v>335</v>
      </c>
      <c r="C32" s="9">
        <f>Params!$E$22</f>
        <v>6</v>
      </c>
      <c r="D32" s="18" t="s">
        <v>208</v>
      </c>
      <c r="E32" s="8" t="s">
        <v>77</v>
      </c>
      <c r="F32" s="18" t="s">
        <v>815</v>
      </c>
      <c r="G32" s="32">
        <v>46285</v>
      </c>
      <c r="H32" s="8" t="s">
        <v>79</v>
      </c>
      <c r="I32" s="8" t="s">
        <v>768</v>
      </c>
      <c r="J32" s="32">
        <v>46285</v>
      </c>
    </row>
    <row r="33" spans="1:10" x14ac:dyDescent="0.3">
      <c r="A33" s="18" t="s">
        <v>816</v>
      </c>
      <c r="B33" s="8" t="s">
        <v>338</v>
      </c>
      <c r="C33" s="9">
        <f>Params!$E$23</f>
        <v>200</v>
      </c>
      <c r="D33" s="18" t="s">
        <v>339</v>
      </c>
      <c r="E33" s="8" t="s">
        <v>77</v>
      </c>
      <c r="F33" s="18" t="s">
        <v>817</v>
      </c>
      <c r="G33" s="32">
        <v>46285</v>
      </c>
      <c r="H33" s="8" t="s">
        <v>79</v>
      </c>
      <c r="I33" s="8" t="s">
        <v>768</v>
      </c>
      <c r="J33" s="32">
        <v>46285</v>
      </c>
    </row>
    <row r="34" spans="1:10" x14ac:dyDescent="0.3">
      <c r="A34" s="18" t="s">
        <v>818</v>
      </c>
      <c r="B34" s="8" t="s">
        <v>343</v>
      </c>
      <c r="C34" s="9">
        <f>Params!$E$24</f>
        <v>10</v>
      </c>
      <c r="D34" s="18" t="s">
        <v>229</v>
      </c>
      <c r="E34" s="8" t="s">
        <v>77</v>
      </c>
      <c r="F34" s="18" t="s">
        <v>819</v>
      </c>
      <c r="G34" s="32">
        <v>46285</v>
      </c>
      <c r="H34" s="8" t="s">
        <v>79</v>
      </c>
      <c r="I34" s="8" t="s">
        <v>768</v>
      </c>
      <c r="J34" s="32">
        <v>46285</v>
      </c>
    </row>
    <row r="35" spans="1:10" x14ac:dyDescent="0.3">
      <c r="A35" s="18" t="s">
        <v>820</v>
      </c>
      <c r="B35" s="8" t="s">
        <v>346</v>
      </c>
      <c r="C35" s="9">
        <f>Params!$E$25</f>
        <v>15</v>
      </c>
      <c r="D35" s="18" t="s">
        <v>166</v>
      </c>
      <c r="E35" s="8" t="s">
        <v>77</v>
      </c>
      <c r="F35" s="18" t="s">
        <v>821</v>
      </c>
      <c r="G35" s="32">
        <v>46285</v>
      </c>
      <c r="H35" s="8" t="s">
        <v>349</v>
      </c>
      <c r="I35" s="8" t="s">
        <v>768</v>
      </c>
      <c r="J35" s="32">
        <v>46285</v>
      </c>
    </row>
    <row r="36" spans="1:10" x14ac:dyDescent="0.3">
      <c r="A36" s="18" t="s">
        <v>822</v>
      </c>
      <c r="B36" s="8" t="s">
        <v>351</v>
      </c>
      <c r="C36" s="9">
        <f>Params!$E$26</f>
        <v>3</v>
      </c>
      <c r="D36" s="18" t="s">
        <v>267</v>
      </c>
      <c r="E36" s="8" t="s">
        <v>77</v>
      </c>
      <c r="F36" s="18" t="s">
        <v>823</v>
      </c>
      <c r="G36" s="32">
        <v>46285</v>
      </c>
      <c r="H36" s="8" t="s">
        <v>79</v>
      </c>
      <c r="I36" s="8" t="s">
        <v>768</v>
      </c>
      <c r="J36" s="32">
        <v>46285</v>
      </c>
    </row>
    <row r="37" spans="1:10" x14ac:dyDescent="0.3">
      <c r="A37" s="18" t="s">
        <v>824</v>
      </c>
      <c r="B37" s="8" t="s">
        <v>354</v>
      </c>
      <c r="C37" s="9">
        <f>Params!$E$27</f>
        <v>0.1</v>
      </c>
      <c r="D37" s="18" t="s">
        <v>355</v>
      </c>
      <c r="E37" s="8" t="s">
        <v>77</v>
      </c>
      <c r="F37" s="18" t="s">
        <v>825</v>
      </c>
      <c r="G37" s="32">
        <v>46285</v>
      </c>
      <c r="H37" s="8" t="s">
        <v>79</v>
      </c>
      <c r="I37" s="8" t="s">
        <v>768</v>
      </c>
      <c r="J37" s="32">
        <v>46285</v>
      </c>
    </row>
    <row r="38" spans="1:10" x14ac:dyDescent="0.3">
      <c r="A38" s="18" t="s">
        <v>826</v>
      </c>
      <c r="B38" s="8" t="s">
        <v>359</v>
      </c>
      <c r="C38" s="9">
        <f>Params!$E$28</f>
        <v>20</v>
      </c>
      <c r="D38" s="18" t="s">
        <v>358</v>
      </c>
      <c r="E38" s="8" t="s">
        <v>77</v>
      </c>
      <c r="F38" s="18" t="s">
        <v>827</v>
      </c>
      <c r="G38" s="32">
        <v>46285</v>
      </c>
      <c r="H38" s="8" t="s">
        <v>79</v>
      </c>
      <c r="I38" s="8" t="s">
        <v>768</v>
      </c>
      <c r="J38" s="32">
        <v>46285</v>
      </c>
    </row>
    <row r="39" spans="1:10" x14ac:dyDescent="0.3">
      <c r="A39" s="18" t="s">
        <v>828</v>
      </c>
      <c r="B39" s="8" t="s">
        <v>363</v>
      </c>
      <c r="C39" s="9">
        <f>Params!$E$29</f>
        <v>1</v>
      </c>
      <c r="D39" s="18" t="s">
        <v>99</v>
      </c>
      <c r="E39" s="8" t="s">
        <v>77</v>
      </c>
      <c r="F39" s="18" t="s">
        <v>829</v>
      </c>
      <c r="G39" s="32">
        <v>46285</v>
      </c>
      <c r="H39" s="8" t="s">
        <v>79</v>
      </c>
      <c r="I39" s="8" t="s">
        <v>768</v>
      </c>
      <c r="J39" s="32">
        <v>46285</v>
      </c>
    </row>
    <row r="40" spans="1:10" x14ac:dyDescent="0.3">
      <c r="A40" s="18" t="s">
        <v>830</v>
      </c>
      <c r="B40" s="8" t="s">
        <v>366</v>
      </c>
      <c r="C40" s="9">
        <f>Params!$E$30</f>
        <v>5</v>
      </c>
      <c r="D40" s="18" t="s">
        <v>367</v>
      </c>
      <c r="E40" s="8" t="s">
        <v>77</v>
      </c>
      <c r="F40" s="18" t="s">
        <v>831</v>
      </c>
      <c r="G40" s="32">
        <v>46285</v>
      </c>
      <c r="H40" s="8" t="s">
        <v>79</v>
      </c>
      <c r="I40" s="8" t="s">
        <v>768</v>
      </c>
      <c r="J40" s="32">
        <v>46285</v>
      </c>
    </row>
    <row r="41" spans="1:10" x14ac:dyDescent="0.3">
      <c r="A41" s="18" t="s">
        <v>832</v>
      </c>
      <c r="B41" s="8" t="s">
        <v>371</v>
      </c>
      <c r="C41" s="9">
        <f>Params!$E$31</f>
        <v>1</v>
      </c>
      <c r="D41" s="18" t="s">
        <v>367</v>
      </c>
      <c r="E41" s="8" t="s">
        <v>77</v>
      </c>
      <c r="F41" s="18" t="s">
        <v>833</v>
      </c>
      <c r="G41" s="32">
        <v>46285</v>
      </c>
      <c r="H41" s="8" t="s">
        <v>349</v>
      </c>
      <c r="I41" s="8" t="s">
        <v>768</v>
      </c>
      <c r="J41" s="32">
        <v>46285</v>
      </c>
    </row>
    <row r="42" spans="1:10" x14ac:dyDescent="0.3">
      <c r="A42" s="18" t="s">
        <v>834</v>
      </c>
      <c r="B42" s="8" t="s">
        <v>375</v>
      </c>
      <c r="C42" s="9">
        <f>Params!$E$32</f>
        <v>0</v>
      </c>
      <c r="D42" s="18" t="s">
        <v>376</v>
      </c>
      <c r="E42" s="8" t="s">
        <v>77</v>
      </c>
      <c r="F42" s="18" t="s">
        <v>835</v>
      </c>
      <c r="G42" s="32">
        <v>46285</v>
      </c>
      <c r="H42" s="8" t="s">
        <v>79</v>
      </c>
      <c r="I42" s="8" t="s">
        <v>768</v>
      </c>
      <c r="J42" s="32">
        <v>46285</v>
      </c>
    </row>
    <row r="43" spans="1:10" x14ac:dyDescent="0.3">
      <c r="A43" s="18" t="s">
        <v>836</v>
      </c>
      <c r="B43" s="8" t="s">
        <v>379</v>
      </c>
      <c r="C43" s="9">
        <f>Params!$E$33</f>
        <v>0</v>
      </c>
      <c r="D43" s="18" t="s">
        <v>376</v>
      </c>
      <c r="E43" s="8" t="s">
        <v>77</v>
      </c>
      <c r="F43" s="18" t="s">
        <v>837</v>
      </c>
      <c r="G43" s="32">
        <v>46285</v>
      </c>
      <c r="H43" s="8" t="s">
        <v>79</v>
      </c>
      <c r="I43" s="8" t="s">
        <v>768</v>
      </c>
      <c r="J43" s="32">
        <v>46285</v>
      </c>
    </row>
    <row r="44" spans="1:10" x14ac:dyDescent="0.3">
      <c r="A44" s="18" t="s">
        <v>838</v>
      </c>
      <c r="B44" s="8" t="s">
        <v>383</v>
      </c>
      <c r="C44" s="9">
        <f>Params!$E$34</f>
        <v>4</v>
      </c>
      <c r="D44" s="18" t="s">
        <v>99</v>
      </c>
      <c r="E44" s="8" t="s">
        <v>77</v>
      </c>
      <c r="F44" s="18" t="s">
        <v>839</v>
      </c>
      <c r="G44" s="32">
        <v>46285</v>
      </c>
      <c r="H44" s="8" t="s">
        <v>79</v>
      </c>
      <c r="I44" s="8" t="s">
        <v>768</v>
      </c>
      <c r="J44" s="32">
        <v>46285</v>
      </c>
    </row>
    <row r="45" spans="1:10" x14ac:dyDescent="0.3">
      <c r="A45" s="18" t="s">
        <v>840</v>
      </c>
      <c r="B45" s="8" t="s">
        <v>387</v>
      </c>
      <c r="C45" s="9">
        <f>Params!$E$35</f>
        <v>1</v>
      </c>
      <c r="D45" s="18" t="s">
        <v>388</v>
      </c>
      <c r="E45" s="8" t="s">
        <v>77</v>
      </c>
      <c r="F45" s="18" t="s">
        <v>841</v>
      </c>
      <c r="G45" s="32">
        <v>46285</v>
      </c>
      <c r="H45" s="8" t="s">
        <v>349</v>
      </c>
      <c r="I45" s="8" t="s">
        <v>768</v>
      </c>
      <c r="J45" s="32">
        <v>46285</v>
      </c>
    </row>
    <row r="46" spans="1:10" x14ac:dyDescent="0.3">
      <c r="A46" s="18" t="s">
        <v>842</v>
      </c>
      <c r="B46" s="8" t="s">
        <v>392</v>
      </c>
      <c r="C46" s="9">
        <f>Params!$E$36</f>
        <v>3</v>
      </c>
      <c r="D46" s="18" t="s">
        <v>229</v>
      </c>
      <c r="E46" s="8" t="s">
        <v>77</v>
      </c>
      <c r="F46" s="18" t="s">
        <v>843</v>
      </c>
      <c r="G46" s="32">
        <v>46285</v>
      </c>
      <c r="H46" s="8" t="s">
        <v>349</v>
      </c>
      <c r="I46" s="8" t="s">
        <v>768</v>
      </c>
      <c r="J46" s="32">
        <v>46285</v>
      </c>
    </row>
    <row r="47" spans="1:10" x14ac:dyDescent="0.3">
      <c r="A47" s="18" t="s">
        <v>844</v>
      </c>
      <c r="B47" s="8" t="s">
        <v>395</v>
      </c>
      <c r="C47" s="9">
        <f>Params!$E$37</f>
        <v>0.5</v>
      </c>
      <c r="D47" s="18" t="s">
        <v>396</v>
      </c>
      <c r="E47" s="8" t="s">
        <v>77</v>
      </c>
      <c r="F47" s="18" t="s">
        <v>845</v>
      </c>
      <c r="G47" s="32">
        <v>46285</v>
      </c>
      <c r="H47" s="8" t="s">
        <v>79</v>
      </c>
      <c r="I47" s="8" t="s">
        <v>768</v>
      </c>
      <c r="J47" s="32">
        <v>46285</v>
      </c>
    </row>
    <row r="48" spans="1:10" x14ac:dyDescent="0.3">
      <c r="A48" s="18" t="s">
        <v>846</v>
      </c>
      <c r="B48" s="8" t="s">
        <v>400</v>
      </c>
      <c r="C48" s="9">
        <f>Params!$E$38</f>
        <v>0.1</v>
      </c>
      <c r="D48" s="18" t="s">
        <v>396</v>
      </c>
      <c r="E48" s="8" t="s">
        <v>77</v>
      </c>
      <c r="F48" s="18" t="s">
        <v>847</v>
      </c>
      <c r="G48" s="32">
        <v>46285</v>
      </c>
      <c r="H48" s="8" t="s">
        <v>79</v>
      </c>
      <c r="I48" s="8" t="s">
        <v>768</v>
      </c>
      <c r="J48" s="32">
        <v>46285</v>
      </c>
    </row>
    <row r="49" spans="1:10" x14ac:dyDescent="0.3">
      <c r="A49" s="18" t="s">
        <v>848</v>
      </c>
      <c r="B49" s="8" t="s">
        <v>403</v>
      </c>
      <c r="C49" s="9">
        <f>Params!$E$39</f>
        <v>1</v>
      </c>
      <c r="D49" s="18" t="s">
        <v>192</v>
      </c>
      <c r="E49" s="8" t="s">
        <v>77</v>
      </c>
      <c r="F49" s="18" t="s">
        <v>849</v>
      </c>
      <c r="G49" s="32">
        <v>46285</v>
      </c>
      <c r="H49" s="8" t="s">
        <v>79</v>
      </c>
      <c r="I49" s="8" t="s">
        <v>768</v>
      </c>
      <c r="J49" s="32">
        <v>46285</v>
      </c>
    </row>
    <row r="50" spans="1:10" x14ac:dyDescent="0.3">
      <c r="A50" s="18" t="s">
        <v>850</v>
      </c>
      <c r="B50" s="8" t="s">
        <v>407</v>
      </c>
      <c r="C50" s="9">
        <f>Params!$E$40</f>
        <v>0.5</v>
      </c>
      <c r="D50" s="18" t="s">
        <v>148</v>
      </c>
      <c r="E50" s="8" t="s">
        <v>77</v>
      </c>
      <c r="F50" s="18" t="s">
        <v>851</v>
      </c>
      <c r="G50" s="32">
        <v>46285</v>
      </c>
      <c r="H50" s="8" t="s">
        <v>79</v>
      </c>
      <c r="I50" s="8" t="s">
        <v>768</v>
      </c>
      <c r="J50" s="32">
        <v>46285</v>
      </c>
    </row>
    <row r="51" spans="1:10" x14ac:dyDescent="0.3">
      <c r="A51" s="18" t="s">
        <v>852</v>
      </c>
      <c r="B51" s="8" t="s">
        <v>411</v>
      </c>
      <c r="C51" s="9">
        <f>Params!$E$41</f>
        <v>0.5</v>
      </c>
      <c r="D51" s="18" t="s">
        <v>148</v>
      </c>
      <c r="E51" s="8" t="s">
        <v>77</v>
      </c>
      <c r="F51" s="18" t="s">
        <v>853</v>
      </c>
      <c r="G51" s="32">
        <v>46285</v>
      </c>
      <c r="H51" s="8" t="s">
        <v>79</v>
      </c>
      <c r="I51" s="8" t="s">
        <v>768</v>
      </c>
      <c r="J51" s="32">
        <v>46285</v>
      </c>
    </row>
    <row r="52" spans="1:10" x14ac:dyDescent="0.3">
      <c r="A52" s="18" t="s">
        <v>854</v>
      </c>
      <c r="B52" s="8" t="s">
        <v>117</v>
      </c>
      <c r="C52" s="8" t="s">
        <v>855</v>
      </c>
      <c r="D52" s="18" t="s">
        <v>76</v>
      </c>
      <c r="E52" s="8" t="s">
        <v>77</v>
      </c>
      <c r="F52" s="18" t="s">
        <v>78</v>
      </c>
      <c r="G52" s="32">
        <v>46285</v>
      </c>
      <c r="H52" s="8" t="s">
        <v>79</v>
      </c>
      <c r="I52" s="8" t="s">
        <v>856</v>
      </c>
      <c r="J52" s="32">
        <v>46285</v>
      </c>
    </row>
    <row r="53" spans="1:10" x14ac:dyDescent="0.3">
      <c r="A53" s="18" t="s">
        <v>857</v>
      </c>
      <c r="B53" s="8" t="s">
        <v>124</v>
      </c>
      <c r="C53" s="8" t="s">
        <v>855</v>
      </c>
      <c r="D53" s="18" t="s">
        <v>125</v>
      </c>
      <c r="E53" s="8" t="s">
        <v>77</v>
      </c>
      <c r="F53" s="18" t="s">
        <v>78</v>
      </c>
      <c r="G53" s="32">
        <v>46285</v>
      </c>
      <c r="H53" s="8" t="s">
        <v>79</v>
      </c>
      <c r="I53" s="8" t="s">
        <v>856</v>
      </c>
      <c r="J53" s="32">
        <v>46285</v>
      </c>
    </row>
    <row r="54" spans="1:10" x14ac:dyDescent="0.3">
      <c r="A54" s="18" t="s">
        <v>858</v>
      </c>
      <c r="B54" s="8" t="s">
        <v>126</v>
      </c>
      <c r="C54" s="8" t="s">
        <v>855</v>
      </c>
      <c r="D54" s="18" t="s">
        <v>76</v>
      </c>
      <c r="E54" s="8" t="s">
        <v>77</v>
      </c>
      <c r="F54" s="18" t="s">
        <v>78</v>
      </c>
      <c r="G54" s="32">
        <v>46285</v>
      </c>
      <c r="H54" s="8" t="s">
        <v>79</v>
      </c>
      <c r="I54" s="8" t="s">
        <v>856</v>
      </c>
      <c r="J54" s="32">
        <v>46285</v>
      </c>
    </row>
    <row r="55" spans="1:10" x14ac:dyDescent="0.3">
      <c r="A55" s="18" t="s">
        <v>859</v>
      </c>
      <c r="B55" s="8" t="s">
        <v>131</v>
      </c>
      <c r="C55" s="8" t="s">
        <v>855</v>
      </c>
      <c r="D55" s="18" t="s">
        <v>76</v>
      </c>
      <c r="E55" s="8" t="s">
        <v>77</v>
      </c>
      <c r="F55" s="18" t="s">
        <v>78</v>
      </c>
      <c r="G55" s="32">
        <v>46285</v>
      </c>
      <c r="H55" s="8" t="s">
        <v>79</v>
      </c>
      <c r="I55" s="8" t="s">
        <v>856</v>
      </c>
      <c r="J55" s="32">
        <v>46285</v>
      </c>
    </row>
    <row r="56" spans="1:10" x14ac:dyDescent="0.3">
      <c r="A56" s="18" t="s">
        <v>860</v>
      </c>
      <c r="B56" s="8" t="s">
        <v>27</v>
      </c>
      <c r="C56" s="8" t="s">
        <v>855</v>
      </c>
      <c r="D56" s="18" t="s">
        <v>137</v>
      </c>
      <c r="E56" s="8" t="s">
        <v>77</v>
      </c>
      <c r="F56" s="18" t="s">
        <v>78</v>
      </c>
      <c r="G56" s="32">
        <v>46285</v>
      </c>
      <c r="H56" s="8" t="s">
        <v>79</v>
      </c>
      <c r="I56" s="8" t="s">
        <v>856</v>
      </c>
      <c r="J56" s="32">
        <v>46285</v>
      </c>
    </row>
    <row r="57" spans="1:10" x14ac:dyDescent="0.3">
      <c r="A57" s="18" t="s">
        <v>861</v>
      </c>
      <c r="B57" s="8" t="s">
        <v>141</v>
      </c>
      <c r="C57" s="8" t="s">
        <v>855</v>
      </c>
      <c r="D57" s="18" t="s">
        <v>142</v>
      </c>
      <c r="E57" s="8" t="s">
        <v>77</v>
      </c>
      <c r="F57" s="18" t="s">
        <v>78</v>
      </c>
      <c r="G57" s="32">
        <v>46285</v>
      </c>
      <c r="H57" s="8" t="s">
        <v>79</v>
      </c>
      <c r="I57" s="8" t="s">
        <v>856</v>
      </c>
      <c r="J57" s="32">
        <v>46285</v>
      </c>
    </row>
    <row r="58" spans="1:10" x14ac:dyDescent="0.3">
      <c r="A58" s="18" t="s">
        <v>862</v>
      </c>
      <c r="B58" s="8" t="s">
        <v>145</v>
      </c>
      <c r="C58" s="8" t="s">
        <v>855</v>
      </c>
      <c r="D58" s="18" t="s">
        <v>142</v>
      </c>
      <c r="E58" s="8" t="s">
        <v>77</v>
      </c>
      <c r="F58" s="18" t="s">
        <v>78</v>
      </c>
      <c r="G58" s="32">
        <v>46285</v>
      </c>
      <c r="H58" s="8" t="s">
        <v>79</v>
      </c>
      <c r="I58" s="8" t="s">
        <v>856</v>
      </c>
      <c r="J58" s="32">
        <v>46285</v>
      </c>
    </row>
    <row r="59" spans="1:10" x14ac:dyDescent="0.3">
      <c r="A59" s="18" t="s">
        <v>863</v>
      </c>
      <c r="B59" s="8" t="s">
        <v>147</v>
      </c>
      <c r="C59" s="8" t="s">
        <v>855</v>
      </c>
      <c r="D59" s="18" t="s">
        <v>148</v>
      </c>
      <c r="E59" s="8" t="s">
        <v>77</v>
      </c>
      <c r="F59" s="18" t="s">
        <v>78</v>
      </c>
      <c r="G59" s="32">
        <v>46285</v>
      </c>
      <c r="H59" s="8" t="s">
        <v>79</v>
      </c>
      <c r="I59" s="8" t="s">
        <v>856</v>
      </c>
      <c r="J59" s="32">
        <v>46285</v>
      </c>
    </row>
    <row r="60" spans="1:10" x14ac:dyDescent="0.3">
      <c r="A60" s="18" t="s">
        <v>864</v>
      </c>
      <c r="B60" s="8" t="s">
        <v>149</v>
      </c>
      <c r="C60" s="8" t="s">
        <v>855</v>
      </c>
      <c r="D60" s="18" t="s">
        <v>150</v>
      </c>
      <c r="E60" s="8" t="s">
        <v>77</v>
      </c>
      <c r="F60" s="18" t="s">
        <v>78</v>
      </c>
      <c r="G60" s="32">
        <v>46285</v>
      </c>
      <c r="H60" s="8" t="s">
        <v>79</v>
      </c>
      <c r="I60" s="8" t="s">
        <v>856</v>
      </c>
      <c r="J60" s="32">
        <v>46285</v>
      </c>
    </row>
    <row r="61" spans="1:10" x14ac:dyDescent="0.3">
      <c r="A61" s="18" t="s">
        <v>865</v>
      </c>
      <c r="B61" s="8" t="s">
        <v>151</v>
      </c>
      <c r="C61" s="8" t="s">
        <v>855</v>
      </c>
      <c r="D61" s="18" t="s">
        <v>148</v>
      </c>
      <c r="E61" s="8" t="s">
        <v>77</v>
      </c>
      <c r="F61" s="18" t="s">
        <v>78</v>
      </c>
      <c r="G61" s="32">
        <v>46285</v>
      </c>
      <c r="H61" s="8" t="s">
        <v>79</v>
      </c>
      <c r="I61" s="8" t="s">
        <v>856</v>
      </c>
      <c r="J61" s="32">
        <v>46285</v>
      </c>
    </row>
    <row r="62" spans="1:10" x14ac:dyDescent="0.3">
      <c r="A62" s="18" t="s">
        <v>866</v>
      </c>
      <c r="B62" s="8" t="s">
        <v>152</v>
      </c>
      <c r="C62" s="8" t="s">
        <v>855</v>
      </c>
      <c r="D62" s="18" t="s">
        <v>153</v>
      </c>
      <c r="E62" s="8" t="s">
        <v>77</v>
      </c>
      <c r="F62" s="18" t="s">
        <v>78</v>
      </c>
      <c r="G62" s="32">
        <v>46285</v>
      </c>
      <c r="H62" s="8" t="s">
        <v>79</v>
      </c>
      <c r="I62" s="8" t="s">
        <v>856</v>
      </c>
      <c r="J62" s="32">
        <v>46285</v>
      </c>
    </row>
    <row r="63" spans="1:10" x14ac:dyDescent="0.3">
      <c r="A63" s="18" t="s">
        <v>867</v>
      </c>
      <c r="B63" s="8" t="s">
        <v>154</v>
      </c>
      <c r="C63" s="8" t="s">
        <v>855</v>
      </c>
      <c r="D63" s="18" t="s">
        <v>142</v>
      </c>
      <c r="E63" s="8" t="s">
        <v>77</v>
      </c>
      <c r="F63" s="18" t="s">
        <v>78</v>
      </c>
      <c r="G63" s="32">
        <v>46285</v>
      </c>
      <c r="H63" s="8" t="s">
        <v>79</v>
      </c>
      <c r="I63" s="8" t="s">
        <v>856</v>
      </c>
      <c r="J63" s="32">
        <v>46285</v>
      </c>
    </row>
    <row r="64" spans="1:10" x14ac:dyDescent="0.3">
      <c r="A64" s="18" t="s">
        <v>868</v>
      </c>
      <c r="B64" s="8" t="s">
        <v>156</v>
      </c>
      <c r="C64" s="8" t="s">
        <v>855</v>
      </c>
      <c r="D64" s="18" t="s">
        <v>157</v>
      </c>
      <c r="E64" s="8" t="s">
        <v>77</v>
      </c>
      <c r="F64" s="18" t="s">
        <v>78</v>
      </c>
      <c r="G64" s="32">
        <v>46285</v>
      </c>
      <c r="H64" s="8" t="s">
        <v>79</v>
      </c>
      <c r="I64" s="8" t="s">
        <v>856</v>
      </c>
      <c r="J64" s="32">
        <v>46285</v>
      </c>
    </row>
    <row r="65" spans="1:10" x14ac:dyDescent="0.3">
      <c r="A65" s="18" t="s">
        <v>869</v>
      </c>
      <c r="B65" s="8" t="s">
        <v>158</v>
      </c>
      <c r="C65" s="8" t="s">
        <v>855</v>
      </c>
      <c r="D65" s="18" t="s">
        <v>159</v>
      </c>
      <c r="E65" s="8" t="s">
        <v>77</v>
      </c>
      <c r="F65" s="18" t="s">
        <v>78</v>
      </c>
      <c r="G65" s="32">
        <v>46285</v>
      </c>
      <c r="H65" s="8" t="s">
        <v>79</v>
      </c>
      <c r="I65" s="8" t="s">
        <v>856</v>
      </c>
      <c r="J65" s="32">
        <v>46285</v>
      </c>
    </row>
    <row r="66" spans="1:10" x14ac:dyDescent="0.3">
      <c r="A66" s="18" t="s">
        <v>870</v>
      </c>
      <c r="B66" s="8" t="s">
        <v>160</v>
      </c>
      <c r="C66" s="8" t="s">
        <v>855</v>
      </c>
      <c r="D66" s="18" t="s">
        <v>161</v>
      </c>
      <c r="E66" s="8" t="s">
        <v>77</v>
      </c>
      <c r="F66" s="18" t="s">
        <v>78</v>
      </c>
      <c r="G66" s="32">
        <v>46285</v>
      </c>
      <c r="H66" s="8" t="s">
        <v>79</v>
      </c>
      <c r="I66" s="8" t="s">
        <v>856</v>
      </c>
      <c r="J66" s="32">
        <v>46285</v>
      </c>
    </row>
    <row r="67" spans="1:10" x14ac:dyDescent="0.3">
      <c r="A67" s="18" t="s">
        <v>871</v>
      </c>
      <c r="B67" s="8" t="s">
        <v>162</v>
      </c>
      <c r="C67" s="8" t="s">
        <v>855</v>
      </c>
      <c r="D67" s="18" t="s">
        <v>148</v>
      </c>
      <c r="E67" s="8" t="s">
        <v>77</v>
      </c>
      <c r="F67" s="18" t="s">
        <v>78</v>
      </c>
      <c r="G67" s="32">
        <v>46285</v>
      </c>
      <c r="H67" s="8" t="s">
        <v>79</v>
      </c>
      <c r="I67" s="8" t="s">
        <v>856</v>
      </c>
      <c r="J67" s="32">
        <v>46285</v>
      </c>
    </row>
    <row r="68" spans="1:10" x14ac:dyDescent="0.3">
      <c r="A68" s="18" t="s">
        <v>872</v>
      </c>
      <c r="B68" s="8" t="s">
        <v>163</v>
      </c>
      <c r="C68" s="8" t="s">
        <v>855</v>
      </c>
      <c r="D68" s="18" t="s">
        <v>164</v>
      </c>
      <c r="E68" s="8" t="s">
        <v>77</v>
      </c>
      <c r="F68" s="18" t="s">
        <v>78</v>
      </c>
      <c r="G68" s="32">
        <v>46285</v>
      </c>
      <c r="H68" s="8" t="s">
        <v>79</v>
      </c>
      <c r="I68" s="8" t="s">
        <v>856</v>
      </c>
      <c r="J68" s="32">
        <v>46285</v>
      </c>
    </row>
    <row r="69" spans="1:10" x14ac:dyDescent="0.3">
      <c r="A69" s="18" t="s">
        <v>873</v>
      </c>
      <c r="B69" s="8" t="s">
        <v>165</v>
      </c>
      <c r="C69" s="8" t="s">
        <v>855</v>
      </c>
      <c r="D69" s="18" t="s">
        <v>166</v>
      </c>
      <c r="E69" s="8" t="s">
        <v>77</v>
      </c>
      <c r="F69" s="18" t="s">
        <v>78</v>
      </c>
      <c r="G69" s="32">
        <v>46285</v>
      </c>
      <c r="H69" s="8" t="s">
        <v>79</v>
      </c>
      <c r="I69" s="8" t="s">
        <v>856</v>
      </c>
      <c r="J69" s="32">
        <v>46285</v>
      </c>
    </row>
    <row r="70" spans="1:10" x14ac:dyDescent="0.3">
      <c r="A70" s="18" t="s">
        <v>874</v>
      </c>
      <c r="B70" s="8" t="s">
        <v>167</v>
      </c>
      <c r="C70" s="8" t="s">
        <v>855</v>
      </c>
      <c r="D70" s="18" t="s">
        <v>168</v>
      </c>
      <c r="E70" s="8" t="s">
        <v>77</v>
      </c>
      <c r="F70" s="18" t="s">
        <v>78</v>
      </c>
      <c r="G70" s="32">
        <v>46285</v>
      </c>
      <c r="H70" s="8" t="s">
        <v>79</v>
      </c>
      <c r="I70" s="8" t="s">
        <v>856</v>
      </c>
      <c r="J70" s="32">
        <v>46285</v>
      </c>
    </row>
    <row r="71" spans="1:10" x14ac:dyDescent="0.3">
      <c r="A71" s="18" t="s">
        <v>875</v>
      </c>
      <c r="B71" s="8" t="s">
        <v>171</v>
      </c>
      <c r="C71" s="8" t="s">
        <v>855</v>
      </c>
      <c r="D71" s="18" t="s">
        <v>172</v>
      </c>
      <c r="E71" s="8" t="s">
        <v>77</v>
      </c>
      <c r="F71" s="18" t="s">
        <v>78</v>
      </c>
      <c r="G71" s="32">
        <v>46285</v>
      </c>
      <c r="H71" s="8" t="s">
        <v>79</v>
      </c>
      <c r="I71" s="8" t="s">
        <v>856</v>
      </c>
      <c r="J71" s="32">
        <v>46285</v>
      </c>
    </row>
    <row r="72" spans="1:10" x14ac:dyDescent="0.3">
      <c r="A72" s="18" t="s">
        <v>876</v>
      </c>
      <c r="B72" s="8" t="s">
        <v>175</v>
      </c>
      <c r="C72" s="8" t="s">
        <v>855</v>
      </c>
      <c r="D72" s="18" t="s">
        <v>159</v>
      </c>
      <c r="E72" s="8" t="s">
        <v>77</v>
      </c>
      <c r="F72" s="18" t="s">
        <v>78</v>
      </c>
      <c r="G72" s="32">
        <v>46285</v>
      </c>
      <c r="H72" s="8" t="s">
        <v>79</v>
      </c>
      <c r="I72" s="8" t="s">
        <v>856</v>
      </c>
      <c r="J72" s="32">
        <v>46285</v>
      </c>
    </row>
    <row r="73" spans="1:10" x14ac:dyDescent="0.3">
      <c r="A73" s="18" t="s">
        <v>877</v>
      </c>
      <c r="B73" s="8" t="s">
        <v>176</v>
      </c>
      <c r="C73" s="8" t="s">
        <v>855</v>
      </c>
      <c r="D73" s="18" t="s">
        <v>177</v>
      </c>
      <c r="E73" s="8" t="s">
        <v>77</v>
      </c>
      <c r="F73" s="18" t="s">
        <v>78</v>
      </c>
      <c r="G73" s="32">
        <v>46285</v>
      </c>
      <c r="H73" s="8" t="s">
        <v>79</v>
      </c>
      <c r="I73" s="8" t="s">
        <v>856</v>
      </c>
      <c r="J73" s="32">
        <v>46285</v>
      </c>
    </row>
    <row r="74" spans="1:10" x14ac:dyDescent="0.3">
      <c r="A74" s="18" t="s">
        <v>878</v>
      </c>
      <c r="B74" s="8" t="s">
        <v>178</v>
      </c>
      <c r="C74" s="8" t="s">
        <v>855</v>
      </c>
      <c r="D74" s="18" t="s">
        <v>142</v>
      </c>
      <c r="E74" s="8" t="s">
        <v>77</v>
      </c>
      <c r="F74" s="18" t="s">
        <v>78</v>
      </c>
      <c r="G74" s="32">
        <v>46285</v>
      </c>
      <c r="H74" s="8" t="s">
        <v>79</v>
      </c>
      <c r="I74" s="8" t="s">
        <v>856</v>
      </c>
      <c r="J74" s="32">
        <v>46285</v>
      </c>
    </row>
    <row r="75" spans="1:10" x14ac:dyDescent="0.3">
      <c r="A75" s="18" t="s">
        <v>879</v>
      </c>
      <c r="B75" s="8" t="s">
        <v>181</v>
      </c>
      <c r="C75" s="8" t="s">
        <v>855</v>
      </c>
      <c r="D75" s="18" t="s">
        <v>142</v>
      </c>
      <c r="E75" s="8" t="s">
        <v>77</v>
      </c>
      <c r="F75" s="18" t="s">
        <v>78</v>
      </c>
      <c r="G75" s="32">
        <v>46285</v>
      </c>
      <c r="H75" s="8" t="s">
        <v>79</v>
      </c>
      <c r="I75" s="8" t="s">
        <v>856</v>
      </c>
      <c r="J75" s="32">
        <v>46285</v>
      </c>
    </row>
    <row r="76" spans="1:10" x14ac:dyDescent="0.3">
      <c r="A76" s="18" t="s">
        <v>880</v>
      </c>
      <c r="B76" s="8" t="s">
        <v>183</v>
      </c>
      <c r="C76" s="8" t="s">
        <v>855</v>
      </c>
      <c r="D76" s="18" t="s">
        <v>148</v>
      </c>
      <c r="E76" s="8" t="s">
        <v>77</v>
      </c>
      <c r="F76" s="18" t="s">
        <v>78</v>
      </c>
      <c r="G76" s="32">
        <v>46285</v>
      </c>
      <c r="H76" s="8" t="s">
        <v>79</v>
      </c>
      <c r="I76" s="8" t="s">
        <v>856</v>
      </c>
      <c r="J76" s="32">
        <v>46285</v>
      </c>
    </row>
    <row r="77" spans="1:10" x14ac:dyDescent="0.3">
      <c r="A77" s="18" t="s">
        <v>881</v>
      </c>
      <c r="B77" s="8" t="s">
        <v>184</v>
      </c>
      <c r="C77" s="8" t="s">
        <v>855</v>
      </c>
      <c r="D77" s="18" t="s">
        <v>185</v>
      </c>
      <c r="E77" s="8" t="s">
        <v>77</v>
      </c>
      <c r="F77" s="18" t="s">
        <v>78</v>
      </c>
      <c r="G77" s="32">
        <v>46285</v>
      </c>
      <c r="H77" s="8" t="s">
        <v>79</v>
      </c>
      <c r="I77" s="8" t="s">
        <v>856</v>
      </c>
      <c r="J77" s="32">
        <v>46285</v>
      </c>
    </row>
    <row r="78" spans="1:10" x14ac:dyDescent="0.3">
      <c r="A78" s="18" t="s">
        <v>882</v>
      </c>
      <c r="B78" s="8" t="s">
        <v>186</v>
      </c>
      <c r="C78" s="8" t="s">
        <v>855</v>
      </c>
      <c r="D78" s="18" t="s">
        <v>185</v>
      </c>
      <c r="E78" s="8" t="s">
        <v>77</v>
      </c>
      <c r="F78" s="18" t="s">
        <v>78</v>
      </c>
      <c r="G78" s="32">
        <v>46285</v>
      </c>
      <c r="H78" s="8" t="s">
        <v>79</v>
      </c>
      <c r="I78" s="8" t="s">
        <v>856</v>
      </c>
      <c r="J78" s="32">
        <v>46285</v>
      </c>
    </row>
    <row r="79" spans="1:10" x14ac:dyDescent="0.3">
      <c r="A79" s="18" t="s">
        <v>883</v>
      </c>
      <c r="B79" s="8" t="s">
        <v>187</v>
      </c>
      <c r="C79" s="8" t="s">
        <v>855</v>
      </c>
      <c r="D79" s="18" t="s">
        <v>148</v>
      </c>
      <c r="E79" s="8" t="s">
        <v>77</v>
      </c>
      <c r="F79" s="18" t="s">
        <v>78</v>
      </c>
      <c r="G79" s="32">
        <v>46285</v>
      </c>
      <c r="H79" s="8" t="s">
        <v>79</v>
      </c>
      <c r="I79" s="8" t="s">
        <v>856</v>
      </c>
      <c r="J79" s="32">
        <v>46285</v>
      </c>
    </row>
    <row r="80" spans="1:10" x14ac:dyDescent="0.3">
      <c r="A80" s="18" t="s">
        <v>884</v>
      </c>
      <c r="B80" s="8" t="s">
        <v>188</v>
      </c>
      <c r="C80" s="8" t="s">
        <v>855</v>
      </c>
      <c r="D80" s="18" t="s">
        <v>148</v>
      </c>
      <c r="E80" s="8" t="s">
        <v>77</v>
      </c>
      <c r="F80" s="18" t="s">
        <v>78</v>
      </c>
      <c r="G80" s="32">
        <v>46285</v>
      </c>
      <c r="H80" s="8" t="s">
        <v>79</v>
      </c>
      <c r="I80" s="8" t="s">
        <v>856</v>
      </c>
      <c r="J80" s="32">
        <v>46285</v>
      </c>
    </row>
    <row r="81" spans="1:10" x14ac:dyDescent="0.3">
      <c r="A81" s="18" t="s">
        <v>885</v>
      </c>
      <c r="B81" s="8" t="s">
        <v>189</v>
      </c>
      <c r="C81" s="8" t="s">
        <v>855</v>
      </c>
      <c r="D81" s="18" t="s">
        <v>148</v>
      </c>
      <c r="E81" s="8" t="s">
        <v>77</v>
      </c>
      <c r="F81" s="18" t="s">
        <v>78</v>
      </c>
      <c r="G81" s="32">
        <v>46285</v>
      </c>
      <c r="H81" s="8" t="s">
        <v>79</v>
      </c>
      <c r="I81" s="8" t="s">
        <v>856</v>
      </c>
      <c r="J81" s="32">
        <v>46285</v>
      </c>
    </row>
    <row r="82" spans="1:10" x14ac:dyDescent="0.3">
      <c r="A82" s="18" t="s">
        <v>886</v>
      </c>
      <c r="B82" s="8" t="s">
        <v>190</v>
      </c>
      <c r="C82" s="8" t="s">
        <v>855</v>
      </c>
      <c r="D82" s="18" t="s">
        <v>148</v>
      </c>
      <c r="E82" s="8" t="s">
        <v>77</v>
      </c>
      <c r="F82" s="18" t="s">
        <v>78</v>
      </c>
      <c r="G82" s="32">
        <v>46285</v>
      </c>
      <c r="H82" s="8" t="s">
        <v>79</v>
      </c>
      <c r="I82" s="8" t="s">
        <v>856</v>
      </c>
      <c r="J82" s="32">
        <v>46285</v>
      </c>
    </row>
    <row r="83" spans="1:10" x14ac:dyDescent="0.3">
      <c r="A83" s="18" t="s">
        <v>887</v>
      </c>
      <c r="B83" s="8" t="s">
        <v>191</v>
      </c>
      <c r="C83" s="8" t="s">
        <v>855</v>
      </c>
      <c r="D83" s="18" t="s">
        <v>192</v>
      </c>
      <c r="E83" s="8" t="s">
        <v>77</v>
      </c>
      <c r="F83" s="18" t="s">
        <v>78</v>
      </c>
      <c r="G83" s="32">
        <v>46285</v>
      </c>
      <c r="H83" s="8" t="s">
        <v>79</v>
      </c>
      <c r="I83" s="8" t="s">
        <v>856</v>
      </c>
      <c r="J83" s="32">
        <v>46285</v>
      </c>
    </row>
    <row r="84" spans="1:10" x14ac:dyDescent="0.3">
      <c r="A84" s="18" t="s">
        <v>888</v>
      </c>
      <c r="B84" s="8" t="s">
        <v>193</v>
      </c>
      <c r="C84" s="8" t="s">
        <v>855</v>
      </c>
      <c r="D84" s="18" t="s">
        <v>194</v>
      </c>
      <c r="E84" s="8" t="s">
        <v>77</v>
      </c>
      <c r="F84" s="18" t="s">
        <v>78</v>
      </c>
      <c r="G84" s="32">
        <v>46285</v>
      </c>
      <c r="H84" s="8" t="s">
        <v>79</v>
      </c>
      <c r="I84" s="8" t="s">
        <v>856</v>
      </c>
      <c r="J84" s="32">
        <v>46285</v>
      </c>
    </row>
    <row r="85" spans="1:10" x14ac:dyDescent="0.3">
      <c r="A85" s="18" t="s">
        <v>889</v>
      </c>
      <c r="B85" s="8" t="s">
        <v>197</v>
      </c>
      <c r="C85" s="8" t="s">
        <v>855</v>
      </c>
      <c r="D85" s="18" t="s">
        <v>198</v>
      </c>
      <c r="E85" s="8" t="s">
        <v>77</v>
      </c>
      <c r="F85" s="18" t="s">
        <v>78</v>
      </c>
      <c r="G85" s="32">
        <v>46285</v>
      </c>
      <c r="H85" s="8" t="s">
        <v>79</v>
      </c>
      <c r="I85" s="8" t="s">
        <v>856</v>
      </c>
      <c r="J85" s="32">
        <v>46285</v>
      </c>
    </row>
    <row r="86" spans="1:10" x14ac:dyDescent="0.3">
      <c r="A86" s="18" t="s">
        <v>890</v>
      </c>
      <c r="B86" s="8" t="s">
        <v>199</v>
      </c>
      <c r="C86" s="8" t="s">
        <v>855</v>
      </c>
      <c r="D86" s="18" t="s">
        <v>142</v>
      </c>
      <c r="E86" s="8" t="s">
        <v>77</v>
      </c>
      <c r="F86" s="18" t="s">
        <v>78</v>
      </c>
      <c r="G86" s="32">
        <v>46285</v>
      </c>
      <c r="H86" s="8" t="s">
        <v>79</v>
      </c>
      <c r="I86" s="8" t="s">
        <v>856</v>
      </c>
      <c r="J86" s="32">
        <v>46285</v>
      </c>
    </row>
    <row r="87" spans="1:10" x14ac:dyDescent="0.3">
      <c r="A87" s="18" t="s">
        <v>891</v>
      </c>
      <c r="B87" s="8" t="s">
        <v>201</v>
      </c>
      <c r="C87" s="8" t="s">
        <v>855</v>
      </c>
      <c r="D87" s="18" t="s">
        <v>104</v>
      </c>
      <c r="E87" s="8" t="s">
        <v>77</v>
      </c>
      <c r="F87" s="18" t="s">
        <v>78</v>
      </c>
      <c r="G87" s="32">
        <v>46285</v>
      </c>
      <c r="H87" s="8" t="s">
        <v>79</v>
      </c>
      <c r="I87" s="8" t="s">
        <v>856</v>
      </c>
      <c r="J87" s="32">
        <v>46285</v>
      </c>
    </row>
    <row r="88" spans="1:10" x14ac:dyDescent="0.3">
      <c r="A88" s="18" t="s">
        <v>892</v>
      </c>
      <c r="B88" s="8" t="s">
        <v>202</v>
      </c>
      <c r="C88" s="8" t="s">
        <v>855</v>
      </c>
      <c r="D88" s="18" t="s">
        <v>142</v>
      </c>
      <c r="E88" s="8" t="s">
        <v>77</v>
      </c>
      <c r="F88" s="18" t="s">
        <v>78</v>
      </c>
      <c r="G88" s="32">
        <v>46285</v>
      </c>
      <c r="H88" s="8" t="s">
        <v>79</v>
      </c>
      <c r="I88" s="8" t="s">
        <v>856</v>
      </c>
      <c r="J88" s="32">
        <v>46285</v>
      </c>
    </row>
    <row r="89" spans="1:10" x14ac:dyDescent="0.3">
      <c r="A89" s="18" t="s">
        <v>893</v>
      </c>
      <c r="B89" s="8" t="s">
        <v>204</v>
      </c>
      <c r="C89" s="8" t="s">
        <v>855</v>
      </c>
      <c r="D89" s="18" t="s">
        <v>148</v>
      </c>
      <c r="E89" s="8" t="s">
        <v>77</v>
      </c>
      <c r="F89" s="18" t="s">
        <v>78</v>
      </c>
      <c r="G89" s="32">
        <v>46285</v>
      </c>
      <c r="H89" s="8" t="s">
        <v>79</v>
      </c>
      <c r="I89" s="8" t="s">
        <v>856</v>
      </c>
      <c r="J89" s="32">
        <v>46285</v>
      </c>
    </row>
    <row r="90" spans="1:10" x14ac:dyDescent="0.3">
      <c r="A90" s="18" t="s">
        <v>894</v>
      </c>
      <c r="B90" s="8" t="s">
        <v>205</v>
      </c>
      <c r="C90" s="8" t="s">
        <v>855</v>
      </c>
      <c r="D90" s="18" t="s">
        <v>206</v>
      </c>
      <c r="E90" s="8" t="s">
        <v>77</v>
      </c>
      <c r="F90" s="18" t="s">
        <v>78</v>
      </c>
      <c r="G90" s="32">
        <v>46285</v>
      </c>
      <c r="H90" s="8" t="s">
        <v>79</v>
      </c>
      <c r="I90" s="8" t="s">
        <v>856</v>
      </c>
      <c r="J90" s="32">
        <v>46285</v>
      </c>
    </row>
    <row r="91" spans="1:10" x14ac:dyDescent="0.3">
      <c r="A91" s="18" t="s">
        <v>895</v>
      </c>
      <c r="B91" s="8" t="s">
        <v>207</v>
      </c>
      <c r="C91" s="8" t="s">
        <v>855</v>
      </c>
      <c r="D91" s="18" t="s">
        <v>208</v>
      </c>
      <c r="E91" s="8" t="s">
        <v>77</v>
      </c>
      <c r="F91" s="18" t="s">
        <v>78</v>
      </c>
      <c r="G91" s="32">
        <v>46285</v>
      </c>
      <c r="H91" s="8" t="s">
        <v>79</v>
      </c>
      <c r="I91" s="8" t="s">
        <v>856</v>
      </c>
      <c r="J91" s="32">
        <v>46285</v>
      </c>
    </row>
    <row r="92" spans="1:10" x14ac:dyDescent="0.3">
      <c r="A92" s="18" t="s">
        <v>896</v>
      </c>
      <c r="B92" s="8" t="s">
        <v>209</v>
      </c>
      <c r="C92" s="8" t="s">
        <v>855</v>
      </c>
      <c r="D92" s="18" t="s">
        <v>208</v>
      </c>
      <c r="E92" s="8" t="s">
        <v>77</v>
      </c>
      <c r="F92" s="18" t="s">
        <v>78</v>
      </c>
      <c r="G92" s="32">
        <v>46285</v>
      </c>
      <c r="H92" s="8" t="s">
        <v>79</v>
      </c>
      <c r="I92" s="8" t="s">
        <v>856</v>
      </c>
      <c r="J92" s="32">
        <v>46285</v>
      </c>
    </row>
    <row r="93" spans="1:10" x14ac:dyDescent="0.3">
      <c r="A93" s="18" t="s">
        <v>897</v>
      </c>
      <c r="B93" s="8" t="s">
        <v>210</v>
      </c>
      <c r="C93" s="8" t="s">
        <v>855</v>
      </c>
      <c r="D93" s="18" t="s">
        <v>211</v>
      </c>
      <c r="E93" s="8" t="s">
        <v>77</v>
      </c>
      <c r="F93" s="18" t="s">
        <v>78</v>
      </c>
      <c r="G93" s="32">
        <v>46285</v>
      </c>
      <c r="H93" s="8" t="s">
        <v>79</v>
      </c>
      <c r="I93" s="8" t="s">
        <v>856</v>
      </c>
      <c r="J93" s="32">
        <v>46285</v>
      </c>
    </row>
    <row r="94" spans="1:10" x14ac:dyDescent="0.3">
      <c r="A94" s="18" t="s">
        <v>898</v>
      </c>
      <c r="B94" s="8" t="s">
        <v>212</v>
      </c>
      <c r="C94" s="8" t="s">
        <v>855</v>
      </c>
      <c r="D94" s="18" t="s">
        <v>142</v>
      </c>
      <c r="E94" s="8" t="s">
        <v>77</v>
      </c>
      <c r="F94" s="18" t="s">
        <v>78</v>
      </c>
      <c r="G94" s="32">
        <v>46285</v>
      </c>
      <c r="H94" s="8" t="s">
        <v>79</v>
      </c>
      <c r="I94" s="8" t="s">
        <v>856</v>
      </c>
      <c r="J94" s="32">
        <v>46285</v>
      </c>
    </row>
    <row r="95" spans="1:10" x14ac:dyDescent="0.3">
      <c r="A95" s="18" t="s">
        <v>899</v>
      </c>
      <c r="B95" s="8" t="s">
        <v>215</v>
      </c>
      <c r="C95" s="8" t="s">
        <v>855</v>
      </c>
      <c r="D95" s="18" t="s">
        <v>185</v>
      </c>
      <c r="E95" s="8" t="s">
        <v>77</v>
      </c>
      <c r="F95" s="18" t="s">
        <v>78</v>
      </c>
      <c r="G95" s="32">
        <v>46285</v>
      </c>
      <c r="H95" s="8" t="s">
        <v>79</v>
      </c>
      <c r="I95" s="8" t="s">
        <v>856</v>
      </c>
      <c r="J95" s="32">
        <v>46285</v>
      </c>
    </row>
    <row r="96" spans="1:10" x14ac:dyDescent="0.3">
      <c r="A96" s="18" t="s">
        <v>900</v>
      </c>
      <c r="B96" s="8" t="s">
        <v>216</v>
      </c>
      <c r="C96" s="8" t="s">
        <v>855</v>
      </c>
      <c r="D96" s="18" t="s">
        <v>142</v>
      </c>
      <c r="E96" s="8" t="s">
        <v>77</v>
      </c>
      <c r="F96" s="18" t="s">
        <v>78</v>
      </c>
      <c r="G96" s="32">
        <v>46285</v>
      </c>
      <c r="H96" s="8" t="s">
        <v>79</v>
      </c>
      <c r="I96" s="8" t="s">
        <v>856</v>
      </c>
      <c r="J96" s="32">
        <v>46285</v>
      </c>
    </row>
    <row r="97" spans="1:10" x14ac:dyDescent="0.3">
      <c r="A97" s="18" t="s">
        <v>901</v>
      </c>
      <c r="B97" s="8" t="s">
        <v>218</v>
      </c>
      <c r="C97" s="8" t="s">
        <v>855</v>
      </c>
      <c r="D97" s="18" t="s">
        <v>125</v>
      </c>
      <c r="E97" s="8" t="s">
        <v>77</v>
      </c>
      <c r="F97" s="18" t="s">
        <v>78</v>
      </c>
      <c r="G97" s="32">
        <v>46285</v>
      </c>
      <c r="H97" s="8" t="s">
        <v>79</v>
      </c>
      <c r="I97" s="8" t="s">
        <v>856</v>
      </c>
      <c r="J97" s="32">
        <v>46285</v>
      </c>
    </row>
    <row r="98" spans="1:10" x14ac:dyDescent="0.3">
      <c r="A98" s="18" t="s">
        <v>902</v>
      </c>
      <c r="B98" s="8" t="s">
        <v>219</v>
      </c>
      <c r="C98" s="8" t="s">
        <v>855</v>
      </c>
      <c r="D98" s="18" t="s">
        <v>220</v>
      </c>
      <c r="E98" s="8" t="s">
        <v>77</v>
      </c>
      <c r="F98" s="18" t="s">
        <v>78</v>
      </c>
      <c r="G98" s="32">
        <v>46285</v>
      </c>
      <c r="H98" s="8" t="s">
        <v>79</v>
      </c>
      <c r="I98" s="8" t="s">
        <v>856</v>
      </c>
      <c r="J98" s="32">
        <v>46285</v>
      </c>
    </row>
    <row r="99" spans="1:10" x14ac:dyDescent="0.3">
      <c r="A99" s="18" t="s">
        <v>903</v>
      </c>
      <c r="B99" s="8" t="s">
        <v>221</v>
      </c>
      <c r="C99" s="8" t="s">
        <v>855</v>
      </c>
      <c r="D99" s="18" t="s">
        <v>104</v>
      </c>
      <c r="E99" s="8" t="s">
        <v>77</v>
      </c>
      <c r="F99" s="18" t="s">
        <v>78</v>
      </c>
      <c r="G99" s="32">
        <v>46285</v>
      </c>
      <c r="H99" s="8" t="s">
        <v>79</v>
      </c>
      <c r="I99" s="8" t="s">
        <v>856</v>
      </c>
      <c r="J99" s="32">
        <v>46285</v>
      </c>
    </row>
    <row r="100" spans="1:10" x14ac:dyDescent="0.3">
      <c r="A100" s="18" t="s">
        <v>904</v>
      </c>
      <c r="B100" s="8" t="s">
        <v>222</v>
      </c>
      <c r="C100" s="8" t="s">
        <v>855</v>
      </c>
      <c r="D100" s="18" t="s">
        <v>142</v>
      </c>
      <c r="E100" s="8" t="s">
        <v>77</v>
      </c>
      <c r="F100" s="18" t="s">
        <v>78</v>
      </c>
      <c r="G100" s="32">
        <v>46285</v>
      </c>
      <c r="H100" s="8" t="s">
        <v>79</v>
      </c>
      <c r="I100" s="8" t="s">
        <v>856</v>
      </c>
      <c r="J100" s="32">
        <v>46285</v>
      </c>
    </row>
    <row r="101" spans="1:10" x14ac:dyDescent="0.3">
      <c r="A101" s="18" t="s">
        <v>905</v>
      </c>
      <c r="B101" s="8" t="s">
        <v>224</v>
      </c>
      <c r="C101" s="8" t="s">
        <v>855</v>
      </c>
      <c r="D101" s="18" t="s">
        <v>142</v>
      </c>
      <c r="E101" s="8" t="s">
        <v>77</v>
      </c>
      <c r="F101" s="18" t="s">
        <v>78</v>
      </c>
      <c r="G101" s="32">
        <v>46285</v>
      </c>
      <c r="H101" s="8" t="s">
        <v>79</v>
      </c>
      <c r="I101" s="8" t="s">
        <v>856</v>
      </c>
      <c r="J101" s="32">
        <v>46285</v>
      </c>
    </row>
    <row r="102" spans="1:10" x14ac:dyDescent="0.3">
      <c r="A102" s="18" t="s">
        <v>906</v>
      </c>
      <c r="B102" s="8" t="s">
        <v>226</v>
      </c>
      <c r="C102" s="8" t="s">
        <v>855</v>
      </c>
      <c r="D102" s="18" t="s">
        <v>142</v>
      </c>
      <c r="E102" s="8" t="s">
        <v>77</v>
      </c>
      <c r="F102" s="18" t="s">
        <v>78</v>
      </c>
      <c r="G102" s="32">
        <v>46285</v>
      </c>
      <c r="H102" s="8" t="s">
        <v>79</v>
      </c>
      <c r="I102" s="8" t="s">
        <v>856</v>
      </c>
      <c r="J102" s="32">
        <v>46285</v>
      </c>
    </row>
    <row r="103" spans="1:10" x14ac:dyDescent="0.3">
      <c r="A103" s="18" t="s">
        <v>907</v>
      </c>
      <c r="B103" s="8" t="s">
        <v>228</v>
      </c>
      <c r="C103" s="8" t="s">
        <v>855</v>
      </c>
      <c r="D103" s="18" t="s">
        <v>229</v>
      </c>
      <c r="E103" s="8" t="s">
        <v>77</v>
      </c>
      <c r="F103" s="18" t="s">
        <v>78</v>
      </c>
      <c r="G103" s="32">
        <v>46285</v>
      </c>
      <c r="H103" s="8" t="s">
        <v>79</v>
      </c>
      <c r="I103" s="8" t="s">
        <v>856</v>
      </c>
      <c r="J103" s="32">
        <v>46285</v>
      </c>
    </row>
    <row r="104" spans="1:10" x14ac:dyDescent="0.3">
      <c r="A104" s="18" t="s">
        <v>908</v>
      </c>
      <c r="B104" s="8" t="s">
        <v>230</v>
      </c>
      <c r="C104" s="8" t="s">
        <v>855</v>
      </c>
      <c r="D104" s="18" t="s">
        <v>206</v>
      </c>
      <c r="E104" s="8" t="s">
        <v>77</v>
      </c>
      <c r="F104" s="18" t="s">
        <v>78</v>
      </c>
      <c r="G104" s="32">
        <v>46285</v>
      </c>
      <c r="H104" s="8" t="s">
        <v>79</v>
      </c>
      <c r="I104" s="8" t="s">
        <v>856</v>
      </c>
      <c r="J104" s="32">
        <v>46285</v>
      </c>
    </row>
    <row r="105" spans="1:10" x14ac:dyDescent="0.3">
      <c r="A105" s="18" t="s">
        <v>909</v>
      </c>
      <c r="B105" s="8" t="s">
        <v>231</v>
      </c>
      <c r="C105" s="8" t="s">
        <v>855</v>
      </c>
      <c r="D105" s="18" t="s">
        <v>148</v>
      </c>
      <c r="E105" s="8" t="s">
        <v>77</v>
      </c>
      <c r="F105" s="18" t="s">
        <v>78</v>
      </c>
      <c r="G105" s="32">
        <v>46285</v>
      </c>
      <c r="H105" s="8" t="s">
        <v>79</v>
      </c>
      <c r="I105" s="8" t="s">
        <v>856</v>
      </c>
      <c r="J105" s="32">
        <v>46285</v>
      </c>
    </row>
    <row r="106" spans="1:10" x14ac:dyDescent="0.3">
      <c r="A106" s="18" t="s">
        <v>910</v>
      </c>
      <c r="B106" s="8" t="s">
        <v>430</v>
      </c>
      <c r="C106" s="9">
        <f>PriceBook!$E$4</f>
        <v>1</v>
      </c>
      <c r="D106" s="18" t="s">
        <v>432</v>
      </c>
      <c r="E106" s="8" t="s">
        <v>436</v>
      </c>
      <c r="F106" s="18" t="s">
        <v>911</v>
      </c>
      <c r="G106" s="32">
        <v>46285</v>
      </c>
      <c r="H106" s="8" t="s">
        <v>435</v>
      </c>
      <c r="I106" s="8" t="s">
        <v>768</v>
      </c>
      <c r="J106" s="32">
        <v>46285</v>
      </c>
    </row>
    <row r="107" spans="1:10" x14ac:dyDescent="0.3">
      <c r="A107" s="18" t="s">
        <v>912</v>
      </c>
      <c r="B107" s="8" t="s">
        <v>437</v>
      </c>
      <c r="C107" s="9">
        <f>PriceBook!$E$5</f>
        <v>2</v>
      </c>
      <c r="D107" s="18" t="s">
        <v>432</v>
      </c>
      <c r="E107" s="8" t="s">
        <v>436</v>
      </c>
      <c r="F107" s="18" t="s">
        <v>911</v>
      </c>
      <c r="G107" s="32">
        <v>46285</v>
      </c>
      <c r="H107" s="8" t="s">
        <v>435</v>
      </c>
      <c r="I107" s="8" t="s">
        <v>768</v>
      </c>
      <c r="J107" s="32">
        <v>46285</v>
      </c>
    </row>
    <row r="108" spans="1:10" x14ac:dyDescent="0.3">
      <c r="A108" s="18" t="s">
        <v>913</v>
      </c>
      <c r="B108" s="8" t="s">
        <v>438</v>
      </c>
      <c r="C108" s="9">
        <f>PriceBook!$E$6</f>
        <v>5</v>
      </c>
      <c r="D108" s="18" t="s">
        <v>432</v>
      </c>
      <c r="E108" s="8" t="s">
        <v>436</v>
      </c>
      <c r="F108" s="18" t="s">
        <v>911</v>
      </c>
      <c r="G108" s="32">
        <v>46285</v>
      </c>
      <c r="H108" s="8" t="s">
        <v>435</v>
      </c>
      <c r="I108" s="8" t="s">
        <v>768</v>
      </c>
      <c r="J108" s="32">
        <v>46285</v>
      </c>
    </row>
    <row r="109" spans="1:10" x14ac:dyDescent="0.3">
      <c r="A109" s="18" t="s">
        <v>914</v>
      </c>
      <c r="B109" s="8" t="s">
        <v>441</v>
      </c>
      <c r="C109" s="9">
        <f>PriceBook!$E$7</f>
        <v>0.75</v>
      </c>
      <c r="D109" s="18" t="s">
        <v>432</v>
      </c>
      <c r="E109" s="8" t="s">
        <v>436</v>
      </c>
      <c r="F109" s="18" t="s">
        <v>915</v>
      </c>
      <c r="G109" s="32">
        <v>46285</v>
      </c>
      <c r="H109" s="8" t="s">
        <v>435</v>
      </c>
      <c r="I109" s="8" t="s">
        <v>768</v>
      </c>
      <c r="J109" s="32">
        <v>46285</v>
      </c>
    </row>
    <row r="110" spans="1:10" x14ac:dyDescent="0.3">
      <c r="A110" s="18" t="s">
        <v>916</v>
      </c>
      <c r="B110" s="8" t="s">
        <v>445</v>
      </c>
      <c r="C110" s="9">
        <f>PriceBook!$E$8</f>
        <v>0.75</v>
      </c>
      <c r="D110" s="18" t="s">
        <v>432</v>
      </c>
      <c r="E110" s="8" t="s">
        <v>436</v>
      </c>
      <c r="F110" s="18" t="s">
        <v>917</v>
      </c>
      <c r="G110" s="32">
        <v>46285</v>
      </c>
      <c r="H110" s="8" t="s">
        <v>435</v>
      </c>
      <c r="I110" s="8" t="s">
        <v>768</v>
      </c>
      <c r="J110" s="32">
        <v>46285</v>
      </c>
    </row>
    <row r="111" spans="1:10" x14ac:dyDescent="0.3">
      <c r="A111" s="18" t="s">
        <v>918</v>
      </c>
      <c r="B111" s="8" t="s">
        <v>448</v>
      </c>
      <c r="C111" s="9">
        <f>PriceBook!$E$9</f>
        <v>20</v>
      </c>
      <c r="D111" s="18" t="s">
        <v>449</v>
      </c>
      <c r="E111" s="8" t="s">
        <v>436</v>
      </c>
      <c r="F111" s="18" t="s">
        <v>919</v>
      </c>
      <c r="G111" s="32">
        <v>46285</v>
      </c>
      <c r="H111" s="8" t="s">
        <v>435</v>
      </c>
      <c r="I111" s="8" t="s">
        <v>768</v>
      </c>
      <c r="J111" s="32">
        <v>46285</v>
      </c>
    </row>
    <row r="112" spans="1:10" x14ac:dyDescent="0.3">
      <c r="A112" s="18" t="s">
        <v>920</v>
      </c>
      <c r="B112" s="8" t="s">
        <v>451</v>
      </c>
      <c r="C112" s="9">
        <f>PriceBook!$E$10</f>
        <v>100</v>
      </c>
      <c r="D112" s="18" t="s">
        <v>449</v>
      </c>
      <c r="E112" s="8" t="s">
        <v>436</v>
      </c>
      <c r="F112" s="18" t="s">
        <v>919</v>
      </c>
      <c r="G112" s="32">
        <v>46285</v>
      </c>
      <c r="H112" s="8" t="s">
        <v>435</v>
      </c>
      <c r="I112" s="8" t="s">
        <v>768</v>
      </c>
      <c r="J112" s="32">
        <v>46285</v>
      </c>
    </row>
    <row r="113" spans="1:10" x14ac:dyDescent="0.3">
      <c r="A113" s="18" t="s">
        <v>921</v>
      </c>
      <c r="B113" s="8" t="s">
        <v>452</v>
      </c>
      <c r="C113" s="9">
        <f>PriceBook!$E$11</f>
        <v>20</v>
      </c>
      <c r="D113" s="18" t="s">
        <v>449</v>
      </c>
      <c r="E113" s="8" t="s">
        <v>436</v>
      </c>
      <c r="F113" s="18" t="s">
        <v>919</v>
      </c>
      <c r="G113" s="32">
        <v>46285</v>
      </c>
      <c r="H113" s="8" t="s">
        <v>435</v>
      </c>
      <c r="I113" s="8" t="s">
        <v>768</v>
      </c>
      <c r="J113" s="32">
        <v>46285</v>
      </c>
    </row>
    <row r="114" spans="1:10" x14ac:dyDescent="0.3">
      <c r="A114" s="18" t="s">
        <v>922</v>
      </c>
      <c r="B114" s="8" t="s">
        <v>455</v>
      </c>
      <c r="C114" s="9">
        <f>PriceBook!$E$12</f>
        <v>18</v>
      </c>
      <c r="D114" s="18" t="s">
        <v>449</v>
      </c>
      <c r="E114" s="8" t="s">
        <v>436</v>
      </c>
      <c r="F114" s="18" t="s">
        <v>923</v>
      </c>
      <c r="G114" s="32">
        <v>46285</v>
      </c>
      <c r="H114" s="8" t="s">
        <v>435</v>
      </c>
      <c r="I114" s="8" t="s">
        <v>768</v>
      </c>
      <c r="J114" s="32">
        <v>46285</v>
      </c>
    </row>
    <row r="115" spans="1:10" x14ac:dyDescent="0.3">
      <c r="A115" s="18" t="s">
        <v>924</v>
      </c>
      <c r="B115" s="8" t="s">
        <v>458</v>
      </c>
      <c r="C115" s="9">
        <f>PriceBook!$E$13</f>
        <v>30</v>
      </c>
      <c r="D115" s="18" t="s">
        <v>449</v>
      </c>
      <c r="E115" s="8" t="s">
        <v>436</v>
      </c>
      <c r="F115" s="18" t="s">
        <v>925</v>
      </c>
      <c r="G115" s="32">
        <v>46285</v>
      </c>
      <c r="H115" s="8" t="s">
        <v>435</v>
      </c>
      <c r="I115" s="8" t="s">
        <v>768</v>
      </c>
      <c r="J115" s="32">
        <v>46285</v>
      </c>
    </row>
    <row r="116" spans="1:10" x14ac:dyDescent="0.3">
      <c r="A116" s="18" t="s">
        <v>926</v>
      </c>
      <c r="B116" s="8" t="s">
        <v>461</v>
      </c>
      <c r="C116" s="9">
        <f>PriceBook!$E$14</f>
        <v>0.99</v>
      </c>
      <c r="D116" s="18" t="s">
        <v>463</v>
      </c>
      <c r="E116" s="8" t="s">
        <v>436</v>
      </c>
      <c r="F116" s="18" t="s">
        <v>927</v>
      </c>
      <c r="G116" s="32">
        <v>46285</v>
      </c>
      <c r="H116" s="8" t="s">
        <v>435</v>
      </c>
      <c r="I116" s="8" t="s">
        <v>768</v>
      </c>
      <c r="J116" s="32">
        <v>46285</v>
      </c>
    </row>
    <row r="117" spans="1:10" x14ac:dyDescent="0.3">
      <c r="A117" s="18" t="s">
        <v>928</v>
      </c>
      <c r="B117" s="8" t="s">
        <v>466</v>
      </c>
      <c r="C117" s="9">
        <f>PriceBook!$E$15</f>
        <v>1.5E-3</v>
      </c>
      <c r="D117" s="18" t="s">
        <v>467</v>
      </c>
      <c r="E117" s="8" t="s">
        <v>436</v>
      </c>
      <c r="F117" s="18" t="s">
        <v>929</v>
      </c>
      <c r="G117" s="32">
        <v>46285</v>
      </c>
      <c r="H117" s="8" t="s">
        <v>435</v>
      </c>
      <c r="I117" s="8" t="s">
        <v>768</v>
      </c>
      <c r="J117" s="32">
        <v>46285</v>
      </c>
    </row>
    <row r="118" spans="1:10" x14ac:dyDescent="0.3">
      <c r="A118" s="18" t="s">
        <v>930</v>
      </c>
      <c r="B118" s="8" t="s">
        <v>469</v>
      </c>
      <c r="C118" s="9">
        <f>PriceBook!$E$16</f>
        <v>1.4999999999999999E-2</v>
      </c>
      <c r="D118" s="18" t="s">
        <v>467</v>
      </c>
      <c r="E118" s="8" t="s">
        <v>436</v>
      </c>
      <c r="F118" s="18" t="s">
        <v>929</v>
      </c>
      <c r="G118" s="32">
        <v>46285</v>
      </c>
      <c r="H118" s="8" t="s">
        <v>435</v>
      </c>
      <c r="I118" s="8" t="s">
        <v>768</v>
      </c>
      <c r="J118" s="32">
        <v>46285</v>
      </c>
    </row>
    <row r="119" spans="1:10" x14ac:dyDescent="0.3">
      <c r="A119" s="18" t="s">
        <v>931</v>
      </c>
      <c r="B119" s="8" t="s">
        <v>470</v>
      </c>
      <c r="C119" s="9">
        <f>PriceBook!$E$17</f>
        <v>0.13</v>
      </c>
      <c r="D119" s="18" t="s">
        <v>432</v>
      </c>
      <c r="E119" s="8" t="s">
        <v>436</v>
      </c>
      <c r="F119" s="18" t="s">
        <v>915</v>
      </c>
      <c r="G119" s="32">
        <v>46285</v>
      </c>
      <c r="H119" s="8" t="s">
        <v>435</v>
      </c>
      <c r="I119" s="8" t="s">
        <v>768</v>
      </c>
      <c r="J119" s="32">
        <v>46285</v>
      </c>
    </row>
    <row r="120" spans="1:10" x14ac:dyDescent="0.3">
      <c r="A120" s="18" t="s">
        <v>932</v>
      </c>
      <c r="B120" s="8" t="s">
        <v>472</v>
      </c>
      <c r="C120" s="9">
        <f>PriceBook!$E$18</f>
        <v>16</v>
      </c>
      <c r="D120" s="18" t="s">
        <v>473</v>
      </c>
      <c r="E120" s="8" t="s">
        <v>436</v>
      </c>
      <c r="F120" s="18" t="s">
        <v>933</v>
      </c>
      <c r="G120" s="32">
        <v>46285</v>
      </c>
      <c r="H120" s="8" t="s">
        <v>435</v>
      </c>
      <c r="I120" s="8" t="s">
        <v>768</v>
      </c>
      <c r="J120" s="32">
        <v>46285</v>
      </c>
    </row>
    <row r="121" spans="1:10" x14ac:dyDescent="0.3">
      <c r="A121" s="18" t="s">
        <v>934</v>
      </c>
      <c r="B121" s="8" t="s">
        <v>475</v>
      </c>
      <c r="C121" s="9">
        <f>PriceBook!$E$19</f>
        <v>0.33</v>
      </c>
      <c r="D121" s="18" t="s">
        <v>476</v>
      </c>
      <c r="E121" s="8" t="s">
        <v>436</v>
      </c>
      <c r="F121" s="18" t="s">
        <v>933</v>
      </c>
      <c r="G121" s="32">
        <v>46285</v>
      </c>
      <c r="H121" s="8" t="s">
        <v>435</v>
      </c>
      <c r="I121" s="8" t="s">
        <v>768</v>
      </c>
      <c r="J121" s="32">
        <v>46285</v>
      </c>
    </row>
    <row r="122" spans="1:10" x14ac:dyDescent="0.3">
      <c r="A122" s="18" t="s">
        <v>935</v>
      </c>
      <c r="B122" s="8" t="s">
        <v>477</v>
      </c>
      <c r="C122" s="9">
        <f>PriceBook!$E$20</f>
        <v>50</v>
      </c>
      <c r="D122" s="18" t="s">
        <v>157</v>
      </c>
      <c r="E122" s="8" t="s">
        <v>436</v>
      </c>
      <c r="F122" s="18" t="s">
        <v>933</v>
      </c>
      <c r="G122" s="32">
        <v>46285</v>
      </c>
      <c r="H122" s="8" t="s">
        <v>435</v>
      </c>
      <c r="I122" s="8" t="s">
        <v>768</v>
      </c>
      <c r="J122" s="32">
        <v>46285</v>
      </c>
    </row>
    <row r="123" spans="1:10" x14ac:dyDescent="0.3">
      <c r="A123" s="18" t="s">
        <v>936</v>
      </c>
      <c r="B123" s="8" t="s">
        <v>479</v>
      </c>
      <c r="C123" s="9">
        <f>PriceBook!$E$21</f>
        <v>0.15</v>
      </c>
      <c r="D123" s="18" t="s">
        <v>480</v>
      </c>
      <c r="E123" s="8" t="s">
        <v>436</v>
      </c>
      <c r="F123" s="18" t="s">
        <v>937</v>
      </c>
      <c r="G123" s="32">
        <v>46285</v>
      </c>
      <c r="H123" s="8" t="s">
        <v>435</v>
      </c>
      <c r="I123" s="8" t="s">
        <v>768</v>
      </c>
      <c r="J123" s="32">
        <v>46285</v>
      </c>
    </row>
    <row r="124" spans="1:10" x14ac:dyDescent="0.3">
      <c r="A124" s="18" t="s">
        <v>938</v>
      </c>
      <c r="B124" s="8" t="s">
        <v>483</v>
      </c>
      <c r="C124" s="9">
        <f>PriceBook!$E$22</f>
        <v>10</v>
      </c>
      <c r="D124" s="18" t="s">
        <v>484</v>
      </c>
      <c r="E124" s="8" t="s">
        <v>436</v>
      </c>
      <c r="F124" s="18" t="s">
        <v>939</v>
      </c>
      <c r="G124" s="32">
        <v>46285</v>
      </c>
      <c r="H124" s="8" t="s">
        <v>435</v>
      </c>
      <c r="I124" s="8" t="s">
        <v>768</v>
      </c>
      <c r="J124" s="32">
        <v>46285</v>
      </c>
    </row>
    <row r="125" spans="1:10" x14ac:dyDescent="0.3">
      <c r="A125" s="18" t="s">
        <v>940</v>
      </c>
      <c r="B125" s="8" t="s">
        <v>487</v>
      </c>
      <c r="C125" s="9">
        <f>PriceBook!$E$23</f>
        <v>199</v>
      </c>
      <c r="D125" s="18" t="s">
        <v>157</v>
      </c>
      <c r="E125" s="8" t="s">
        <v>436</v>
      </c>
      <c r="F125" s="18" t="s">
        <v>941</v>
      </c>
      <c r="G125" s="32">
        <v>46285</v>
      </c>
      <c r="H125" s="8" t="s">
        <v>435</v>
      </c>
      <c r="I125" s="8" t="s">
        <v>768</v>
      </c>
      <c r="J125" s="32">
        <v>46285</v>
      </c>
    </row>
    <row r="126" spans="1:10" x14ac:dyDescent="0.3">
      <c r="A126" s="18" t="s">
        <v>942</v>
      </c>
      <c r="B126" s="8" t="s">
        <v>490</v>
      </c>
      <c r="C126" s="9">
        <f>PriceBook!$E$24</f>
        <v>8</v>
      </c>
      <c r="D126" s="18" t="s">
        <v>491</v>
      </c>
      <c r="E126" s="8" t="s">
        <v>436</v>
      </c>
      <c r="F126" s="18" t="s">
        <v>941</v>
      </c>
      <c r="G126" s="32">
        <v>46285</v>
      </c>
      <c r="H126" s="8" t="s">
        <v>435</v>
      </c>
      <c r="I126" s="8" t="s">
        <v>768</v>
      </c>
      <c r="J126" s="32">
        <v>46285</v>
      </c>
    </row>
    <row r="128" spans="1:10" x14ac:dyDescent="0.3">
      <c r="A128" s="7" t="s">
        <v>943</v>
      </c>
    </row>
    <row r="129" spans="1:3" x14ac:dyDescent="0.3">
      <c r="A129" s="8" t="s">
        <v>32</v>
      </c>
      <c r="C129" s="16">
        <f>Results!$E$43</f>
        <v>0.40853158745197732</v>
      </c>
    </row>
    <row r="130" spans="1:3" x14ac:dyDescent="0.3">
      <c r="A130" s="8" t="s">
        <v>33</v>
      </c>
      <c r="C130" s="16">
        <f>Results!$E$44</f>
        <v>0.25182311764992721</v>
      </c>
    </row>
    <row r="131" spans="1:3" x14ac:dyDescent="0.3">
      <c r="A131" s="8" t="s">
        <v>34</v>
      </c>
      <c r="C131" s="16">
        <f>Results!$E$45</f>
        <v>0.33964529489809542</v>
      </c>
    </row>
    <row r="132" spans="1:3" x14ac:dyDescent="0.3">
      <c r="A132" s="8" t="s">
        <v>35</v>
      </c>
      <c r="C132" s="16">
        <f>Results!$E$46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I72"/>
  <sheetViews>
    <sheetView workbookViewId="0"/>
  </sheetViews>
  <sheetFormatPr defaultRowHeight="14.4" x14ac:dyDescent="0.3"/>
  <cols>
    <col min="1" max="1" width="26" customWidth="1"/>
    <col min="2" max="2" width="70" customWidth="1"/>
    <col min="3" max="3" width="16" customWidth="1"/>
    <col min="4" max="4" width="60" customWidth="1"/>
    <col min="5" max="15" width="14" customWidth="1"/>
  </cols>
  <sheetData>
    <row r="1" spans="1:4" ht="17.399999999999999" x14ac:dyDescent="0.3">
      <c r="A1" s="5" t="s">
        <v>944</v>
      </c>
    </row>
    <row r="2" spans="1:4" x14ac:dyDescent="0.3">
      <c r="A2" s="18" t="s">
        <v>945</v>
      </c>
    </row>
    <row r="3" spans="1:4" x14ac:dyDescent="0.3">
      <c r="A3" s="19" t="s">
        <v>946</v>
      </c>
      <c r="B3" s="19" t="s">
        <v>947</v>
      </c>
      <c r="C3" s="19" t="s">
        <v>948</v>
      </c>
      <c r="D3" s="19" t="s">
        <v>949</v>
      </c>
    </row>
    <row r="4" spans="1:4" x14ac:dyDescent="0.3">
      <c r="A4" s="8">
        <v>1</v>
      </c>
      <c r="B4" s="8" t="s">
        <v>950</v>
      </c>
      <c r="C4" s="38" t="str">
        <f>IF(COUNTIF(L22:L33,"OK")=12,"PASS","FAIL")</f>
        <v>PASS</v>
      </c>
      <c r="D4" s="18" t="s">
        <v>951</v>
      </c>
    </row>
    <row r="5" spans="1:4" x14ac:dyDescent="0.3">
      <c r="A5" s="8">
        <v>2</v>
      </c>
      <c r="B5" s="8" t="s">
        <v>952</v>
      </c>
      <c r="C5" s="38" t="str">
        <f>IF(AND(Org!$B$5&gt;=1,Org!$B$5&lt;=60,ABS(B38-C38)&lt;0.005),"PASS","FAIL")</f>
        <v>PASS</v>
      </c>
      <c r="D5" s="18" t="s">
        <v>953</v>
      </c>
    </row>
    <row r="6" spans="1:4" x14ac:dyDescent="0.3">
      <c r="A6" s="8">
        <v>3</v>
      </c>
      <c r="B6" s="8" t="s">
        <v>954</v>
      </c>
      <c r="C6" s="38" t="str">
        <f>IF(AND(ABS(Results!$J$33-SUM(Results!$J$36:$J$40))&lt;0.01,ABS(Results!$J$33-(SUM(Results!$D$57:$H$57)+Results!$J$64))&lt;0.01),"PASS","FAIL")</f>
        <v>PASS</v>
      </c>
      <c r="D6" s="18" t="s">
        <v>955</v>
      </c>
    </row>
    <row r="7" spans="1:4" x14ac:dyDescent="0.3">
      <c r="A7" s="8">
        <v>4</v>
      </c>
      <c r="B7" s="8" t="s">
        <v>956</v>
      </c>
      <c r="C7" s="38" t="str">
        <f>IF(AND(SUM(B42:B46)&lt;0.005,SUM(C42:C46)&gt;0,B47&gt;0),"PASS","FAIL")</f>
        <v>PASS</v>
      </c>
      <c r="D7" s="18" t="s">
        <v>957</v>
      </c>
    </row>
    <row r="8" spans="1:4" x14ac:dyDescent="0.3">
      <c r="A8" s="8">
        <v>5</v>
      </c>
      <c r="B8" s="8" t="s">
        <v>958</v>
      </c>
      <c r="C8" s="38" t="str">
        <f>IF(AND(SUMPRODUCT(ABS(Levers!$B$40:$E$40))&lt;0.000000001,SUMPRODUCT(ABS(Levers!$B$16:$F$16))&lt;0.000000001),"PASS","FAIL")</f>
        <v>PASS</v>
      </c>
      <c r="D8" s="18" t="s">
        <v>959</v>
      </c>
    </row>
    <row r="9" spans="1:4" x14ac:dyDescent="0.3">
      <c r="A9" s="8">
        <v>6</v>
      </c>
      <c r="B9" s="8" t="s">
        <v>960</v>
      </c>
      <c r="C9" s="38" t="str">
        <f>IF(AND(ABS(B50-C50)&lt;0.005,IF(Org!$B$18*Calc_Base!$B$166=1,TRUE,ABS(B51-C51)&gt;0.005)),"PASS","FAIL")</f>
        <v>PASS</v>
      </c>
      <c r="D9" s="18" t="s">
        <v>961</v>
      </c>
    </row>
    <row r="10" spans="1:4" x14ac:dyDescent="0.3">
      <c r="A10" s="8">
        <v>7</v>
      </c>
      <c r="B10" s="8" t="s">
        <v>962</v>
      </c>
      <c r="C10" s="38" t="str">
        <f>IF(AND(COUNTBLANK(Evidence!$E$4:$H$126)=0,COUNTBLANK(Evidence!$J$4:$J$126)=0,ABS(Results!$E$47-1)&lt;0.000000001),"PASS","FAIL")</f>
        <v>PASS</v>
      </c>
      <c r="D10" s="18" t="s">
        <v>963</v>
      </c>
    </row>
    <row r="11" spans="1:4" x14ac:dyDescent="0.3">
      <c r="A11" s="8">
        <v>8</v>
      </c>
      <c r="B11" s="8" t="s">
        <v>964</v>
      </c>
      <c r="C11" s="38" t="str">
        <f>IF(AND(SUMPRODUCT((PriceBook!$A$4:$A$203&lt;&gt;"")*(PriceBook!$K$4:$K$203=""))=0,SUMPRODUCT((PriceBook!$A$4:$A$203&lt;&gt;"")*(PriceBook!$M$4:$M$203=""))=0,SUMPRODUCT((PriceBook!$A$4:$A$203&lt;&gt;"")*(PriceBook!$E$4:$E$203=""))=0),"PASS","FAIL")</f>
        <v>PASS</v>
      </c>
      <c r="D11" s="18" t="s">
        <v>965</v>
      </c>
    </row>
    <row r="12" spans="1:4" x14ac:dyDescent="0.3">
      <c r="A12" s="8">
        <v>9</v>
      </c>
      <c r="B12" s="8" t="s">
        <v>966</v>
      </c>
      <c r="C12" s="38" t="str">
        <f>IF(AND(ABS(E55-D55)&lt;0.000001,D56=1,ABS(B56-C56)&lt;0.000001),"PASS","FAIL")</f>
        <v>PASS</v>
      </c>
      <c r="D12" s="18" t="s">
        <v>967</v>
      </c>
    </row>
    <row r="13" spans="1:4" x14ac:dyDescent="0.3">
      <c r="A13" s="8">
        <v>10</v>
      </c>
      <c r="B13" s="8" t="s">
        <v>968</v>
      </c>
      <c r="C13" s="38" t="str">
        <f>IF(COUNTIF(Scenarios!$E$4:$E$9,"OK")=6,"PASS","FAIL")</f>
        <v>PASS</v>
      </c>
      <c r="D13" s="18" t="s">
        <v>969</v>
      </c>
    </row>
    <row r="14" spans="1:4" x14ac:dyDescent="0.3">
      <c r="A14" s="8">
        <v>11</v>
      </c>
      <c r="B14" s="8" t="s">
        <v>970</v>
      </c>
      <c r="C14" s="38" t="str">
        <f>IF(AND(ABS(Calc_Base!$C$12-SUMPRODUCT((Calc_Base!$E$4:$BL$4&lt;=Org!$B$5)*Calc_Base!$E$12:$BL$12))&lt;0.005,ABS(Calc_Base!$C$11-SUMPRODUCT((Calc_Base!$E$4:$BL$4&lt;=Org!$B$5)*Calc_Base!$E$11:$BL$11))&lt;0.005,ABS(Calc_Base!$C$39-SUMPRODUCT((Calc_Base!$E$4:$BL$4&lt;=Org!$B$5)*Calc_Base!$E$39:$BL$39))&lt;0.005,ABS(Calc_Base!$C$38-SUMPRODUCT((Calc_Base!$E$4:$BL$4&lt;=Org!$B$5)*Calc_Base!$E$38:$BL$38))&lt;0.005,ABS(Calc_Base!$C$66-SUMPRODUCT((Calc_Base!$E$4:$BL$4&lt;=Org!$B$5)*Calc_Base!$E$66:$BL$66))&lt;0.005,ABS(Calc_Base!$C$65-SUMPRODUCT((Calc_Base!$E$4:$BL$4&lt;=Org!$B$5)*Calc_Base!$E$65:$BL$65))&lt;0.005,ABS(Calc_Base!$C$93-SUMPRODUCT((Calc_Base!$E$4:$BL$4&lt;=Org!$B$5)*Calc_Base!$E$93:$BL$93))&lt;0.005,ABS(Calc_Base!$C$92-SUMPRODUCT((Calc_Base!$E$4:$BL$4&lt;=Org!$B$5)*Calc_Base!$E$92:$BL$92))&lt;0.005,ABS(Calc_Base!$C$120-SUMPRODUCT((Calc_Base!$E$4:$BL$4&lt;=Org!$B$5)*Calc_Base!$E$120:$BL$120))&lt;0.005,ABS(Calc_Base!$C$119-SUMPRODUCT((Calc_Base!$E$4:$BL$4&lt;=Org!$B$5)*Calc_Base!$E$119:$BL$119))&lt;0.005),"PASS","FAIL")</f>
        <v>PASS</v>
      </c>
      <c r="D14" s="18" t="s">
        <v>971</v>
      </c>
    </row>
    <row r="15" spans="1:4" x14ac:dyDescent="0.3">
      <c r="A15" s="8">
        <v>12</v>
      </c>
      <c r="B15" s="8" t="s">
        <v>972</v>
      </c>
      <c r="C15" s="38" t="str">
        <f>IF(SUM(C59:G70)+SUM(C71:D71)+C72=0,"PASS","FAIL")</f>
        <v>PASS</v>
      </c>
      <c r="D15" s="18" t="s">
        <v>973</v>
      </c>
    </row>
    <row r="16" spans="1:4" x14ac:dyDescent="0.3">
      <c r="B16" s="38" t="s">
        <v>974</v>
      </c>
      <c r="C16" s="38" t="str">
        <f>IF(COUNTIF(C4:C15,"PASS")=12,"ALL 12 PASS","CHECK: "&amp;(12-COUNTIF(C4:C15,"PASS"))&amp;" failing")</f>
        <v>ALL 12 PASS</v>
      </c>
    </row>
    <row r="20" spans="1:12" x14ac:dyDescent="0.3">
      <c r="A20" s="7" t="s">
        <v>975</v>
      </c>
    </row>
    <row r="21" spans="1:12" x14ac:dyDescent="0.3">
      <c r="A21" s="7" t="s">
        <v>976</v>
      </c>
      <c r="B21" s="7" t="s">
        <v>977</v>
      </c>
      <c r="C21" s="7" t="s">
        <v>112</v>
      </c>
      <c r="D21" s="7" t="s">
        <v>113</v>
      </c>
      <c r="E21" s="7" t="s">
        <v>114</v>
      </c>
      <c r="F21" s="7" t="s">
        <v>115</v>
      </c>
      <c r="G21" s="7" t="s">
        <v>116</v>
      </c>
      <c r="H21" s="7" t="s">
        <v>978</v>
      </c>
      <c r="I21" s="7" t="s">
        <v>979</v>
      </c>
      <c r="J21" s="7" t="s">
        <v>980</v>
      </c>
      <c r="K21" s="7" t="s">
        <v>641</v>
      </c>
      <c r="L21" s="7" t="s">
        <v>981</v>
      </c>
    </row>
    <row r="22" spans="1:12" x14ac:dyDescent="0.3">
      <c r="A22" s="8" t="s">
        <v>982</v>
      </c>
      <c r="B22" s="8" t="s">
        <v>92</v>
      </c>
      <c r="C22" s="44">
        <f>Calc_Base!$B$165*Calc_Base!$B$162/(Calc_Base!$B$162+Calc_Base!$C$162+Calc_Base!$D$162+Calc_Base!$E$162+Calc_Base!$F$162)</f>
        <v>1052885.1949297078</v>
      </c>
      <c r="D22" s="44">
        <f>Calc_Base!$B$165*Calc_Base!$C$162/(Calc_Base!$B$162+Calc_Base!$C$162+Calc_Base!$D$162+Calc_Base!$E$162+Calc_Base!$F$162)</f>
        <v>1285113.6044249833</v>
      </c>
      <c r="E22" s="44">
        <f>Calc_Base!$B$165*Calc_Base!$D$162/(Calc_Base!$B$162+Calc_Base!$C$162+Calc_Base!$D$162+Calc_Base!$E$162+Calc_Base!$F$162)</f>
        <v>378316.95782438369</v>
      </c>
      <c r="F22" s="44">
        <f>Calc_Base!$B$165*Calc_Base!$E$162/(Calc_Base!$B$162+Calc_Base!$C$162+Calc_Base!$D$162+Calc_Base!$E$162+Calc_Base!$F$162)</f>
        <v>117336.459534455</v>
      </c>
      <c r="G22" s="44">
        <f>Calc_Base!$B$165*Calc_Base!$F$162/(Calc_Base!$B$162+Calc_Base!$C$162+Calc_Base!$D$162+Calc_Base!$E$162+Calc_Base!$F$162)</f>
        <v>701923.4632864719</v>
      </c>
      <c r="H22" s="44">
        <f>0</f>
        <v>0</v>
      </c>
      <c r="I22" s="44">
        <f t="shared" ref="I22:I33" si="0">SUM(C22:H22)</f>
        <v>3535575.680000002</v>
      </c>
      <c r="J22" s="44">
        <f>Calc_Base!$B$165</f>
        <v>3535575.6800000016</v>
      </c>
      <c r="K22" s="36">
        <f t="shared" ref="K22:K33" si="1">I22-J22</f>
        <v>0</v>
      </c>
      <c r="L22" s="8" t="str">
        <f t="shared" ref="L22:L33" si="2">IF(ABS(K22)&lt;0.005,"OK","BAD")</f>
        <v>OK</v>
      </c>
    </row>
    <row r="23" spans="1:12" x14ac:dyDescent="0.3">
      <c r="A23" s="8" t="s">
        <v>982</v>
      </c>
      <c r="B23" s="8" t="s">
        <v>983</v>
      </c>
      <c r="C23" s="44">
        <f>Calc_Base!$B$165*Calc_Base!$B$163/(Calc_Base!$B$163+Calc_Base!$C$163+Calc_Base!$D$163+Calc_Base!$E$163+Calc_Base!$F$163)</f>
        <v>1890682.1818181826</v>
      </c>
      <c r="D23" s="44">
        <f>Calc_Base!$B$165*Calc_Base!$C$163/(Calc_Base!$B$163+Calc_Base!$C$163+Calc_Base!$D$163+Calc_Base!$E$163+Calc_Base!$F$163)</f>
        <v>252090.9575757577</v>
      </c>
      <c r="E23" s="44">
        <f>Calc_Base!$B$165*Calc_Base!$D$163/(Calc_Base!$B$163+Calc_Base!$C$163+Calc_Base!$D$163+Calc_Base!$E$163+Calc_Base!$F$163)</f>
        <v>37813.643636363653</v>
      </c>
      <c r="F23" s="44">
        <f>Calc_Base!$B$165*Calc_Base!$E$163/(Calc_Base!$B$163+Calc_Base!$C$163+Calc_Base!$D$163+Calc_Base!$E$163+Calc_Base!$F$163)</f>
        <v>94534.109090909129</v>
      </c>
      <c r="G23" s="44">
        <f>Calc_Base!$B$165*Calc_Base!$F$163/(Calc_Base!$B$163+Calc_Base!$C$163+Calc_Base!$D$163+Calc_Base!$E$163+Calc_Base!$F$163)</f>
        <v>1260454.7878787883</v>
      </c>
      <c r="H23" s="44">
        <f>0</f>
        <v>0</v>
      </c>
      <c r="I23" s="44">
        <f t="shared" si="0"/>
        <v>3535575.6800000006</v>
      </c>
      <c r="J23" s="44">
        <f>Calc_Base!$B$165</f>
        <v>3535575.6800000016</v>
      </c>
      <c r="K23" s="36">
        <f t="shared" si="1"/>
        <v>0</v>
      </c>
      <c r="L23" s="8" t="str">
        <f t="shared" si="2"/>
        <v>OK</v>
      </c>
    </row>
    <row r="24" spans="1:12" x14ac:dyDescent="0.3">
      <c r="A24" s="8" t="s">
        <v>982</v>
      </c>
      <c r="B24" s="8" t="s">
        <v>984</v>
      </c>
      <c r="C24" s="44">
        <f>IF(Org!$B$18=0,0,Calc_Base!$B$165*Teams!$C$5/Org!$B$18)</f>
        <v>707115.13600000029</v>
      </c>
      <c r="D24" s="44">
        <f>IF(Org!$B$18=0,0,Calc_Base!$B$165*Teams!$D$5/Org!$B$18)</f>
        <v>707115.13600000029</v>
      </c>
      <c r="E24" s="44">
        <f>IF(Org!$B$18=0,0,Calc_Base!$B$165*Teams!$E$5/Org!$B$18)</f>
        <v>707115.13600000029</v>
      </c>
      <c r="F24" s="44">
        <f>IF(Org!$B$18=0,0,Calc_Base!$B$165*Teams!$F$5/Org!$B$18)</f>
        <v>707115.13600000029</v>
      </c>
      <c r="G24" s="44">
        <f>IF(Org!$B$18=0,0,Calc_Base!$B$165*Teams!$G$5/Org!$B$18)</f>
        <v>707115.13600000029</v>
      </c>
      <c r="H24" s="44">
        <f>0</f>
        <v>0</v>
      </c>
      <c r="I24" s="44">
        <f t="shared" si="0"/>
        <v>3535575.6800000016</v>
      </c>
      <c r="J24" s="44">
        <f>Calc_Base!$B$165</f>
        <v>3535575.6800000016</v>
      </c>
      <c r="K24" s="36">
        <f t="shared" si="1"/>
        <v>0</v>
      </c>
      <c r="L24" s="8" t="str">
        <f t="shared" si="2"/>
        <v>OK</v>
      </c>
    </row>
    <row r="25" spans="1:12" x14ac:dyDescent="0.3">
      <c r="A25" s="8" t="s">
        <v>982</v>
      </c>
      <c r="B25" s="8" t="s">
        <v>985</v>
      </c>
      <c r="C25" s="44">
        <f>0</f>
        <v>0</v>
      </c>
      <c r="D25" s="44">
        <f>0</f>
        <v>0</v>
      </c>
      <c r="E25" s="44">
        <f>0</f>
        <v>0</v>
      </c>
      <c r="F25" s="44">
        <f>0</f>
        <v>0</v>
      </c>
      <c r="G25" s="44">
        <f>0</f>
        <v>0</v>
      </c>
      <c r="H25" s="44">
        <f>Calc_Base!$B$165</f>
        <v>3535575.6800000016</v>
      </c>
      <c r="I25" s="44">
        <f t="shared" si="0"/>
        <v>3535575.6800000016</v>
      </c>
      <c r="J25" s="44">
        <f>Calc_Base!$B$165</f>
        <v>3535575.6800000016</v>
      </c>
      <c r="K25" s="36">
        <f t="shared" si="1"/>
        <v>0</v>
      </c>
      <c r="L25" s="8" t="str">
        <f t="shared" si="2"/>
        <v>OK</v>
      </c>
    </row>
    <row r="26" spans="1:12" x14ac:dyDescent="0.3">
      <c r="A26" s="8" t="s">
        <v>986</v>
      </c>
      <c r="B26" s="8" t="s">
        <v>92</v>
      </c>
      <c r="C26" s="44">
        <f>Calc_Base!$B$165*Calc_Base!$B$166*Teams!$C$5</f>
        <v>1767787.8400000008</v>
      </c>
      <c r="D26" s="44">
        <f>Calc_Base!$B$165*Calc_Base!$B$166*Teams!$D$5</f>
        <v>1767787.8400000008</v>
      </c>
      <c r="E26" s="44">
        <f>Calc_Base!$B$165*Calc_Base!$B$166*Teams!$E$5</f>
        <v>1767787.8400000008</v>
      </c>
      <c r="F26" s="44">
        <f>Calc_Base!$B$165*Calc_Base!$B$166*Teams!$F$5</f>
        <v>1767787.8400000008</v>
      </c>
      <c r="G26" s="44">
        <f>Calc_Base!$B$165*Calc_Base!$B$166*Teams!$G$5</f>
        <v>1767787.8400000008</v>
      </c>
      <c r="H26" s="44">
        <f>0</f>
        <v>0</v>
      </c>
      <c r="I26" s="44">
        <f t="shared" si="0"/>
        <v>8838939.200000003</v>
      </c>
      <c r="J26" s="44">
        <f>Calc_Base!$B$165*Org!$B$18*Calc_Base!$B$166</f>
        <v>8838939.200000003</v>
      </c>
      <c r="K26" s="36">
        <f t="shared" si="1"/>
        <v>0</v>
      </c>
      <c r="L26" s="8" t="str">
        <f t="shared" si="2"/>
        <v>OK</v>
      </c>
    </row>
    <row r="27" spans="1:12" x14ac:dyDescent="0.3">
      <c r="A27" s="8" t="s">
        <v>986</v>
      </c>
      <c r="B27" s="8" t="s">
        <v>983</v>
      </c>
      <c r="C27" s="44">
        <f>Calc_Base!$B$165*Calc_Base!$B$166*Teams!$C$5</f>
        <v>1767787.8400000008</v>
      </c>
      <c r="D27" s="44">
        <f>Calc_Base!$B$165*Calc_Base!$B$166*Teams!$D$5</f>
        <v>1767787.8400000008</v>
      </c>
      <c r="E27" s="44">
        <f>Calc_Base!$B$165*Calc_Base!$B$166*Teams!$E$5</f>
        <v>1767787.8400000008</v>
      </c>
      <c r="F27" s="44">
        <f>Calc_Base!$B$165*Calc_Base!$B$166*Teams!$F$5</f>
        <v>1767787.8400000008</v>
      </c>
      <c r="G27" s="44">
        <f>Calc_Base!$B$165*Calc_Base!$B$166*Teams!$G$5</f>
        <v>1767787.8400000008</v>
      </c>
      <c r="H27" s="44">
        <f>0</f>
        <v>0</v>
      </c>
      <c r="I27" s="44">
        <f t="shared" si="0"/>
        <v>8838939.200000003</v>
      </c>
      <c r="J27" s="44">
        <f>Calc_Base!$B$165*Org!$B$18*Calc_Base!$B$166</f>
        <v>8838939.200000003</v>
      </c>
      <c r="K27" s="36">
        <f t="shared" si="1"/>
        <v>0</v>
      </c>
      <c r="L27" s="8" t="str">
        <f t="shared" si="2"/>
        <v>OK</v>
      </c>
    </row>
    <row r="28" spans="1:12" x14ac:dyDescent="0.3">
      <c r="A28" s="8" t="s">
        <v>986</v>
      </c>
      <c r="B28" s="8" t="s">
        <v>984</v>
      </c>
      <c r="C28" s="44">
        <f>Calc_Base!$B$165*Calc_Base!$B$166*Teams!$C$5</f>
        <v>1767787.8400000008</v>
      </c>
      <c r="D28" s="44">
        <f>Calc_Base!$B$165*Calc_Base!$B$166*Teams!$D$5</f>
        <v>1767787.8400000008</v>
      </c>
      <c r="E28" s="44">
        <f>Calc_Base!$B$165*Calc_Base!$B$166*Teams!$E$5</f>
        <v>1767787.8400000008</v>
      </c>
      <c r="F28" s="44">
        <f>Calc_Base!$B$165*Calc_Base!$B$166*Teams!$F$5</f>
        <v>1767787.8400000008</v>
      </c>
      <c r="G28" s="44">
        <f>Calc_Base!$B$165*Calc_Base!$B$166*Teams!$G$5</f>
        <v>1767787.8400000008</v>
      </c>
      <c r="H28" s="44">
        <f>0</f>
        <v>0</v>
      </c>
      <c r="I28" s="44">
        <f t="shared" si="0"/>
        <v>8838939.200000003</v>
      </c>
      <c r="J28" s="44">
        <f>Calc_Base!$B$165*Org!$B$18*Calc_Base!$B$166</f>
        <v>8838939.200000003</v>
      </c>
      <c r="K28" s="36">
        <f t="shared" si="1"/>
        <v>0</v>
      </c>
      <c r="L28" s="8" t="str">
        <f t="shared" si="2"/>
        <v>OK</v>
      </c>
    </row>
    <row r="29" spans="1:12" x14ac:dyDescent="0.3">
      <c r="A29" s="8" t="s">
        <v>986</v>
      </c>
      <c r="B29" s="8" t="s">
        <v>985</v>
      </c>
      <c r="C29" s="44">
        <f>Calc_Base!$B$165*Calc_Base!$B$166*Teams!$C$5</f>
        <v>1767787.8400000008</v>
      </c>
      <c r="D29" s="44">
        <f>Calc_Base!$B$165*Calc_Base!$B$166*Teams!$D$5</f>
        <v>1767787.8400000008</v>
      </c>
      <c r="E29" s="44">
        <f>Calc_Base!$B$165*Calc_Base!$B$166*Teams!$E$5</f>
        <v>1767787.8400000008</v>
      </c>
      <c r="F29" s="44">
        <f>Calc_Base!$B$165*Calc_Base!$B$166*Teams!$F$5</f>
        <v>1767787.8400000008</v>
      </c>
      <c r="G29" s="44">
        <f>Calc_Base!$B$165*Calc_Base!$B$166*Teams!$G$5</f>
        <v>1767787.8400000008</v>
      </c>
      <c r="H29" s="44">
        <f>0</f>
        <v>0</v>
      </c>
      <c r="I29" s="44">
        <f t="shared" si="0"/>
        <v>8838939.200000003</v>
      </c>
      <c r="J29" s="44">
        <f>Calc_Base!$B$165*Org!$B$18*Calc_Base!$B$166</f>
        <v>8838939.200000003</v>
      </c>
      <c r="K29" s="36">
        <f t="shared" si="1"/>
        <v>0</v>
      </c>
      <c r="L29" s="8" t="str">
        <f t="shared" si="2"/>
        <v>OK</v>
      </c>
    </row>
    <row r="30" spans="1:12" x14ac:dyDescent="0.3">
      <c r="A30" s="8" t="s">
        <v>89</v>
      </c>
      <c r="B30" s="8" t="s">
        <v>92</v>
      </c>
      <c r="C30" s="44">
        <f>Calc_Base!$B$165*Calc_Base!$B$162/(Calc_Base!$B$162+Calc_Base!$C$162+Calc_Base!$D$162+Calc_Base!$E$162+Calc_Base!$F$162)</f>
        <v>1052885.1949297078</v>
      </c>
      <c r="D30" s="44">
        <f>Calc_Base!$B$165*Calc_Base!$C$162/(Calc_Base!$B$162+Calc_Base!$C$162+Calc_Base!$D$162+Calc_Base!$E$162+Calc_Base!$F$162)</f>
        <v>1285113.6044249833</v>
      </c>
      <c r="E30" s="44">
        <f>Calc_Base!$B$165*Calc_Base!$D$162/(Calc_Base!$B$162+Calc_Base!$C$162+Calc_Base!$D$162+Calc_Base!$E$162+Calc_Base!$F$162)</f>
        <v>378316.95782438369</v>
      </c>
      <c r="F30" s="44">
        <f>Calc_Base!$B$165*Calc_Base!$E$162/(Calc_Base!$B$162+Calc_Base!$C$162+Calc_Base!$D$162+Calc_Base!$E$162+Calc_Base!$F$162)</f>
        <v>117336.459534455</v>
      </c>
      <c r="G30" s="44">
        <f>Calc_Base!$B$165*Calc_Base!$F$162/(Calc_Base!$B$162+Calc_Base!$C$162+Calc_Base!$D$162+Calc_Base!$E$162+Calc_Base!$F$162)</f>
        <v>701923.4632864719</v>
      </c>
      <c r="H30" s="44">
        <f>0</f>
        <v>0</v>
      </c>
      <c r="I30" s="44">
        <f t="shared" si="0"/>
        <v>3535575.680000002</v>
      </c>
      <c r="J30" s="44">
        <f>Calc_Base!$B$165</f>
        <v>3535575.6800000016</v>
      </c>
      <c r="K30" s="36">
        <f t="shared" si="1"/>
        <v>0</v>
      </c>
      <c r="L30" s="8" t="str">
        <f t="shared" si="2"/>
        <v>OK</v>
      </c>
    </row>
    <row r="31" spans="1:12" x14ac:dyDescent="0.3">
      <c r="A31" s="8" t="s">
        <v>89</v>
      </c>
      <c r="B31" s="8" t="s">
        <v>983</v>
      </c>
      <c r="C31" s="44">
        <f>Calc_Base!$B$165*Calc_Base!$B$163/(Calc_Base!$B$163+Calc_Base!$C$163+Calc_Base!$D$163+Calc_Base!$E$163+Calc_Base!$F$163)</f>
        <v>1890682.1818181826</v>
      </c>
      <c r="D31" s="44">
        <f>Calc_Base!$B$165*Calc_Base!$C$163/(Calc_Base!$B$163+Calc_Base!$C$163+Calc_Base!$D$163+Calc_Base!$E$163+Calc_Base!$F$163)</f>
        <v>252090.9575757577</v>
      </c>
      <c r="E31" s="44">
        <f>Calc_Base!$B$165*Calc_Base!$D$163/(Calc_Base!$B$163+Calc_Base!$C$163+Calc_Base!$D$163+Calc_Base!$E$163+Calc_Base!$F$163)</f>
        <v>37813.643636363653</v>
      </c>
      <c r="F31" s="44">
        <f>Calc_Base!$B$165*Calc_Base!$E$163/(Calc_Base!$B$163+Calc_Base!$C$163+Calc_Base!$D$163+Calc_Base!$E$163+Calc_Base!$F$163)</f>
        <v>94534.109090909129</v>
      </c>
      <c r="G31" s="44">
        <f>Calc_Base!$B$165*Calc_Base!$F$163/(Calc_Base!$B$163+Calc_Base!$C$163+Calc_Base!$D$163+Calc_Base!$E$163+Calc_Base!$F$163)</f>
        <v>1260454.7878787883</v>
      </c>
      <c r="H31" s="44">
        <f>0</f>
        <v>0</v>
      </c>
      <c r="I31" s="44">
        <f t="shared" si="0"/>
        <v>3535575.6800000006</v>
      </c>
      <c r="J31" s="44">
        <f>Calc_Base!$B$165</f>
        <v>3535575.6800000016</v>
      </c>
      <c r="K31" s="36">
        <f t="shared" si="1"/>
        <v>0</v>
      </c>
      <c r="L31" s="8" t="str">
        <f t="shared" si="2"/>
        <v>OK</v>
      </c>
    </row>
    <row r="32" spans="1:12" x14ac:dyDescent="0.3">
      <c r="A32" s="8" t="s">
        <v>89</v>
      </c>
      <c r="B32" s="8" t="s">
        <v>984</v>
      </c>
      <c r="C32" s="44">
        <f>IF(Org!$B$18=0,0,Calc_Base!$B$165*Teams!$C$5/Org!$B$18)</f>
        <v>707115.13600000029</v>
      </c>
      <c r="D32" s="44">
        <f>IF(Org!$B$18=0,0,Calc_Base!$B$165*Teams!$D$5/Org!$B$18)</f>
        <v>707115.13600000029</v>
      </c>
      <c r="E32" s="44">
        <f>IF(Org!$B$18=0,0,Calc_Base!$B$165*Teams!$E$5/Org!$B$18)</f>
        <v>707115.13600000029</v>
      </c>
      <c r="F32" s="44">
        <f>IF(Org!$B$18=0,0,Calc_Base!$B$165*Teams!$F$5/Org!$B$18)</f>
        <v>707115.13600000029</v>
      </c>
      <c r="G32" s="44">
        <f>IF(Org!$B$18=0,0,Calc_Base!$B$165*Teams!$G$5/Org!$B$18)</f>
        <v>707115.13600000029</v>
      </c>
      <c r="H32" s="44">
        <f>0</f>
        <v>0</v>
      </c>
      <c r="I32" s="44">
        <f t="shared" si="0"/>
        <v>3535575.6800000016</v>
      </c>
      <c r="J32" s="44">
        <f>Calc_Base!$B$165</f>
        <v>3535575.6800000016</v>
      </c>
      <c r="K32" s="36">
        <f t="shared" si="1"/>
        <v>0</v>
      </c>
      <c r="L32" s="8" t="str">
        <f t="shared" si="2"/>
        <v>OK</v>
      </c>
    </row>
    <row r="33" spans="1:61" x14ac:dyDescent="0.3">
      <c r="A33" s="8" t="s">
        <v>89</v>
      </c>
      <c r="B33" s="8" t="s">
        <v>985</v>
      </c>
      <c r="C33" s="44">
        <f>0</f>
        <v>0</v>
      </c>
      <c r="D33" s="44">
        <f>0</f>
        <v>0</v>
      </c>
      <c r="E33" s="44">
        <f>0</f>
        <v>0</v>
      </c>
      <c r="F33" s="44">
        <f>0</f>
        <v>0</v>
      </c>
      <c r="G33" s="44">
        <f>0</f>
        <v>0</v>
      </c>
      <c r="H33" s="44">
        <f>Calc_Base!$B$165</f>
        <v>3535575.6800000016</v>
      </c>
      <c r="I33" s="44">
        <f t="shared" si="0"/>
        <v>3535575.6800000016</v>
      </c>
      <c r="J33" s="44">
        <f>Calc_Base!$B$165</f>
        <v>3535575.6800000016</v>
      </c>
      <c r="K33" s="36">
        <f t="shared" si="1"/>
        <v>0</v>
      </c>
      <c r="L33" s="8" t="str">
        <f t="shared" si="2"/>
        <v>OK</v>
      </c>
    </row>
    <row r="35" spans="1:61" x14ac:dyDescent="0.3">
      <c r="A35" s="7" t="s">
        <v>987</v>
      </c>
    </row>
    <row r="36" spans="1:61" x14ac:dyDescent="0.3">
      <c r="A36" s="8" t="s">
        <v>988</v>
      </c>
      <c r="B36" s="22">
        <v>1</v>
      </c>
      <c r="C36" s="22">
        <v>2</v>
      </c>
      <c r="D36" s="22">
        <v>3</v>
      </c>
      <c r="E36" s="22">
        <v>4</v>
      </c>
      <c r="F36" s="22">
        <v>5</v>
      </c>
      <c r="G36" s="22">
        <v>6</v>
      </c>
      <c r="H36" s="22">
        <v>7</v>
      </c>
      <c r="I36" s="22">
        <v>8</v>
      </c>
      <c r="J36" s="22">
        <v>9</v>
      </c>
      <c r="K36" s="22">
        <v>10</v>
      </c>
      <c r="L36" s="22">
        <v>11</v>
      </c>
      <c r="M36" s="22">
        <v>12</v>
      </c>
      <c r="N36" s="22">
        <v>13</v>
      </c>
      <c r="O36" s="22">
        <v>14</v>
      </c>
      <c r="P36" s="22">
        <v>15</v>
      </c>
      <c r="Q36" s="22">
        <v>16</v>
      </c>
      <c r="R36" s="22">
        <v>17</v>
      </c>
      <c r="S36" s="22">
        <v>18</v>
      </c>
      <c r="T36" s="22">
        <v>19</v>
      </c>
      <c r="U36" s="22">
        <v>20</v>
      </c>
      <c r="V36" s="22">
        <v>21</v>
      </c>
      <c r="W36" s="22">
        <v>22</v>
      </c>
      <c r="X36" s="22">
        <v>23</v>
      </c>
      <c r="Y36" s="22">
        <v>24</v>
      </c>
      <c r="Z36" s="22">
        <v>25</v>
      </c>
      <c r="AA36" s="22">
        <v>26</v>
      </c>
      <c r="AB36" s="22">
        <v>27</v>
      </c>
      <c r="AC36" s="22">
        <v>28</v>
      </c>
      <c r="AD36" s="22">
        <v>29</v>
      </c>
      <c r="AE36" s="22">
        <v>30</v>
      </c>
      <c r="AF36" s="22">
        <v>31</v>
      </c>
      <c r="AG36" s="22">
        <v>32</v>
      </c>
      <c r="AH36" s="22">
        <v>33</v>
      </c>
      <c r="AI36" s="22">
        <v>34</v>
      </c>
      <c r="AJ36" s="22">
        <v>35</v>
      </c>
      <c r="AK36" s="22">
        <v>36</v>
      </c>
      <c r="AL36" s="22">
        <v>37</v>
      </c>
      <c r="AM36" s="22">
        <v>38</v>
      </c>
      <c r="AN36" s="22">
        <v>39</v>
      </c>
      <c r="AO36" s="22">
        <v>40</v>
      </c>
      <c r="AP36" s="22">
        <v>41</v>
      </c>
      <c r="AQ36" s="22">
        <v>42</v>
      </c>
      <c r="AR36" s="22">
        <v>43</v>
      </c>
      <c r="AS36" s="22">
        <v>44</v>
      </c>
      <c r="AT36" s="22">
        <v>45</v>
      </c>
      <c r="AU36" s="22">
        <v>46</v>
      </c>
      <c r="AV36" s="22">
        <v>47</v>
      </c>
      <c r="AW36" s="22">
        <v>48</v>
      </c>
      <c r="AX36" s="22">
        <v>49</v>
      </c>
      <c r="AY36" s="22">
        <v>50</v>
      </c>
      <c r="AZ36" s="22">
        <v>51</v>
      </c>
      <c r="BA36" s="22">
        <v>52</v>
      </c>
      <c r="BB36" s="22">
        <v>53</v>
      </c>
      <c r="BC36" s="22">
        <v>54</v>
      </c>
      <c r="BD36" s="22">
        <v>55</v>
      </c>
      <c r="BE36" s="22">
        <v>56</v>
      </c>
      <c r="BF36" s="22">
        <v>57</v>
      </c>
      <c r="BG36" s="22">
        <v>58</v>
      </c>
      <c r="BH36" s="22">
        <v>59</v>
      </c>
      <c r="BI36" s="22">
        <v>60</v>
      </c>
    </row>
    <row r="37" spans="1:61" x14ac:dyDescent="0.3">
      <c r="A37" s="8" t="s">
        <v>989</v>
      </c>
      <c r="B37" s="44">
        <f>IF(B36&lt;=Org!$B$5,(Calc_Base!$D$175+Calc_Base!$D$176)/Org!$B$5,0)</f>
        <v>57875.65833333334</v>
      </c>
      <c r="C37" s="44">
        <f>IF(C36&lt;=Org!$B$5,(Calc_Base!$D$175+Calc_Base!$D$176)/Org!$B$5,0)</f>
        <v>57875.65833333334</v>
      </c>
      <c r="D37" s="44">
        <f>IF(D36&lt;=Org!$B$5,(Calc_Base!$D$175+Calc_Base!$D$176)/Org!$B$5,0)</f>
        <v>57875.65833333334</v>
      </c>
      <c r="E37" s="44">
        <f>IF(E36&lt;=Org!$B$5,(Calc_Base!$D$175+Calc_Base!$D$176)/Org!$B$5,0)</f>
        <v>57875.65833333334</v>
      </c>
      <c r="F37" s="44">
        <f>IF(F36&lt;=Org!$B$5,(Calc_Base!$D$175+Calc_Base!$D$176)/Org!$B$5,0)</f>
        <v>57875.65833333334</v>
      </c>
      <c r="G37" s="44">
        <f>IF(G36&lt;=Org!$B$5,(Calc_Base!$D$175+Calc_Base!$D$176)/Org!$B$5,0)</f>
        <v>57875.65833333334</v>
      </c>
      <c r="H37" s="44">
        <f>IF(H36&lt;=Org!$B$5,(Calc_Base!$D$175+Calc_Base!$D$176)/Org!$B$5,0)</f>
        <v>57875.65833333334</v>
      </c>
      <c r="I37" s="44">
        <f>IF(I36&lt;=Org!$B$5,(Calc_Base!$D$175+Calc_Base!$D$176)/Org!$B$5,0)</f>
        <v>57875.65833333334</v>
      </c>
      <c r="J37" s="44">
        <f>IF(J36&lt;=Org!$B$5,(Calc_Base!$D$175+Calc_Base!$D$176)/Org!$B$5,0)</f>
        <v>57875.65833333334</v>
      </c>
      <c r="K37" s="44">
        <f>IF(K36&lt;=Org!$B$5,(Calc_Base!$D$175+Calc_Base!$D$176)/Org!$B$5,0)</f>
        <v>57875.65833333334</v>
      </c>
      <c r="L37" s="44">
        <f>IF(L36&lt;=Org!$B$5,(Calc_Base!$D$175+Calc_Base!$D$176)/Org!$B$5,0)</f>
        <v>57875.65833333334</v>
      </c>
      <c r="M37" s="44">
        <f>IF(M36&lt;=Org!$B$5,(Calc_Base!$D$175+Calc_Base!$D$176)/Org!$B$5,0)</f>
        <v>57875.65833333334</v>
      </c>
      <c r="N37" s="44">
        <f>IF(N36&lt;=Org!$B$5,(Calc_Base!$D$175+Calc_Base!$D$176)/Org!$B$5,0)</f>
        <v>57875.65833333334</v>
      </c>
      <c r="O37" s="44">
        <f>IF(O36&lt;=Org!$B$5,(Calc_Base!$D$175+Calc_Base!$D$176)/Org!$B$5,0)</f>
        <v>57875.65833333334</v>
      </c>
      <c r="P37" s="44">
        <f>IF(P36&lt;=Org!$B$5,(Calc_Base!$D$175+Calc_Base!$D$176)/Org!$B$5,0)</f>
        <v>57875.65833333334</v>
      </c>
      <c r="Q37" s="44">
        <f>IF(Q36&lt;=Org!$B$5,(Calc_Base!$D$175+Calc_Base!$D$176)/Org!$B$5,0)</f>
        <v>57875.65833333334</v>
      </c>
      <c r="R37" s="44">
        <f>IF(R36&lt;=Org!$B$5,(Calc_Base!$D$175+Calc_Base!$D$176)/Org!$B$5,0)</f>
        <v>57875.65833333334</v>
      </c>
      <c r="S37" s="44">
        <f>IF(S36&lt;=Org!$B$5,(Calc_Base!$D$175+Calc_Base!$D$176)/Org!$B$5,0)</f>
        <v>57875.65833333334</v>
      </c>
      <c r="T37" s="44">
        <f>IF(T36&lt;=Org!$B$5,(Calc_Base!$D$175+Calc_Base!$D$176)/Org!$B$5,0)</f>
        <v>57875.65833333334</v>
      </c>
      <c r="U37" s="44">
        <f>IF(U36&lt;=Org!$B$5,(Calc_Base!$D$175+Calc_Base!$D$176)/Org!$B$5,0)</f>
        <v>57875.65833333334</v>
      </c>
      <c r="V37" s="44">
        <f>IF(V36&lt;=Org!$B$5,(Calc_Base!$D$175+Calc_Base!$D$176)/Org!$B$5,0)</f>
        <v>57875.65833333334</v>
      </c>
      <c r="W37" s="44">
        <f>IF(W36&lt;=Org!$B$5,(Calc_Base!$D$175+Calc_Base!$D$176)/Org!$B$5,0)</f>
        <v>57875.65833333334</v>
      </c>
      <c r="X37" s="44">
        <f>IF(X36&lt;=Org!$B$5,(Calc_Base!$D$175+Calc_Base!$D$176)/Org!$B$5,0)</f>
        <v>57875.65833333334</v>
      </c>
      <c r="Y37" s="44">
        <f>IF(Y36&lt;=Org!$B$5,(Calc_Base!$D$175+Calc_Base!$D$176)/Org!$B$5,0)</f>
        <v>57875.65833333334</v>
      </c>
      <c r="Z37" s="44">
        <f>IF(Z36&lt;=Org!$B$5,(Calc_Base!$D$175+Calc_Base!$D$176)/Org!$B$5,0)</f>
        <v>57875.65833333334</v>
      </c>
      <c r="AA37" s="44">
        <f>IF(AA36&lt;=Org!$B$5,(Calc_Base!$D$175+Calc_Base!$D$176)/Org!$B$5,0)</f>
        <v>57875.65833333334</v>
      </c>
      <c r="AB37" s="44">
        <f>IF(AB36&lt;=Org!$B$5,(Calc_Base!$D$175+Calc_Base!$D$176)/Org!$B$5,0)</f>
        <v>57875.65833333334</v>
      </c>
      <c r="AC37" s="44">
        <f>IF(AC36&lt;=Org!$B$5,(Calc_Base!$D$175+Calc_Base!$D$176)/Org!$B$5,0)</f>
        <v>57875.65833333334</v>
      </c>
      <c r="AD37" s="44">
        <f>IF(AD36&lt;=Org!$B$5,(Calc_Base!$D$175+Calc_Base!$D$176)/Org!$B$5,0)</f>
        <v>57875.65833333334</v>
      </c>
      <c r="AE37" s="44">
        <f>IF(AE36&lt;=Org!$B$5,(Calc_Base!$D$175+Calc_Base!$D$176)/Org!$B$5,0)</f>
        <v>57875.65833333334</v>
      </c>
      <c r="AF37" s="44">
        <f>IF(AF36&lt;=Org!$B$5,(Calc_Base!$D$175+Calc_Base!$D$176)/Org!$B$5,0)</f>
        <v>57875.65833333334</v>
      </c>
      <c r="AG37" s="44">
        <f>IF(AG36&lt;=Org!$B$5,(Calc_Base!$D$175+Calc_Base!$D$176)/Org!$B$5,0)</f>
        <v>57875.65833333334</v>
      </c>
      <c r="AH37" s="44">
        <f>IF(AH36&lt;=Org!$B$5,(Calc_Base!$D$175+Calc_Base!$D$176)/Org!$B$5,0)</f>
        <v>57875.65833333334</v>
      </c>
      <c r="AI37" s="44">
        <f>IF(AI36&lt;=Org!$B$5,(Calc_Base!$D$175+Calc_Base!$D$176)/Org!$B$5,0)</f>
        <v>57875.65833333334</v>
      </c>
      <c r="AJ37" s="44">
        <f>IF(AJ36&lt;=Org!$B$5,(Calc_Base!$D$175+Calc_Base!$D$176)/Org!$B$5,0)</f>
        <v>57875.65833333334</v>
      </c>
      <c r="AK37" s="44">
        <f>IF(AK36&lt;=Org!$B$5,(Calc_Base!$D$175+Calc_Base!$D$176)/Org!$B$5,0)</f>
        <v>57875.65833333334</v>
      </c>
      <c r="AL37" s="44">
        <f>IF(AL36&lt;=Org!$B$5,(Calc_Base!$D$175+Calc_Base!$D$176)/Org!$B$5,0)</f>
        <v>0</v>
      </c>
      <c r="AM37" s="44">
        <f>IF(AM36&lt;=Org!$B$5,(Calc_Base!$D$175+Calc_Base!$D$176)/Org!$B$5,0)</f>
        <v>0</v>
      </c>
      <c r="AN37" s="44">
        <f>IF(AN36&lt;=Org!$B$5,(Calc_Base!$D$175+Calc_Base!$D$176)/Org!$B$5,0)</f>
        <v>0</v>
      </c>
      <c r="AO37" s="44">
        <f>IF(AO36&lt;=Org!$B$5,(Calc_Base!$D$175+Calc_Base!$D$176)/Org!$B$5,0)</f>
        <v>0</v>
      </c>
      <c r="AP37" s="44">
        <f>IF(AP36&lt;=Org!$B$5,(Calc_Base!$D$175+Calc_Base!$D$176)/Org!$B$5,0)</f>
        <v>0</v>
      </c>
      <c r="AQ37" s="44">
        <f>IF(AQ36&lt;=Org!$B$5,(Calc_Base!$D$175+Calc_Base!$D$176)/Org!$B$5,0)</f>
        <v>0</v>
      </c>
      <c r="AR37" s="44">
        <f>IF(AR36&lt;=Org!$B$5,(Calc_Base!$D$175+Calc_Base!$D$176)/Org!$B$5,0)</f>
        <v>0</v>
      </c>
      <c r="AS37" s="44">
        <f>IF(AS36&lt;=Org!$B$5,(Calc_Base!$D$175+Calc_Base!$D$176)/Org!$B$5,0)</f>
        <v>0</v>
      </c>
      <c r="AT37" s="44">
        <f>IF(AT36&lt;=Org!$B$5,(Calc_Base!$D$175+Calc_Base!$D$176)/Org!$B$5,0)</f>
        <v>0</v>
      </c>
      <c r="AU37" s="44">
        <f>IF(AU36&lt;=Org!$B$5,(Calc_Base!$D$175+Calc_Base!$D$176)/Org!$B$5,0)</f>
        <v>0</v>
      </c>
      <c r="AV37" s="44">
        <f>IF(AV36&lt;=Org!$B$5,(Calc_Base!$D$175+Calc_Base!$D$176)/Org!$B$5,0)</f>
        <v>0</v>
      </c>
      <c r="AW37" s="44">
        <f>IF(AW36&lt;=Org!$B$5,(Calc_Base!$D$175+Calc_Base!$D$176)/Org!$B$5,0)</f>
        <v>0</v>
      </c>
      <c r="AX37" s="44">
        <f>IF(AX36&lt;=Org!$B$5,(Calc_Base!$D$175+Calc_Base!$D$176)/Org!$B$5,0)</f>
        <v>0</v>
      </c>
      <c r="AY37" s="44">
        <f>IF(AY36&lt;=Org!$B$5,(Calc_Base!$D$175+Calc_Base!$D$176)/Org!$B$5,0)</f>
        <v>0</v>
      </c>
      <c r="AZ37" s="44">
        <f>IF(AZ36&lt;=Org!$B$5,(Calc_Base!$D$175+Calc_Base!$D$176)/Org!$B$5,0)</f>
        <v>0</v>
      </c>
      <c r="BA37" s="44">
        <f>IF(BA36&lt;=Org!$B$5,(Calc_Base!$D$175+Calc_Base!$D$176)/Org!$B$5,0)</f>
        <v>0</v>
      </c>
      <c r="BB37" s="44">
        <f>IF(BB36&lt;=Org!$B$5,(Calc_Base!$D$175+Calc_Base!$D$176)/Org!$B$5,0)</f>
        <v>0</v>
      </c>
      <c r="BC37" s="44">
        <f>IF(BC36&lt;=Org!$B$5,(Calc_Base!$D$175+Calc_Base!$D$176)/Org!$B$5,0)</f>
        <v>0</v>
      </c>
      <c r="BD37" s="44">
        <f>IF(BD36&lt;=Org!$B$5,(Calc_Base!$D$175+Calc_Base!$D$176)/Org!$B$5,0)</f>
        <v>0</v>
      </c>
      <c r="BE37" s="44">
        <f>IF(BE36&lt;=Org!$B$5,(Calc_Base!$D$175+Calc_Base!$D$176)/Org!$B$5,0)</f>
        <v>0</v>
      </c>
      <c r="BF37" s="44">
        <f>IF(BF36&lt;=Org!$B$5,(Calc_Base!$D$175+Calc_Base!$D$176)/Org!$B$5,0)</f>
        <v>0</v>
      </c>
      <c r="BG37" s="44">
        <f>IF(BG36&lt;=Org!$B$5,(Calc_Base!$D$175+Calc_Base!$D$176)/Org!$B$5,0)</f>
        <v>0</v>
      </c>
      <c r="BH37" s="44">
        <f>IF(BH36&lt;=Org!$B$5,(Calc_Base!$D$175+Calc_Base!$D$176)/Org!$B$5,0)</f>
        <v>0</v>
      </c>
      <c r="BI37" s="44">
        <f>IF(BI36&lt;=Org!$B$5,(Calc_Base!$D$175+Calc_Base!$D$176)/Org!$B$5,0)</f>
        <v>0</v>
      </c>
    </row>
    <row r="38" spans="1:61" x14ac:dyDescent="0.3">
      <c r="A38" s="8" t="s">
        <v>990</v>
      </c>
      <c r="B38" s="44">
        <f>(Calc_Base!$D$175+Calc_Base!$D$176)</f>
        <v>2083523.7000000002</v>
      </c>
      <c r="C38" s="44">
        <f>SUM(B37:BI37)</f>
        <v>2083523.7000000018</v>
      </c>
    </row>
    <row r="40" spans="1:61" x14ac:dyDescent="0.3">
      <c r="A40" s="7" t="s">
        <v>991</v>
      </c>
    </row>
    <row r="41" spans="1:61" x14ac:dyDescent="0.3">
      <c r="A41" s="8" t="s">
        <v>748</v>
      </c>
      <c r="B41" s="8" t="s">
        <v>992</v>
      </c>
      <c r="C41" s="8" t="s">
        <v>993</v>
      </c>
    </row>
    <row r="42" spans="1:61" x14ac:dyDescent="0.3">
      <c r="A42" s="9" t="str">
        <f>Teams!$C$4</f>
        <v>Corporate knowledge assistant (conservative calibration)</v>
      </c>
      <c r="B42" s="44">
        <f>SUMPRODUCT((Calc_Base!$E$12:$BL$12=0)*(Calc_Base!$E$14:$BL$14+Calc_Base!$E$15:$BL$15+Calc_Base!$E$16:$BL$16+Calc_Base!$E$22:$BL$22))</f>
        <v>0</v>
      </c>
      <c r="C42" s="22">
        <f>SUMPRODUCT((Calc_Base!$E$12:$BL$12=0)*(Calc_Base!$E$5:$BL$5=1))</f>
        <v>0</v>
      </c>
    </row>
    <row r="43" spans="1:61" x14ac:dyDescent="0.3">
      <c r="A43" s="9" t="str">
        <f>Teams!$D$4</f>
        <v>Engineering assistant</v>
      </c>
      <c r="B43" s="44">
        <f>SUMPRODUCT((Calc_Base!$E$39:$BL$39=0)*(Calc_Base!$E$41:$BL$41+Calc_Base!$E$42:$BL$42+Calc_Base!$E$43:$BL$43+Calc_Base!$E$49:$BL$49))</f>
        <v>0</v>
      </c>
      <c r="C43" s="22">
        <f>SUMPRODUCT((Calc_Base!$E$39:$BL$39=0)*(Calc_Base!$E$5:$BL$5=1))</f>
        <v>0</v>
      </c>
    </row>
    <row r="44" spans="1:61" x14ac:dyDescent="0.3">
      <c r="A44" s="9" t="str">
        <f>Teams!$E$4</f>
        <v>Customer service agent</v>
      </c>
      <c r="B44" s="44">
        <f>SUMPRODUCT((Calc_Base!$E$66:$BL$66=0)*(Calc_Base!$E$68:$BL$68+Calc_Base!$E$69:$BL$69+Calc_Base!$E$70:$BL$70+Calc_Base!$E$76:$BL$76))</f>
        <v>0</v>
      </c>
      <c r="C44" s="22">
        <f>SUMPRODUCT((Calc_Base!$E$66:$BL$66=0)*(Calc_Base!$E$5:$BL$5=1))</f>
        <v>1</v>
      </c>
    </row>
    <row r="45" spans="1:61" x14ac:dyDescent="0.3">
      <c r="A45" s="9" t="str">
        <f>Teams!$F$4</f>
        <v>Regulated document review</v>
      </c>
      <c r="B45" s="44">
        <f>SUMPRODUCT((Calc_Base!$E$93:$BL$93=0)*(Calc_Base!$E$95:$BL$95+Calc_Base!$E$96:$BL$96+Calc_Base!$E$97:$BL$97+Calc_Base!$E$103:$BL$103))</f>
        <v>0</v>
      </c>
      <c r="C45" s="22">
        <f>SUMPRODUCT((Calc_Base!$E$93:$BL$93=0)*(Calc_Base!$E$5:$BL$5=1))</f>
        <v>2</v>
      </c>
    </row>
    <row r="46" spans="1:61" x14ac:dyDescent="0.3">
      <c r="A46" s="9" t="str">
        <f>Teams!$G$4</f>
        <v>Sales assistant (published-range calibration)</v>
      </c>
      <c r="B46" s="44">
        <f>SUMPRODUCT((Calc_Base!$E$120:$BL$120=0)*(Calc_Base!$E$122:$BL$122+Calc_Base!$E$123:$BL$123+Calc_Base!$E$124:$BL$124+Calc_Base!$E$130:$BL$130))</f>
        <v>0</v>
      </c>
      <c r="C46" s="22">
        <f>SUMPRODUCT((Calc_Base!$E$120:$BL$120=0)*(Calc_Base!$E$5:$BL$5=1))</f>
        <v>0</v>
      </c>
    </row>
    <row r="47" spans="1:61" x14ac:dyDescent="0.3">
      <c r="A47" s="8" t="s">
        <v>994</v>
      </c>
      <c r="B47" s="44">
        <f>Calc_Base!$E$158</f>
        <v>91515.8</v>
      </c>
    </row>
    <row r="49" spans="1:7" x14ac:dyDescent="0.3">
      <c r="A49" s="7" t="s">
        <v>995</v>
      </c>
    </row>
    <row r="50" spans="1:7" x14ac:dyDescent="0.3">
      <c r="A50" s="8" t="s">
        <v>996</v>
      </c>
      <c r="B50" s="44">
        <f>Calc_Base!$C$14+Calc_Base!$C$15+Calc_Base!$C$16+Calc_Base!$C$41+Calc_Base!$C$42+Calc_Base!$C$43+Calc_Base!$C$68+Calc_Base!$C$69+Calc_Base!$C$70+Calc_Base!$C$95+Calc_Base!$C$96+Calc_Base!$C$97+Calc_Base!$C$122+Calc_Base!$C$123+Calc_Base!$C$124</f>
        <v>2092930.9833600009</v>
      </c>
      <c r="C50" s="44">
        <f>Calc_Base!$C$14+Calc_Base!$C$15+Calc_Base!$C$16+Calc_Base!$C$41+Calc_Base!$C$42+Calc_Base!$C$43+Calc_Base!$C$68+Calc_Base!$C$69+Calc_Base!$C$70+Calc_Base!$C$95+Calc_Base!$C$96+Calc_Base!$C$97+Calc_Base!$C$122+Calc_Base!$C$123+Calc_Base!$C$124</f>
        <v>2092930.9833600009</v>
      </c>
    </row>
    <row r="51" spans="1:7" x14ac:dyDescent="0.3">
      <c r="A51" s="8" t="s">
        <v>997</v>
      </c>
      <c r="B51" s="44">
        <f>Calc_Base!$B$165</f>
        <v>3535575.6800000016</v>
      </c>
      <c r="C51" s="44">
        <f>Calc_Base!$B$165*Org!$B$18*Calc_Base!$B$166</f>
        <v>8838939.200000003</v>
      </c>
    </row>
    <row r="52" spans="1:7" x14ac:dyDescent="0.3">
      <c r="A52" s="18" t="s">
        <v>998</v>
      </c>
    </row>
    <row r="54" spans="1:7" x14ac:dyDescent="0.3">
      <c r="A54" s="7" t="s">
        <v>999</v>
      </c>
    </row>
    <row r="55" spans="1:7" x14ac:dyDescent="0.3">
      <c r="A55" s="8" t="s">
        <v>1000</v>
      </c>
      <c r="B55" s="21">
        <v>30</v>
      </c>
      <c r="C55" s="31">
        <v>0.5</v>
      </c>
      <c r="D55" s="21">
        <v>60</v>
      </c>
      <c r="E55" s="37">
        <f>B55/C55</f>
        <v>60</v>
      </c>
    </row>
    <row r="56" spans="1:7" x14ac:dyDescent="0.3">
      <c r="A56" s="8" t="s">
        <v>1001</v>
      </c>
      <c r="B56" s="36">
        <f>IF(INDEX(Calc_Base!$E$11:$BL$11,Org!$B$5)=0,0,INDEX(Calc_Base!$E$13:$BL$13,Org!$B$5)/INDEX(Calc_Base!$E$11:$BL$11,Org!$B$5))</f>
        <v>46.666666666666664</v>
      </c>
      <c r="C56" s="36">
        <f>Teams!$C$66/Teams!$C$19</f>
        <v>46.666666666666671</v>
      </c>
      <c r="D56" s="26">
        <f>INDEX(Calc_Base!$E$9:$BL$9,Org!$B$5)</f>
        <v>1</v>
      </c>
    </row>
    <row r="58" spans="1:7" x14ac:dyDescent="0.3">
      <c r="A58" s="7" t="s">
        <v>1002</v>
      </c>
    </row>
    <row r="59" spans="1:7" x14ac:dyDescent="0.3">
      <c r="A59" s="8" t="s">
        <v>141</v>
      </c>
      <c r="C59" s="22">
        <f>IF(Teams!$C$9="",0,IF(COUNTIF(PriceBook!$A$4:$A$203,Teams!$C$9)=1,0,1))</f>
        <v>0</v>
      </c>
      <c r="D59" s="22">
        <f>IF(Teams!$D$9="",0,IF(COUNTIF(PriceBook!$A$4:$A$203,Teams!$D$9)=1,0,1))</f>
        <v>0</v>
      </c>
      <c r="E59" s="22">
        <f>IF(Teams!$E$9="",0,IF(COUNTIF(PriceBook!$A$4:$A$203,Teams!$E$9)=1,0,1))</f>
        <v>0</v>
      </c>
      <c r="F59" s="22">
        <f>IF(Teams!$F$9="",0,IF(COUNTIF(PriceBook!$A$4:$A$203,Teams!$F$9)=1,0,1))</f>
        <v>0</v>
      </c>
      <c r="G59" s="22">
        <f>IF(Teams!$G$9="",0,IF(COUNTIF(PriceBook!$A$4:$A$203,Teams!$G$9)=1,0,1))</f>
        <v>0</v>
      </c>
    </row>
    <row r="60" spans="1:7" x14ac:dyDescent="0.3">
      <c r="A60" s="8" t="s">
        <v>145</v>
      </c>
      <c r="C60" s="22">
        <f>IF(Teams!$C$10="",0,IF(COUNTIF(PriceBook!$A$4:$A$203,Teams!$C$10)=1,0,1))</f>
        <v>0</v>
      </c>
      <c r="D60" s="22">
        <f>IF(Teams!$D$10="",0,IF(COUNTIF(PriceBook!$A$4:$A$203,Teams!$D$10)=1,0,1))</f>
        <v>0</v>
      </c>
      <c r="E60" s="22">
        <f>IF(Teams!$E$10="",0,IF(COUNTIF(PriceBook!$A$4:$A$203,Teams!$E$10)=1,0,1))</f>
        <v>0</v>
      </c>
      <c r="F60" s="22">
        <f>IF(Teams!$F$10="",0,IF(COUNTIF(PriceBook!$A$4:$A$203,Teams!$F$10)=1,0,1))</f>
        <v>0</v>
      </c>
      <c r="G60" s="22">
        <f>IF(Teams!$G$10="",0,IF(COUNTIF(PriceBook!$A$4:$A$203,Teams!$G$10)=1,0,1))</f>
        <v>0</v>
      </c>
    </row>
    <row r="61" spans="1:7" x14ac:dyDescent="0.3">
      <c r="A61" s="8" t="s">
        <v>154</v>
      </c>
      <c r="C61" s="22">
        <f>IF(Teams!$C$15="",0,IF(COUNTIF(PriceBook!$A$4:$A$203,Teams!$C$15)=1,0,1))</f>
        <v>0</v>
      </c>
      <c r="D61" s="22">
        <f>IF(Teams!$D$15="",0,IF(COUNTIF(PriceBook!$A$4:$A$203,Teams!$D$15)=1,0,1))</f>
        <v>0</v>
      </c>
      <c r="E61" s="22">
        <f>IF(Teams!$E$15="",0,IF(COUNTIF(PriceBook!$A$4:$A$203,Teams!$E$15)=1,0,1))</f>
        <v>0</v>
      </c>
      <c r="F61" s="22">
        <f>IF(Teams!$F$15="",0,IF(COUNTIF(PriceBook!$A$4:$A$203,Teams!$F$15)=1,0,1))</f>
        <v>0</v>
      </c>
      <c r="G61" s="22">
        <f>IF(Teams!$G$15="",0,IF(COUNTIF(PriceBook!$A$4:$A$203,Teams!$G$15)=1,0,1))</f>
        <v>0</v>
      </c>
    </row>
    <row r="62" spans="1:7" x14ac:dyDescent="0.3">
      <c r="A62" s="8" t="s">
        <v>178</v>
      </c>
      <c r="C62" s="22">
        <f>IF(Teams!$C$26="",0,IF(COUNTIF(PriceBook!$A$4:$A$203,Teams!$C$26)=1,0,1))</f>
        <v>0</v>
      </c>
      <c r="D62" s="22">
        <f>IF(Teams!$D$26="",0,IF(COUNTIF(PriceBook!$A$4:$A$203,Teams!$D$26)=1,0,1))</f>
        <v>0</v>
      </c>
      <c r="E62" s="22">
        <f>IF(Teams!$E$26="",0,IF(COUNTIF(PriceBook!$A$4:$A$203,Teams!$E$26)=1,0,1))</f>
        <v>0</v>
      </c>
      <c r="F62" s="22">
        <f>IF(Teams!$F$26="",0,IF(COUNTIF(PriceBook!$A$4:$A$203,Teams!$F$26)=1,0,1))</f>
        <v>0</v>
      </c>
      <c r="G62" s="22">
        <f>IF(Teams!$G$26="",0,IF(COUNTIF(PriceBook!$A$4:$A$203,Teams!$G$26)=1,0,1))</f>
        <v>0</v>
      </c>
    </row>
    <row r="63" spans="1:7" x14ac:dyDescent="0.3">
      <c r="A63" s="8" t="s">
        <v>181</v>
      </c>
      <c r="C63" s="22">
        <f>IF(Teams!$C$27="",0,IF(COUNTIF(PriceBook!$A$4:$A$203,Teams!$C$27)=1,0,1))</f>
        <v>0</v>
      </c>
      <c r="D63" s="22">
        <f>IF(Teams!$D$27="",0,IF(COUNTIF(PriceBook!$A$4:$A$203,Teams!$D$27)=1,0,1))</f>
        <v>0</v>
      </c>
      <c r="E63" s="22">
        <f>IF(Teams!$E$27="",0,IF(COUNTIF(PriceBook!$A$4:$A$203,Teams!$E$27)=1,0,1))</f>
        <v>0</v>
      </c>
      <c r="F63" s="22">
        <f>IF(Teams!$F$27="",0,IF(COUNTIF(PriceBook!$A$4:$A$203,Teams!$F$27)=1,0,1))</f>
        <v>0</v>
      </c>
      <c r="G63" s="22">
        <f>IF(Teams!$G$27="",0,IF(COUNTIF(PriceBook!$A$4:$A$203,Teams!$G$27)=1,0,1))</f>
        <v>0</v>
      </c>
    </row>
    <row r="64" spans="1:7" x14ac:dyDescent="0.3">
      <c r="A64" s="8" t="s">
        <v>199</v>
      </c>
      <c r="C64" s="22">
        <f>IF(Teams!$C$38="",0,IF(COUNTIF(PriceBook!$A$4:$A$203,Teams!$C$38)=1,0,1))</f>
        <v>0</v>
      </c>
      <c r="D64" s="22">
        <f>IF(Teams!$D$38="",0,IF(COUNTIF(PriceBook!$A$4:$A$203,Teams!$D$38)=1,0,1))</f>
        <v>0</v>
      </c>
      <c r="E64" s="22">
        <f>IF(Teams!$E$38="",0,IF(COUNTIF(PriceBook!$A$4:$A$203,Teams!$E$38)=1,0,1))</f>
        <v>0</v>
      </c>
      <c r="F64" s="22">
        <f>IF(Teams!$F$38="",0,IF(COUNTIF(PriceBook!$A$4:$A$203,Teams!$F$38)=1,0,1))</f>
        <v>0</v>
      </c>
      <c r="G64" s="22">
        <f>IF(Teams!$G$38="",0,IF(COUNTIF(PriceBook!$A$4:$A$203,Teams!$G$38)=1,0,1))</f>
        <v>0</v>
      </c>
    </row>
    <row r="65" spans="1:7" x14ac:dyDescent="0.3">
      <c r="A65" s="8" t="s">
        <v>202</v>
      </c>
      <c r="C65" s="22">
        <f>IF(Teams!$C$40="",0,IF(COUNTIF(PriceBook!$A$4:$A$203,Teams!$C$40)=1,0,1))</f>
        <v>0</v>
      </c>
      <c r="D65" s="22">
        <f>IF(Teams!$D$40="",0,IF(COUNTIF(PriceBook!$A$4:$A$203,Teams!$D$40)=1,0,1))</f>
        <v>0</v>
      </c>
      <c r="E65" s="22">
        <f>IF(Teams!$E$40="",0,IF(COUNTIF(PriceBook!$A$4:$A$203,Teams!$E$40)=1,0,1))</f>
        <v>0</v>
      </c>
      <c r="F65" s="22">
        <f>IF(Teams!$F$40="",0,IF(COUNTIF(PriceBook!$A$4:$A$203,Teams!$F$40)=1,0,1))</f>
        <v>0</v>
      </c>
      <c r="G65" s="22">
        <f>IF(Teams!$G$40="",0,IF(COUNTIF(PriceBook!$A$4:$A$203,Teams!$G$40)=1,0,1))</f>
        <v>0</v>
      </c>
    </row>
    <row r="66" spans="1:7" x14ac:dyDescent="0.3">
      <c r="A66" s="8" t="s">
        <v>212</v>
      </c>
      <c r="C66" s="22">
        <f>IF(Teams!$C$46="",0,IF(COUNTIF(PriceBook!$A$4:$A$203,Teams!$C$46)=1,0,1))</f>
        <v>0</v>
      </c>
      <c r="D66" s="22">
        <f>IF(Teams!$D$46="",0,IF(COUNTIF(PriceBook!$A$4:$A$203,Teams!$D$46)=1,0,1))</f>
        <v>0</v>
      </c>
      <c r="E66" s="22">
        <f>IF(Teams!$E$46="",0,IF(COUNTIF(PriceBook!$A$4:$A$203,Teams!$E$46)=1,0,1))</f>
        <v>0</v>
      </c>
      <c r="F66" s="22">
        <f>IF(Teams!$F$46="",0,IF(COUNTIF(PriceBook!$A$4:$A$203,Teams!$F$46)=1,0,1))</f>
        <v>0</v>
      </c>
      <c r="G66" s="22">
        <f>IF(Teams!$G$46="",0,IF(COUNTIF(PriceBook!$A$4:$A$203,Teams!$G$46)=1,0,1))</f>
        <v>0</v>
      </c>
    </row>
    <row r="67" spans="1:7" x14ac:dyDescent="0.3">
      <c r="A67" s="8" t="s">
        <v>216</v>
      </c>
      <c r="C67" s="22">
        <f>IF(Teams!$C$48="",0,IF(COUNTIF(PriceBook!$A$4:$A$203,Teams!$C$48)=1,0,1))</f>
        <v>0</v>
      </c>
      <c r="D67" s="22">
        <f>IF(Teams!$D$48="",0,IF(COUNTIF(PriceBook!$A$4:$A$203,Teams!$D$48)=1,0,1))</f>
        <v>0</v>
      </c>
      <c r="E67" s="22">
        <f>IF(Teams!$E$48="",0,IF(COUNTIF(PriceBook!$A$4:$A$203,Teams!$E$48)=1,0,1))</f>
        <v>0</v>
      </c>
      <c r="F67" s="22">
        <f>IF(Teams!$F$48="",0,IF(COUNTIF(PriceBook!$A$4:$A$203,Teams!$F$48)=1,0,1))</f>
        <v>0</v>
      </c>
      <c r="G67" s="22">
        <f>IF(Teams!$G$48="",0,IF(COUNTIF(PriceBook!$A$4:$A$203,Teams!$G$48)=1,0,1))</f>
        <v>0</v>
      </c>
    </row>
    <row r="68" spans="1:7" x14ac:dyDescent="0.3">
      <c r="A68" s="8" t="s">
        <v>222</v>
      </c>
      <c r="C68" s="22">
        <f>IF(Teams!$C$52="",0,IF(COUNTIF(PriceBook!$A$4:$A$203,Teams!$C$52)=1,0,1))</f>
        <v>0</v>
      </c>
      <c r="D68" s="22">
        <f>IF(Teams!$D$52="",0,IF(COUNTIF(PriceBook!$A$4:$A$203,Teams!$D$52)=1,0,1))</f>
        <v>0</v>
      </c>
      <c r="E68" s="22">
        <f>IF(Teams!$E$52="",0,IF(COUNTIF(PriceBook!$A$4:$A$203,Teams!$E$52)=1,0,1))</f>
        <v>0</v>
      </c>
      <c r="F68" s="22">
        <f>IF(Teams!$F$52="",0,IF(COUNTIF(PriceBook!$A$4:$A$203,Teams!$F$52)=1,0,1))</f>
        <v>0</v>
      </c>
      <c r="G68" s="22">
        <f>IF(Teams!$G$52="",0,IF(COUNTIF(PriceBook!$A$4:$A$203,Teams!$G$52)=1,0,1))</f>
        <v>0</v>
      </c>
    </row>
    <row r="69" spans="1:7" x14ac:dyDescent="0.3">
      <c r="A69" s="8" t="s">
        <v>224</v>
      </c>
      <c r="C69" s="22">
        <f>IF(Teams!$C$53="",0,IF(COUNTIF(PriceBook!$A$4:$A$203,Teams!$C$53)=1,0,1))</f>
        <v>0</v>
      </c>
      <c r="D69" s="22">
        <f>IF(Teams!$D$53="",0,IF(COUNTIF(PriceBook!$A$4:$A$203,Teams!$D$53)=1,0,1))</f>
        <v>0</v>
      </c>
      <c r="E69" s="22">
        <f>IF(Teams!$E$53="",0,IF(COUNTIF(PriceBook!$A$4:$A$203,Teams!$E$53)=1,0,1))</f>
        <v>0</v>
      </c>
      <c r="F69" s="22">
        <f>IF(Teams!$F$53="",0,IF(COUNTIF(PriceBook!$A$4:$A$203,Teams!$F$53)=1,0,1))</f>
        <v>0</v>
      </c>
      <c r="G69" s="22">
        <f>IF(Teams!$G$53="",0,IF(COUNTIF(PriceBook!$A$4:$A$203,Teams!$G$53)=1,0,1))</f>
        <v>0</v>
      </c>
    </row>
    <row r="70" spans="1:7" x14ac:dyDescent="0.3">
      <c r="A70" s="8" t="s">
        <v>226</v>
      </c>
      <c r="C70" s="22">
        <f>IF(Teams!$C$54="",0,IF(COUNTIF(PriceBook!$A$4:$A$203,Teams!$C$54)=1,0,1))</f>
        <v>0</v>
      </c>
      <c r="D70" s="22">
        <f>IF(Teams!$D$54="",0,IF(COUNTIF(PriceBook!$A$4:$A$203,Teams!$D$54)=1,0,1))</f>
        <v>0</v>
      </c>
      <c r="E70" s="22">
        <f>IF(Teams!$E$54="",0,IF(COUNTIF(PriceBook!$A$4:$A$203,Teams!$E$54)=1,0,1))</f>
        <v>0</v>
      </c>
      <c r="F70" s="22">
        <f>IF(Teams!$F$54="",0,IF(COUNTIF(PriceBook!$A$4:$A$203,Teams!$F$54)=1,0,1))</f>
        <v>0</v>
      </c>
      <c r="G70" s="22">
        <f>IF(Teams!$G$54="",0,IF(COUNTIF(PriceBook!$A$4:$A$203,Teams!$G$54)=1,0,1))</f>
        <v>0</v>
      </c>
    </row>
    <row r="71" spans="1:7" x14ac:dyDescent="0.3">
      <c r="A71" s="8" t="s">
        <v>1003</v>
      </c>
      <c r="C71" s="22">
        <f>IF(COUNTIF(PriceBook!$A$4:$A$203,"PL_LANGFUSE_PRO")=1,0,1)</f>
        <v>0</v>
      </c>
      <c r="D71" s="22">
        <f>IF(COUNTIF(PriceBook!$A$4:$A$203,"U_LANGFUSE_OVER")=1,0,1)</f>
        <v>0</v>
      </c>
    </row>
    <row r="72" spans="1:7" x14ac:dyDescent="0.3">
      <c r="A72" s="8" t="s">
        <v>1004</v>
      </c>
      <c r="C72" s="22">
        <f>SUMPRODUCT((PriceBook!$A$4:$A$203&lt;&gt;"")*(COUNTIF(PriceBook!$A$4:$A$203,PriceBook!$A$4:$A$203)&gt;1))</f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L18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outlineLevelCol="1" x14ac:dyDescent="0.3"/>
  <cols>
    <col min="1" max="1" width="58" customWidth="1"/>
    <col min="2" max="2" width="22" customWidth="1"/>
    <col min="3" max="3" width="16" customWidth="1"/>
    <col min="5" max="64" width="13" customWidth="1" outlineLevel="1"/>
  </cols>
  <sheetData>
    <row r="1" spans="1:64" ht="17.399999999999999" x14ac:dyDescent="0.3">
      <c r="A1" s="5" t="s">
        <v>1005</v>
      </c>
    </row>
    <row r="2" spans="1:64" x14ac:dyDescent="0.3">
      <c r="A2" s="18" t="s">
        <v>1006</v>
      </c>
    </row>
    <row r="4" spans="1:64" x14ac:dyDescent="0.3">
      <c r="A4" s="19" t="s">
        <v>988</v>
      </c>
      <c r="B4" s="19" t="s">
        <v>1007</v>
      </c>
      <c r="C4" s="19" t="s">
        <v>758</v>
      </c>
      <c r="D4" s="19">
        <v>0</v>
      </c>
      <c r="E4" s="19">
        <f t="shared" ref="E4:AJ4" si="0">D4+1</f>
        <v>1</v>
      </c>
      <c r="F4" s="19">
        <f t="shared" si="0"/>
        <v>2</v>
      </c>
      <c r="G4" s="19">
        <f t="shared" si="0"/>
        <v>3</v>
      </c>
      <c r="H4" s="19">
        <f t="shared" si="0"/>
        <v>4</v>
      </c>
      <c r="I4" s="19">
        <f t="shared" si="0"/>
        <v>5</v>
      </c>
      <c r="J4" s="19">
        <f t="shared" si="0"/>
        <v>6</v>
      </c>
      <c r="K4" s="19">
        <f t="shared" si="0"/>
        <v>7</v>
      </c>
      <c r="L4" s="19">
        <f t="shared" si="0"/>
        <v>8</v>
      </c>
      <c r="M4" s="19">
        <f t="shared" si="0"/>
        <v>9</v>
      </c>
      <c r="N4" s="19">
        <f t="shared" si="0"/>
        <v>10</v>
      </c>
      <c r="O4" s="19">
        <f t="shared" si="0"/>
        <v>11</v>
      </c>
      <c r="P4" s="19">
        <f t="shared" si="0"/>
        <v>12</v>
      </c>
      <c r="Q4" s="19">
        <f t="shared" si="0"/>
        <v>13</v>
      </c>
      <c r="R4" s="19">
        <f t="shared" si="0"/>
        <v>14</v>
      </c>
      <c r="S4" s="19">
        <f t="shared" si="0"/>
        <v>15</v>
      </c>
      <c r="T4" s="19">
        <f t="shared" si="0"/>
        <v>16</v>
      </c>
      <c r="U4" s="19">
        <f t="shared" si="0"/>
        <v>17</v>
      </c>
      <c r="V4" s="19">
        <f t="shared" si="0"/>
        <v>18</v>
      </c>
      <c r="W4" s="19">
        <f t="shared" si="0"/>
        <v>19</v>
      </c>
      <c r="X4" s="19">
        <f t="shared" si="0"/>
        <v>20</v>
      </c>
      <c r="Y4" s="19">
        <f t="shared" si="0"/>
        <v>21</v>
      </c>
      <c r="Z4" s="19">
        <f t="shared" si="0"/>
        <v>22</v>
      </c>
      <c r="AA4" s="19">
        <f t="shared" si="0"/>
        <v>23</v>
      </c>
      <c r="AB4" s="19">
        <f t="shared" si="0"/>
        <v>24</v>
      </c>
      <c r="AC4" s="19">
        <f t="shared" si="0"/>
        <v>25</v>
      </c>
      <c r="AD4" s="19">
        <f t="shared" si="0"/>
        <v>26</v>
      </c>
      <c r="AE4" s="19">
        <f t="shared" si="0"/>
        <v>27</v>
      </c>
      <c r="AF4" s="19">
        <f t="shared" si="0"/>
        <v>28</v>
      </c>
      <c r="AG4" s="19">
        <f t="shared" si="0"/>
        <v>29</v>
      </c>
      <c r="AH4" s="19">
        <f t="shared" si="0"/>
        <v>30</v>
      </c>
      <c r="AI4" s="19">
        <f t="shared" si="0"/>
        <v>31</v>
      </c>
      <c r="AJ4" s="19">
        <f t="shared" si="0"/>
        <v>32</v>
      </c>
      <c r="AK4" s="19">
        <f t="shared" ref="AK4:BL4" si="1">AJ4+1</f>
        <v>33</v>
      </c>
      <c r="AL4" s="19">
        <f t="shared" si="1"/>
        <v>34</v>
      </c>
      <c r="AM4" s="19">
        <f t="shared" si="1"/>
        <v>35</v>
      </c>
      <c r="AN4" s="19">
        <f t="shared" si="1"/>
        <v>36</v>
      </c>
      <c r="AO4" s="19">
        <f t="shared" si="1"/>
        <v>37</v>
      </c>
      <c r="AP4" s="19">
        <f t="shared" si="1"/>
        <v>38</v>
      </c>
      <c r="AQ4" s="19">
        <f t="shared" si="1"/>
        <v>39</v>
      </c>
      <c r="AR4" s="19">
        <f t="shared" si="1"/>
        <v>40</v>
      </c>
      <c r="AS4" s="19">
        <f t="shared" si="1"/>
        <v>41</v>
      </c>
      <c r="AT4" s="19">
        <f t="shared" si="1"/>
        <v>42</v>
      </c>
      <c r="AU4" s="19">
        <f t="shared" si="1"/>
        <v>43</v>
      </c>
      <c r="AV4" s="19">
        <f t="shared" si="1"/>
        <v>44</v>
      </c>
      <c r="AW4" s="19">
        <f t="shared" si="1"/>
        <v>45</v>
      </c>
      <c r="AX4" s="19">
        <f t="shared" si="1"/>
        <v>46</v>
      </c>
      <c r="AY4" s="19">
        <f t="shared" si="1"/>
        <v>47</v>
      </c>
      <c r="AZ4" s="19">
        <f t="shared" si="1"/>
        <v>48</v>
      </c>
      <c r="BA4" s="19">
        <f t="shared" si="1"/>
        <v>49</v>
      </c>
      <c r="BB4" s="19">
        <f t="shared" si="1"/>
        <v>50</v>
      </c>
      <c r="BC4" s="19">
        <f t="shared" si="1"/>
        <v>51</v>
      </c>
      <c r="BD4" s="19">
        <f t="shared" si="1"/>
        <v>52</v>
      </c>
      <c r="BE4" s="19">
        <f t="shared" si="1"/>
        <v>53</v>
      </c>
      <c r="BF4" s="19">
        <f t="shared" si="1"/>
        <v>54</v>
      </c>
      <c r="BG4" s="19">
        <f t="shared" si="1"/>
        <v>55</v>
      </c>
      <c r="BH4" s="19">
        <f t="shared" si="1"/>
        <v>56</v>
      </c>
      <c r="BI4" s="19">
        <f t="shared" si="1"/>
        <v>57</v>
      </c>
      <c r="BJ4" s="19">
        <f t="shared" si="1"/>
        <v>58</v>
      </c>
      <c r="BK4" s="19">
        <f t="shared" si="1"/>
        <v>59</v>
      </c>
      <c r="BL4" s="19">
        <f t="shared" si="1"/>
        <v>60</v>
      </c>
    </row>
    <row r="5" spans="1:64" x14ac:dyDescent="0.3">
      <c r="A5" s="8" t="s">
        <v>1008</v>
      </c>
      <c r="E5" s="22">
        <f>IF(E$4&lt;=Org!$B$5,1,0)</f>
        <v>1</v>
      </c>
      <c r="F5" s="22">
        <f>IF(F$4&lt;=Org!$B$5,1,0)</f>
        <v>1</v>
      </c>
      <c r="G5" s="22">
        <f>IF(G$4&lt;=Org!$B$5,1,0)</f>
        <v>1</v>
      </c>
      <c r="H5" s="22">
        <f>IF(H$4&lt;=Org!$B$5,1,0)</f>
        <v>1</v>
      </c>
      <c r="I5" s="22">
        <f>IF(I$4&lt;=Org!$B$5,1,0)</f>
        <v>1</v>
      </c>
      <c r="J5" s="22">
        <f>IF(J$4&lt;=Org!$B$5,1,0)</f>
        <v>1</v>
      </c>
      <c r="K5" s="22">
        <f>IF(K$4&lt;=Org!$B$5,1,0)</f>
        <v>1</v>
      </c>
      <c r="L5" s="22">
        <f>IF(L$4&lt;=Org!$B$5,1,0)</f>
        <v>1</v>
      </c>
      <c r="M5" s="22">
        <f>IF(M$4&lt;=Org!$B$5,1,0)</f>
        <v>1</v>
      </c>
      <c r="N5" s="22">
        <f>IF(N$4&lt;=Org!$B$5,1,0)</f>
        <v>1</v>
      </c>
      <c r="O5" s="22">
        <f>IF(O$4&lt;=Org!$B$5,1,0)</f>
        <v>1</v>
      </c>
      <c r="P5" s="22">
        <f>IF(P$4&lt;=Org!$B$5,1,0)</f>
        <v>1</v>
      </c>
      <c r="Q5" s="22">
        <f>IF(Q$4&lt;=Org!$B$5,1,0)</f>
        <v>1</v>
      </c>
      <c r="R5" s="22">
        <f>IF(R$4&lt;=Org!$B$5,1,0)</f>
        <v>1</v>
      </c>
      <c r="S5" s="22">
        <f>IF(S$4&lt;=Org!$B$5,1,0)</f>
        <v>1</v>
      </c>
      <c r="T5" s="22">
        <f>IF(T$4&lt;=Org!$B$5,1,0)</f>
        <v>1</v>
      </c>
      <c r="U5" s="22">
        <f>IF(U$4&lt;=Org!$B$5,1,0)</f>
        <v>1</v>
      </c>
      <c r="V5" s="22">
        <f>IF(V$4&lt;=Org!$B$5,1,0)</f>
        <v>1</v>
      </c>
      <c r="W5" s="22">
        <f>IF(W$4&lt;=Org!$B$5,1,0)</f>
        <v>1</v>
      </c>
      <c r="X5" s="22">
        <f>IF(X$4&lt;=Org!$B$5,1,0)</f>
        <v>1</v>
      </c>
      <c r="Y5" s="22">
        <f>IF(Y$4&lt;=Org!$B$5,1,0)</f>
        <v>1</v>
      </c>
      <c r="Z5" s="22">
        <f>IF(Z$4&lt;=Org!$B$5,1,0)</f>
        <v>1</v>
      </c>
      <c r="AA5" s="22">
        <f>IF(AA$4&lt;=Org!$B$5,1,0)</f>
        <v>1</v>
      </c>
      <c r="AB5" s="22">
        <f>IF(AB$4&lt;=Org!$B$5,1,0)</f>
        <v>1</v>
      </c>
      <c r="AC5" s="22">
        <f>IF(AC$4&lt;=Org!$B$5,1,0)</f>
        <v>1</v>
      </c>
      <c r="AD5" s="22">
        <f>IF(AD$4&lt;=Org!$B$5,1,0)</f>
        <v>1</v>
      </c>
      <c r="AE5" s="22">
        <f>IF(AE$4&lt;=Org!$B$5,1,0)</f>
        <v>1</v>
      </c>
      <c r="AF5" s="22">
        <f>IF(AF$4&lt;=Org!$B$5,1,0)</f>
        <v>1</v>
      </c>
      <c r="AG5" s="22">
        <f>IF(AG$4&lt;=Org!$B$5,1,0)</f>
        <v>1</v>
      </c>
      <c r="AH5" s="22">
        <f>IF(AH$4&lt;=Org!$B$5,1,0)</f>
        <v>1</v>
      </c>
      <c r="AI5" s="22">
        <f>IF(AI$4&lt;=Org!$B$5,1,0)</f>
        <v>1</v>
      </c>
      <c r="AJ5" s="22">
        <f>IF(AJ$4&lt;=Org!$B$5,1,0)</f>
        <v>1</v>
      </c>
      <c r="AK5" s="22">
        <f>IF(AK$4&lt;=Org!$B$5,1,0)</f>
        <v>1</v>
      </c>
      <c r="AL5" s="22">
        <f>IF(AL$4&lt;=Org!$B$5,1,0)</f>
        <v>1</v>
      </c>
      <c r="AM5" s="22">
        <f>IF(AM$4&lt;=Org!$B$5,1,0)</f>
        <v>1</v>
      </c>
      <c r="AN5" s="22">
        <f>IF(AN$4&lt;=Org!$B$5,1,0)</f>
        <v>1</v>
      </c>
      <c r="AO5" s="22">
        <f>IF(AO$4&lt;=Org!$B$5,1,0)</f>
        <v>0</v>
      </c>
      <c r="AP5" s="22">
        <f>IF(AP$4&lt;=Org!$B$5,1,0)</f>
        <v>0</v>
      </c>
      <c r="AQ5" s="22">
        <f>IF(AQ$4&lt;=Org!$B$5,1,0)</f>
        <v>0</v>
      </c>
      <c r="AR5" s="22">
        <f>IF(AR$4&lt;=Org!$B$5,1,0)</f>
        <v>0</v>
      </c>
      <c r="AS5" s="22">
        <f>IF(AS$4&lt;=Org!$B$5,1,0)</f>
        <v>0</v>
      </c>
      <c r="AT5" s="22">
        <f>IF(AT$4&lt;=Org!$B$5,1,0)</f>
        <v>0</v>
      </c>
      <c r="AU5" s="22">
        <f>IF(AU$4&lt;=Org!$B$5,1,0)</f>
        <v>0</v>
      </c>
      <c r="AV5" s="22">
        <f>IF(AV$4&lt;=Org!$B$5,1,0)</f>
        <v>0</v>
      </c>
      <c r="AW5" s="22">
        <f>IF(AW$4&lt;=Org!$B$5,1,0)</f>
        <v>0</v>
      </c>
      <c r="AX5" s="22">
        <f>IF(AX$4&lt;=Org!$B$5,1,0)</f>
        <v>0</v>
      </c>
      <c r="AY5" s="22">
        <f>IF(AY$4&lt;=Org!$B$5,1,0)</f>
        <v>0</v>
      </c>
      <c r="AZ5" s="22">
        <f>IF(AZ$4&lt;=Org!$B$5,1,0)</f>
        <v>0</v>
      </c>
      <c r="BA5" s="22">
        <f>IF(BA$4&lt;=Org!$B$5,1,0)</f>
        <v>0</v>
      </c>
      <c r="BB5" s="22">
        <f>IF(BB$4&lt;=Org!$B$5,1,0)</f>
        <v>0</v>
      </c>
      <c r="BC5" s="22">
        <f>IF(BC$4&lt;=Org!$B$5,1,0)</f>
        <v>0</v>
      </c>
      <c r="BD5" s="22">
        <f>IF(BD$4&lt;=Org!$B$5,1,0)</f>
        <v>0</v>
      </c>
      <c r="BE5" s="22">
        <f>IF(BE$4&lt;=Org!$B$5,1,0)</f>
        <v>0</v>
      </c>
      <c r="BF5" s="22">
        <f>IF(BF$4&lt;=Org!$B$5,1,0)</f>
        <v>0</v>
      </c>
      <c r="BG5" s="22">
        <f>IF(BG$4&lt;=Org!$B$5,1,0)</f>
        <v>0</v>
      </c>
      <c r="BH5" s="22">
        <f>IF(BH$4&lt;=Org!$B$5,1,0)</f>
        <v>0</v>
      </c>
      <c r="BI5" s="22">
        <f>IF(BI$4&lt;=Org!$B$5,1,0)</f>
        <v>0</v>
      </c>
      <c r="BJ5" s="22">
        <f>IF(BJ$4&lt;=Org!$B$5,1,0)</f>
        <v>0</v>
      </c>
      <c r="BK5" s="22">
        <f>IF(BK$4&lt;=Org!$B$5,1,0)</f>
        <v>0</v>
      </c>
      <c r="BL5" s="22">
        <f>IF(BL$4&lt;=Org!$B$5,1,0)</f>
        <v>0</v>
      </c>
    </row>
    <row r="8" spans="1:64" x14ac:dyDescent="0.3">
      <c r="A8" s="17" t="str">
        <f>Teams!$C$4</f>
        <v>Corporate knowledge assistant (conservative calibration)</v>
      </c>
      <c r="B8" s="18" t="s">
        <v>1009</v>
      </c>
      <c r="C8" s="50">
        <f>(Teams!$C$29*(1-Teams!$C$31)*Params!$D$39*Params!$D$21*IF(Teams!$C$36="Yes",Params!$D$22,1)*Teams!$C$68*Teams!$C$70+Teams!$C$30*(1-Teams!$C$31)*Params!$D$39*Params!$D$21*IF(Teams!$C$36="Yes",Params!$D$22,1)*Teams!$C$69)/1000000*Teams!$C$71*Teams!$C$35</f>
        <v>5.8579499999999998E-3</v>
      </c>
    </row>
    <row r="9" spans="1:64" x14ac:dyDescent="0.3">
      <c r="A9" s="8" t="s">
        <v>1010</v>
      </c>
      <c r="E9" s="26">
        <f>IF(E$4&lt;Teams!$C$80,0,IF(Teams!$C$22="S",MIN(1,(E$4-Teams!$C$80+1)/Teams!$C$21)^2*(3-2*MIN(1,(E$4-Teams!$C$80+1)/Teams!$C$21)),MIN(1,(E$4-Teams!$C$80+1)/Teams!$C$21)))</f>
        <v>7.407407407407407E-2</v>
      </c>
      <c r="F9" s="26">
        <f>IF(F$4&lt;Teams!$C$80,0,IF(Teams!$C$22="S",MIN(1,(F$4-Teams!$C$80+1)/Teams!$C$21)^2*(3-2*MIN(1,(F$4-Teams!$C$80+1)/Teams!$C$21)),MIN(1,(F$4-Teams!$C$80+1)/Teams!$C$21)))</f>
        <v>0.25925925925925924</v>
      </c>
      <c r="G9" s="26">
        <f>IF(G$4&lt;Teams!$C$80,0,IF(Teams!$C$22="S",MIN(1,(G$4-Teams!$C$80+1)/Teams!$C$21)^2*(3-2*MIN(1,(G$4-Teams!$C$80+1)/Teams!$C$21)),MIN(1,(G$4-Teams!$C$80+1)/Teams!$C$21)))</f>
        <v>0.5</v>
      </c>
      <c r="H9" s="26">
        <f>IF(H$4&lt;Teams!$C$80,0,IF(Teams!$C$22="S",MIN(1,(H$4-Teams!$C$80+1)/Teams!$C$21)^2*(3-2*MIN(1,(H$4-Teams!$C$80+1)/Teams!$C$21)),MIN(1,(H$4-Teams!$C$80+1)/Teams!$C$21)))</f>
        <v>0.7407407407407407</v>
      </c>
      <c r="I9" s="26">
        <f>IF(I$4&lt;Teams!$C$80,0,IF(Teams!$C$22="S",MIN(1,(I$4-Teams!$C$80+1)/Teams!$C$21)^2*(3-2*MIN(1,(I$4-Teams!$C$80+1)/Teams!$C$21)),MIN(1,(I$4-Teams!$C$80+1)/Teams!$C$21)))</f>
        <v>0.92592592592592604</v>
      </c>
      <c r="J9" s="26">
        <f>IF(J$4&lt;Teams!$C$80,0,IF(Teams!$C$22="S",MIN(1,(J$4-Teams!$C$80+1)/Teams!$C$21)^2*(3-2*MIN(1,(J$4-Teams!$C$80+1)/Teams!$C$21)),MIN(1,(J$4-Teams!$C$80+1)/Teams!$C$21)))</f>
        <v>1</v>
      </c>
      <c r="K9" s="26">
        <f>IF(K$4&lt;Teams!$C$80,0,IF(Teams!$C$22="S",MIN(1,(K$4-Teams!$C$80+1)/Teams!$C$21)^2*(3-2*MIN(1,(K$4-Teams!$C$80+1)/Teams!$C$21)),MIN(1,(K$4-Teams!$C$80+1)/Teams!$C$21)))</f>
        <v>1</v>
      </c>
      <c r="L9" s="26">
        <f>IF(L$4&lt;Teams!$C$80,0,IF(Teams!$C$22="S",MIN(1,(L$4-Teams!$C$80+1)/Teams!$C$21)^2*(3-2*MIN(1,(L$4-Teams!$C$80+1)/Teams!$C$21)),MIN(1,(L$4-Teams!$C$80+1)/Teams!$C$21)))</f>
        <v>1</v>
      </c>
      <c r="M9" s="26">
        <f>IF(M$4&lt;Teams!$C$80,0,IF(Teams!$C$22="S",MIN(1,(M$4-Teams!$C$80+1)/Teams!$C$21)^2*(3-2*MIN(1,(M$4-Teams!$C$80+1)/Teams!$C$21)),MIN(1,(M$4-Teams!$C$80+1)/Teams!$C$21)))</f>
        <v>1</v>
      </c>
      <c r="N9" s="26">
        <f>IF(N$4&lt;Teams!$C$80,0,IF(Teams!$C$22="S",MIN(1,(N$4-Teams!$C$80+1)/Teams!$C$21)^2*(3-2*MIN(1,(N$4-Teams!$C$80+1)/Teams!$C$21)),MIN(1,(N$4-Teams!$C$80+1)/Teams!$C$21)))</f>
        <v>1</v>
      </c>
      <c r="O9" s="26">
        <f>IF(O$4&lt;Teams!$C$80,0,IF(Teams!$C$22="S",MIN(1,(O$4-Teams!$C$80+1)/Teams!$C$21)^2*(3-2*MIN(1,(O$4-Teams!$C$80+1)/Teams!$C$21)),MIN(1,(O$4-Teams!$C$80+1)/Teams!$C$21)))</f>
        <v>1</v>
      </c>
      <c r="P9" s="26">
        <f>IF(P$4&lt;Teams!$C$80,0,IF(Teams!$C$22="S",MIN(1,(P$4-Teams!$C$80+1)/Teams!$C$21)^2*(3-2*MIN(1,(P$4-Teams!$C$80+1)/Teams!$C$21)),MIN(1,(P$4-Teams!$C$80+1)/Teams!$C$21)))</f>
        <v>1</v>
      </c>
      <c r="Q9" s="26">
        <f>IF(Q$4&lt;Teams!$C$80,0,IF(Teams!$C$22="S",MIN(1,(Q$4-Teams!$C$80+1)/Teams!$C$21)^2*(3-2*MIN(1,(Q$4-Teams!$C$80+1)/Teams!$C$21)),MIN(1,(Q$4-Teams!$C$80+1)/Teams!$C$21)))</f>
        <v>1</v>
      </c>
      <c r="R9" s="26">
        <f>IF(R$4&lt;Teams!$C$80,0,IF(Teams!$C$22="S",MIN(1,(R$4-Teams!$C$80+1)/Teams!$C$21)^2*(3-2*MIN(1,(R$4-Teams!$C$80+1)/Teams!$C$21)),MIN(1,(R$4-Teams!$C$80+1)/Teams!$C$21)))</f>
        <v>1</v>
      </c>
      <c r="S9" s="26">
        <f>IF(S$4&lt;Teams!$C$80,0,IF(Teams!$C$22="S",MIN(1,(S$4-Teams!$C$80+1)/Teams!$C$21)^2*(3-2*MIN(1,(S$4-Teams!$C$80+1)/Teams!$C$21)),MIN(1,(S$4-Teams!$C$80+1)/Teams!$C$21)))</f>
        <v>1</v>
      </c>
      <c r="T9" s="26">
        <f>IF(T$4&lt;Teams!$C$80,0,IF(Teams!$C$22="S",MIN(1,(T$4-Teams!$C$80+1)/Teams!$C$21)^2*(3-2*MIN(1,(T$4-Teams!$C$80+1)/Teams!$C$21)),MIN(1,(T$4-Teams!$C$80+1)/Teams!$C$21)))</f>
        <v>1</v>
      </c>
      <c r="U9" s="26">
        <f>IF(U$4&lt;Teams!$C$80,0,IF(Teams!$C$22="S",MIN(1,(U$4-Teams!$C$80+1)/Teams!$C$21)^2*(3-2*MIN(1,(U$4-Teams!$C$80+1)/Teams!$C$21)),MIN(1,(U$4-Teams!$C$80+1)/Teams!$C$21)))</f>
        <v>1</v>
      </c>
      <c r="V9" s="26">
        <f>IF(V$4&lt;Teams!$C$80,0,IF(Teams!$C$22="S",MIN(1,(V$4-Teams!$C$80+1)/Teams!$C$21)^2*(3-2*MIN(1,(V$4-Teams!$C$80+1)/Teams!$C$21)),MIN(1,(V$4-Teams!$C$80+1)/Teams!$C$21)))</f>
        <v>1</v>
      </c>
      <c r="W9" s="26">
        <f>IF(W$4&lt;Teams!$C$80,0,IF(Teams!$C$22="S",MIN(1,(W$4-Teams!$C$80+1)/Teams!$C$21)^2*(3-2*MIN(1,(W$4-Teams!$C$80+1)/Teams!$C$21)),MIN(1,(W$4-Teams!$C$80+1)/Teams!$C$21)))</f>
        <v>1</v>
      </c>
      <c r="X9" s="26">
        <f>IF(X$4&lt;Teams!$C$80,0,IF(Teams!$C$22="S",MIN(1,(X$4-Teams!$C$80+1)/Teams!$C$21)^2*(3-2*MIN(1,(X$4-Teams!$C$80+1)/Teams!$C$21)),MIN(1,(X$4-Teams!$C$80+1)/Teams!$C$21)))</f>
        <v>1</v>
      </c>
      <c r="Y9" s="26">
        <f>IF(Y$4&lt;Teams!$C$80,0,IF(Teams!$C$22="S",MIN(1,(Y$4-Teams!$C$80+1)/Teams!$C$21)^2*(3-2*MIN(1,(Y$4-Teams!$C$80+1)/Teams!$C$21)),MIN(1,(Y$4-Teams!$C$80+1)/Teams!$C$21)))</f>
        <v>1</v>
      </c>
      <c r="Z9" s="26">
        <f>IF(Z$4&lt;Teams!$C$80,0,IF(Teams!$C$22="S",MIN(1,(Z$4-Teams!$C$80+1)/Teams!$C$21)^2*(3-2*MIN(1,(Z$4-Teams!$C$80+1)/Teams!$C$21)),MIN(1,(Z$4-Teams!$C$80+1)/Teams!$C$21)))</f>
        <v>1</v>
      </c>
      <c r="AA9" s="26">
        <f>IF(AA$4&lt;Teams!$C$80,0,IF(Teams!$C$22="S",MIN(1,(AA$4-Teams!$C$80+1)/Teams!$C$21)^2*(3-2*MIN(1,(AA$4-Teams!$C$80+1)/Teams!$C$21)),MIN(1,(AA$4-Teams!$C$80+1)/Teams!$C$21)))</f>
        <v>1</v>
      </c>
      <c r="AB9" s="26">
        <f>IF(AB$4&lt;Teams!$C$80,0,IF(Teams!$C$22="S",MIN(1,(AB$4-Teams!$C$80+1)/Teams!$C$21)^2*(3-2*MIN(1,(AB$4-Teams!$C$80+1)/Teams!$C$21)),MIN(1,(AB$4-Teams!$C$80+1)/Teams!$C$21)))</f>
        <v>1</v>
      </c>
      <c r="AC9" s="26">
        <f>IF(AC$4&lt;Teams!$C$80,0,IF(Teams!$C$22="S",MIN(1,(AC$4-Teams!$C$80+1)/Teams!$C$21)^2*(3-2*MIN(1,(AC$4-Teams!$C$80+1)/Teams!$C$21)),MIN(1,(AC$4-Teams!$C$80+1)/Teams!$C$21)))</f>
        <v>1</v>
      </c>
      <c r="AD9" s="26">
        <f>IF(AD$4&lt;Teams!$C$80,0,IF(Teams!$C$22="S",MIN(1,(AD$4-Teams!$C$80+1)/Teams!$C$21)^2*(3-2*MIN(1,(AD$4-Teams!$C$80+1)/Teams!$C$21)),MIN(1,(AD$4-Teams!$C$80+1)/Teams!$C$21)))</f>
        <v>1</v>
      </c>
      <c r="AE9" s="26">
        <f>IF(AE$4&lt;Teams!$C$80,0,IF(Teams!$C$22="S",MIN(1,(AE$4-Teams!$C$80+1)/Teams!$C$21)^2*(3-2*MIN(1,(AE$4-Teams!$C$80+1)/Teams!$C$21)),MIN(1,(AE$4-Teams!$C$80+1)/Teams!$C$21)))</f>
        <v>1</v>
      </c>
      <c r="AF9" s="26">
        <f>IF(AF$4&lt;Teams!$C$80,0,IF(Teams!$C$22="S",MIN(1,(AF$4-Teams!$C$80+1)/Teams!$C$21)^2*(3-2*MIN(1,(AF$4-Teams!$C$80+1)/Teams!$C$21)),MIN(1,(AF$4-Teams!$C$80+1)/Teams!$C$21)))</f>
        <v>1</v>
      </c>
      <c r="AG9" s="26">
        <f>IF(AG$4&lt;Teams!$C$80,0,IF(Teams!$C$22="S",MIN(1,(AG$4-Teams!$C$80+1)/Teams!$C$21)^2*(3-2*MIN(1,(AG$4-Teams!$C$80+1)/Teams!$C$21)),MIN(1,(AG$4-Teams!$C$80+1)/Teams!$C$21)))</f>
        <v>1</v>
      </c>
      <c r="AH9" s="26">
        <f>IF(AH$4&lt;Teams!$C$80,0,IF(Teams!$C$22="S",MIN(1,(AH$4-Teams!$C$80+1)/Teams!$C$21)^2*(3-2*MIN(1,(AH$4-Teams!$C$80+1)/Teams!$C$21)),MIN(1,(AH$4-Teams!$C$80+1)/Teams!$C$21)))</f>
        <v>1</v>
      </c>
      <c r="AI9" s="26">
        <f>IF(AI$4&lt;Teams!$C$80,0,IF(Teams!$C$22="S",MIN(1,(AI$4-Teams!$C$80+1)/Teams!$C$21)^2*(3-2*MIN(1,(AI$4-Teams!$C$80+1)/Teams!$C$21)),MIN(1,(AI$4-Teams!$C$80+1)/Teams!$C$21)))</f>
        <v>1</v>
      </c>
      <c r="AJ9" s="26">
        <f>IF(AJ$4&lt;Teams!$C$80,0,IF(Teams!$C$22="S",MIN(1,(AJ$4-Teams!$C$80+1)/Teams!$C$21)^2*(3-2*MIN(1,(AJ$4-Teams!$C$80+1)/Teams!$C$21)),MIN(1,(AJ$4-Teams!$C$80+1)/Teams!$C$21)))</f>
        <v>1</v>
      </c>
      <c r="AK9" s="26">
        <f>IF(AK$4&lt;Teams!$C$80,0,IF(Teams!$C$22="S",MIN(1,(AK$4-Teams!$C$80+1)/Teams!$C$21)^2*(3-2*MIN(1,(AK$4-Teams!$C$80+1)/Teams!$C$21)),MIN(1,(AK$4-Teams!$C$80+1)/Teams!$C$21)))</f>
        <v>1</v>
      </c>
      <c r="AL9" s="26">
        <f>IF(AL$4&lt;Teams!$C$80,0,IF(Teams!$C$22="S",MIN(1,(AL$4-Teams!$C$80+1)/Teams!$C$21)^2*(3-2*MIN(1,(AL$4-Teams!$C$80+1)/Teams!$C$21)),MIN(1,(AL$4-Teams!$C$80+1)/Teams!$C$21)))</f>
        <v>1</v>
      </c>
      <c r="AM9" s="26">
        <f>IF(AM$4&lt;Teams!$C$80,0,IF(Teams!$C$22="S",MIN(1,(AM$4-Teams!$C$80+1)/Teams!$C$21)^2*(3-2*MIN(1,(AM$4-Teams!$C$80+1)/Teams!$C$21)),MIN(1,(AM$4-Teams!$C$80+1)/Teams!$C$21)))</f>
        <v>1</v>
      </c>
      <c r="AN9" s="26">
        <f>IF(AN$4&lt;Teams!$C$80,0,IF(Teams!$C$22="S",MIN(1,(AN$4-Teams!$C$80+1)/Teams!$C$21)^2*(3-2*MIN(1,(AN$4-Teams!$C$80+1)/Teams!$C$21)),MIN(1,(AN$4-Teams!$C$80+1)/Teams!$C$21)))</f>
        <v>1</v>
      </c>
      <c r="AO9" s="26">
        <f>IF(AO$4&lt;Teams!$C$80,0,IF(Teams!$C$22="S",MIN(1,(AO$4-Teams!$C$80+1)/Teams!$C$21)^2*(3-2*MIN(1,(AO$4-Teams!$C$80+1)/Teams!$C$21)),MIN(1,(AO$4-Teams!$C$80+1)/Teams!$C$21)))</f>
        <v>1</v>
      </c>
      <c r="AP9" s="26">
        <f>IF(AP$4&lt;Teams!$C$80,0,IF(Teams!$C$22="S",MIN(1,(AP$4-Teams!$C$80+1)/Teams!$C$21)^2*(3-2*MIN(1,(AP$4-Teams!$C$80+1)/Teams!$C$21)),MIN(1,(AP$4-Teams!$C$80+1)/Teams!$C$21)))</f>
        <v>1</v>
      </c>
      <c r="AQ9" s="26">
        <f>IF(AQ$4&lt;Teams!$C$80,0,IF(Teams!$C$22="S",MIN(1,(AQ$4-Teams!$C$80+1)/Teams!$C$21)^2*(3-2*MIN(1,(AQ$4-Teams!$C$80+1)/Teams!$C$21)),MIN(1,(AQ$4-Teams!$C$80+1)/Teams!$C$21)))</f>
        <v>1</v>
      </c>
      <c r="AR9" s="26">
        <f>IF(AR$4&lt;Teams!$C$80,0,IF(Teams!$C$22="S",MIN(1,(AR$4-Teams!$C$80+1)/Teams!$C$21)^2*(3-2*MIN(1,(AR$4-Teams!$C$80+1)/Teams!$C$21)),MIN(1,(AR$4-Teams!$C$80+1)/Teams!$C$21)))</f>
        <v>1</v>
      </c>
      <c r="AS9" s="26">
        <f>IF(AS$4&lt;Teams!$C$80,0,IF(Teams!$C$22="S",MIN(1,(AS$4-Teams!$C$80+1)/Teams!$C$21)^2*(3-2*MIN(1,(AS$4-Teams!$C$80+1)/Teams!$C$21)),MIN(1,(AS$4-Teams!$C$80+1)/Teams!$C$21)))</f>
        <v>1</v>
      </c>
      <c r="AT9" s="26">
        <f>IF(AT$4&lt;Teams!$C$80,0,IF(Teams!$C$22="S",MIN(1,(AT$4-Teams!$C$80+1)/Teams!$C$21)^2*(3-2*MIN(1,(AT$4-Teams!$C$80+1)/Teams!$C$21)),MIN(1,(AT$4-Teams!$C$80+1)/Teams!$C$21)))</f>
        <v>1</v>
      </c>
      <c r="AU9" s="26">
        <f>IF(AU$4&lt;Teams!$C$80,0,IF(Teams!$C$22="S",MIN(1,(AU$4-Teams!$C$80+1)/Teams!$C$21)^2*(3-2*MIN(1,(AU$4-Teams!$C$80+1)/Teams!$C$21)),MIN(1,(AU$4-Teams!$C$80+1)/Teams!$C$21)))</f>
        <v>1</v>
      </c>
      <c r="AV9" s="26">
        <f>IF(AV$4&lt;Teams!$C$80,0,IF(Teams!$C$22="S",MIN(1,(AV$4-Teams!$C$80+1)/Teams!$C$21)^2*(3-2*MIN(1,(AV$4-Teams!$C$80+1)/Teams!$C$21)),MIN(1,(AV$4-Teams!$C$80+1)/Teams!$C$21)))</f>
        <v>1</v>
      </c>
      <c r="AW9" s="26">
        <f>IF(AW$4&lt;Teams!$C$80,0,IF(Teams!$C$22="S",MIN(1,(AW$4-Teams!$C$80+1)/Teams!$C$21)^2*(3-2*MIN(1,(AW$4-Teams!$C$80+1)/Teams!$C$21)),MIN(1,(AW$4-Teams!$C$80+1)/Teams!$C$21)))</f>
        <v>1</v>
      </c>
      <c r="AX9" s="26">
        <f>IF(AX$4&lt;Teams!$C$80,0,IF(Teams!$C$22="S",MIN(1,(AX$4-Teams!$C$80+1)/Teams!$C$21)^2*(3-2*MIN(1,(AX$4-Teams!$C$80+1)/Teams!$C$21)),MIN(1,(AX$4-Teams!$C$80+1)/Teams!$C$21)))</f>
        <v>1</v>
      </c>
      <c r="AY9" s="26">
        <f>IF(AY$4&lt;Teams!$C$80,0,IF(Teams!$C$22="S",MIN(1,(AY$4-Teams!$C$80+1)/Teams!$C$21)^2*(3-2*MIN(1,(AY$4-Teams!$C$80+1)/Teams!$C$21)),MIN(1,(AY$4-Teams!$C$80+1)/Teams!$C$21)))</f>
        <v>1</v>
      </c>
      <c r="AZ9" s="26">
        <f>IF(AZ$4&lt;Teams!$C$80,0,IF(Teams!$C$22="S",MIN(1,(AZ$4-Teams!$C$80+1)/Teams!$C$21)^2*(3-2*MIN(1,(AZ$4-Teams!$C$80+1)/Teams!$C$21)),MIN(1,(AZ$4-Teams!$C$80+1)/Teams!$C$21)))</f>
        <v>1</v>
      </c>
      <c r="BA9" s="26">
        <f>IF(BA$4&lt;Teams!$C$80,0,IF(Teams!$C$22="S",MIN(1,(BA$4-Teams!$C$80+1)/Teams!$C$21)^2*(3-2*MIN(1,(BA$4-Teams!$C$80+1)/Teams!$C$21)),MIN(1,(BA$4-Teams!$C$80+1)/Teams!$C$21)))</f>
        <v>1</v>
      </c>
      <c r="BB9" s="26">
        <f>IF(BB$4&lt;Teams!$C$80,0,IF(Teams!$C$22="S",MIN(1,(BB$4-Teams!$C$80+1)/Teams!$C$21)^2*(3-2*MIN(1,(BB$4-Teams!$C$80+1)/Teams!$C$21)),MIN(1,(BB$4-Teams!$C$80+1)/Teams!$C$21)))</f>
        <v>1</v>
      </c>
      <c r="BC9" s="26">
        <f>IF(BC$4&lt;Teams!$C$80,0,IF(Teams!$C$22="S",MIN(1,(BC$4-Teams!$C$80+1)/Teams!$C$21)^2*(3-2*MIN(1,(BC$4-Teams!$C$80+1)/Teams!$C$21)),MIN(1,(BC$4-Teams!$C$80+1)/Teams!$C$21)))</f>
        <v>1</v>
      </c>
      <c r="BD9" s="26">
        <f>IF(BD$4&lt;Teams!$C$80,0,IF(Teams!$C$22="S",MIN(1,(BD$4-Teams!$C$80+1)/Teams!$C$21)^2*(3-2*MIN(1,(BD$4-Teams!$C$80+1)/Teams!$C$21)),MIN(1,(BD$4-Teams!$C$80+1)/Teams!$C$21)))</f>
        <v>1</v>
      </c>
      <c r="BE9" s="26">
        <f>IF(BE$4&lt;Teams!$C$80,0,IF(Teams!$C$22="S",MIN(1,(BE$4-Teams!$C$80+1)/Teams!$C$21)^2*(3-2*MIN(1,(BE$4-Teams!$C$80+1)/Teams!$C$21)),MIN(1,(BE$4-Teams!$C$80+1)/Teams!$C$21)))</f>
        <v>1</v>
      </c>
      <c r="BF9" s="26">
        <f>IF(BF$4&lt;Teams!$C$80,0,IF(Teams!$C$22="S",MIN(1,(BF$4-Teams!$C$80+1)/Teams!$C$21)^2*(3-2*MIN(1,(BF$4-Teams!$C$80+1)/Teams!$C$21)),MIN(1,(BF$4-Teams!$C$80+1)/Teams!$C$21)))</f>
        <v>1</v>
      </c>
      <c r="BG9" s="26">
        <f>IF(BG$4&lt;Teams!$C$80,0,IF(Teams!$C$22="S",MIN(1,(BG$4-Teams!$C$80+1)/Teams!$C$21)^2*(3-2*MIN(1,(BG$4-Teams!$C$80+1)/Teams!$C$21)),MIN(1,(BG$4-Teams!$C$80+1)/Teams!$C$21)))</f>
        <v>1</v>
      </c>
      <c r="BH9" s="26">
        <f>IF(BH$4&lt;Teams!$C$80,0,IF(Teams!$C$22="S",MIN(1,(BH$4-Teams!$C$80+1)/Teams!$C$21)^2*(3-2*MIN(1,(BH$4-Teams!$C$80+1)/Teams!$C$21)),MIN(1,(BH$4-Teams!$C$80+1)/Teams!$C$21)))</f>
        <v>1</v>
      </c>
      <c r="BI9" s="26">
        <f>IF(BI$4&lt;Teams!$C$80,0,IF(Teams!$C$22="S",MIN(1,(BI$4-Teams!$C$80+1)/Teams!$C$21)^2*(3-2*MIN(1,(BI$4-Teams!$C$80+1)/Teams!$C$21)),MIN(1,(BI$4-Teams!$C$80+1)/Teams!$C$21)))</f>
        <v>1</v>
      </c>
      <c r="BJ9" s="26">
        <f>IF(BJ$4&lt;Teams!$C$80,0,IF(Teams!$C$22="S",MIN(1,(BJ$4-Teams!$C$80+1)/Teams!$C$21)^2*(3-2*MIN(1,(BJ$4-Teams!$C$80+1)/Teams!$C$21)),MIN(1,(BJ$4-Teams!$C$80+1)/Teams!$C$21)))</f>
        <v>1</v>
      </c>
      <c r="BK9" s="26">
        <f>IF(BK$4&lt;Teams!$C$80,0,IF(Teams!$C$22="S",MIN(1,(BK$4-Teams!$C$80+1)/Teams!$C$21)^2*(3-2*MIN(1,(BK$4-Teams!$C$80+1)/Teams!$C$21)),MIN(1,(BK$4-Teams!$C$80+1)/Teams!$C$21)))</f>
        <v>1</v>
      </c>
      <c r="BL9" s="26">
        <f>IF(BL$4&lt;Teams!$C$80,0,IF(Teams!$C$22="S",MIN(1,(BL$4-Teams!$C$80+1)/Teams!$C$21)^2*(3-2*MIN(1,(BL$4-Teams!$C$80+1)/Teams!$C$21)),MIN(1,(BL$4-Teams!$C$80+1)/Teams!$C$21)))</f>
        <v>1</v>
      </c>
    </row>
    <row r="10" spans="1:64" x14ac:dyDescent="0.3">
      <c r="A10" s="8" t="s">
        <v>160</v>
      </c>
      <c r="E10" s="22">
        <f>IF(E$4&gt;=Teams!$C$80,Teams!$C$18,0)</f>
        <v>3000</v>
      </c>
      <c r="F10" s="22">
        <f>IF(F$4&gt;=Teams!$C$80,Teams!$C$18,0)</f>
        <v>3000</v>
      </c>
      <c r="G10" s="22">
        <f>IF(G$4&gt;=Teams!$C$80,Teams!$C$18,0)</f>
        <v>3000</v>
      </c>
      <c r="H10" s="22">
        <f>IF(H$4&gt;=Teams!$C$80,Teams!$C$18,0)</f>
        <v>3000</v>
      </c>
      <c r="I10" s="22">
        <f>IF(I$4&gt;=Teams!$C$80,Teams!$C$18,0)</f>
        <v>3000</v>
      </c>
      <c r="J10" s="22">
        <f>IF(J$4&gt;=Teams!$C$80,Teams!$C$18,0)</f>
        <v>3000</v>
      </c>
      <c r="K10" s="22">
        <f>IF(K$4&gt;=Teams!$C$80,Teams!$C$18,0)</f>
        <v>3000</v>
      </c>
      <c r="L10" s="22">
        <f>IF(L$4&gt;=Teams!$C$80,Teams!$C$18,0)</f>
        <v>3000</v>
      </c>
      <c r="M10" s="22">
        <f>IF(M$4&gt;=Teams!$C$80,Teams!$C$18,0)</f>
        <v>3000</v>
      </c>
      <c r="N10" s="22">
        <f>IF(N$4&gt;=Teams!$C$80,Teams!$C$18,0)</f>
        <v>3000</v>
      </c>
      <c r="O10" s="22">
        <f>IF(O$4&gt;=Teams!$C$80,Teams!$C$18,0)</f>
        <v>3000</v>
      </c>
      <c r="P10" s="22">
        <f>IF(P$4&gt;=Teams!$C$80,Teams!$C$18,0)</f>
        <v>3000</v>
      </c>
      <c r="Q10" s="22">
        <f>IF(Q$4&gt;=Teams!$C$80,Teams!$C$18,0)</f>
        <v>3000</v>
      </c>
      <c r="R10" s="22">
        <f>IF(R$4&gt;=Teams!$C$80,Teams!$C$18,0)</f>
        <v>3000</v>
      </c>
      <c r="S10" s="22">
        <f>IF(S$4&gt;=Teams!$C$80,Teams!$C$18,0)</f>
        <v>3000</v>
      </c>
      <c r="T10" s="22">
        <f>IF(T$4&gt;=Teams!$C$80,Teams!$C$18,0)</f>
        <v>3000</v>
      </c>
      <c r="U10" s="22">
        <f>IF(U$4&gt;=Teams!$C$80,Teams!$C$18,0)</f>
        <v>3000</v>
      </c>
      <c r="V10" s="22">
        <f>IF(V$4&gt;=Teams!$C$80,Teams!$C$18,0)</f>
        <v>3000</v>
      </c>
      <c r="W10" s="22">
        <f>IF(W$4&gt;=Teams!$C$80,Teams!$C$18,0)</f>
        <v>3000</v>
      </c>
      <c r="X10" s="22">
        <f>IF(X$4&gt;=Teams!$C$80,Teams!$C$18,0)</f>
        <v>3000</v>
      </c>
      <c r="Y10" s="22">
        <f>IF(Y$4&gt;=Teams!$C$80,Teams!$C$18,0)</f>
        <v>3000</v>
      </c>
      <c r="Z10" s="22">
        <f>IF(Z$4&gt;=Teams!$C$80,Teams!$C$18,0)</f>
        <v>3000</v>
      </c>
      <c r="AA10" s="22">
        <f>IF(AA$4&gt;=Teams!$C$80,Teams!$C$18,0)</f>
        <v>3000</v>
      </c>
      <c r="AB10" s="22">
        <f>IF(AB$4&gt;=Teams!$C$80,Teams!$C$18,0)</f>
        <v>3000</v>
      </c>
      <c r="AC10" s="22">
        <f>IF(AC$4&gt;=Teams!$C$80,Teams!$C$18,0)</f>
        <v>3000</v>
      </c>
      <c r="AD10" s="22">
        <f>IF(AD$4&gt;=Teams!$C$80,Teams!$C$18,0)</f>
        <v>3000</v>
      </c>
      <c r="AE10" s="22">
        <f>IF(AE$4&gt;=Teams!$C$80,Teams!$C$18,0)</f>
        <v>3000</v>
      </c>
      <c r="AF10" s="22">
        <f>IF(AF$4&gt;=Teams!$C$80,Teams!$C$18,0)</f>
        <v>3000</v>
      </c>
      <c r="AG10" s="22">
        <f>IF(AG$4&gt;=Teams!$C$80,Teams!$C$18,0)</f>
        <v>3000</v>
      </c>
      <c r="AH10" s="22">
        <f>IF(AH$4&gt;=Teams!$C$80,Teams!$C$18,0)</f>
        <v>3000</v>
      </c>
      <c r="AI10" s="22">
        <f>IF(AI$4&gt;=Teams!$C$80,Teams!$C$18,0)</f>
        <v>3000</v>
      </c>
      <c r="AJ10" s="22">
        <f>IF(AJ$4&gt;=Teams!$C$80,Teams!$C$18,0)</f>
        <v>3000</v>
      </c>
      <c r="AK10" s="22">
        <f>IF(AK$4&gt;=Teams!$C$80,Teams!$C$18,0)</f>
        <v>3000</v>
      </c>
      <c r="AL10" s="22">
        <f>IF(AL$4&gt;=Teams!$C$80,Teams!$C$18,0)</f>
        <v>3000</v>
      </c>
      <c r="AM10" s="22">
        <f>IF(AM$4&gt;=Teams!$C$80,Teams!$C$18,0)</f>
        <v>3000</v>
      </c>
      <c r="AN10" s="22">
        <f>IF(AN$4&gt;=Teams!$C$80,Teams!$C$18,0)</f>
        <v>3000</v>
      </c>
      <c r="AO10" s="22">
        <f>IF(AO$4&gt;=Teams!$C$80,Teams!$C$18,0)</f>
        <v>3000</v>
      </c>
      <c r="AP10" s="22">
        <f>IF(AP$4&gt;=Teams!$C$80,Teams!$C$18,0)</f>
        <v>3000</v>
      </c>
      <c r="AQ10" s="22">
        <f>IF(AQ$4&gt;=Teams!$C$80,Teams!$C$18,0)</f>
        <v>3000</v>
      </c>
      <c r="AR10" s="22">
        <f>IF(AR$4&gt;=Teams!$C$80,Teams!$C$18,0)</f>
        <v>3000</v>
      </c>
      <c r="AS10" s="22">
        <f>IF(AS$4&gt;=Teams!$C$80,Teams!$C$18,0)</f>
        <v>3000</v>
      </c>
      <c r="AT10" s="22">
        <f>IF(AT$4&gt;=Teams!$C$80,Teams!$C$18,0)</f>
        <v>3000</v>
      </c>
      <c r="AU10" s="22">
        <f>IF(AU$4&gt;=Teams!$C$80,Teams!$C$18,0)</f>
        <v>3000</v>
      </c>
      <c r="AV10" s="22">
        <f>IF(AV$4&gt;=Teams!$C$80,Teams!$C$18,0)</f>
        <v>3000</v>
      </c>
      <c r="AW10" s="22">
        <f>IF(AW$4&gt;=Teams!$C$80,Teams!$C$18,0)</f>
        <v>3000</v>
      </c>
      <c r="AX10" s="22">
        <f>IF(AX$4&gt;=Teams!$C$80,Teams!$C$18,0)</f>
        <v>3000</v>
      </c>
      <c r="AY10" s="22">
        <f>IF(AY$4&gt;=Teams!$C$80,Teams!$C$18,0)</f>
        <v>3000</v>
      </c>
      <c r="AZ10" s="22">
        <f>IF(AZ$4&gt;=Teams!$C$80,Teams!$C$18,0)</f>
        <v>3000</v>
      </c>
      <c r="BA10" s="22">
        <f>IF(BA$4&gt;=Teams!$C$80,Teams!$C$18,0)</f>
        <v>3000</v>
      </c>
      <c r="BB10" s="22">
        <f>IF(BB$4&gt;=Teams!$C$80,Teams!$C$18,0)</f>
        <v>3000</v>
      </c>
      <c r="BC10" s="22">
        <f>IF(BC$4&gt;=Teams!$C$80,Teams!$C$18,0)</f>
        <v>3000</v>
      </c>
      <c r="BD10" s="22">
        <f>IF(BD$4&gt;=Teams!$C$80,Teams!$C$18,0)</f>
        <v>3000</v>
      </c>
      <c r="BE10" s="22">
        <f>IF(BE$4&gt;=Teams!$C$80,Teams!$C$18,0)</f>
        <v>3000</v>
      </c>
      <c r="BF10" s="22">
        <f>IF(BF$4&gt;=Teams!$C$80,Teams!$C$18,0)</f>
        <v>3000</v>
      </c>
      <c r="BG10" s="22">
        <f>IF(BG$4&gt;=Teams!$C$80,Teams!$C$18,0)</f>
        <v>3000</v>
      </c>
      <c r="BH10" s="22">
        <f>IF(BH$4&gt;=Teams!$C$80,Teams!$C$18,0)</f>
        <v>3000</v>
      </c>
      <c r="BI10" s="22">
        <f>IF(BI$4&gt;=Teams!$C$80,Teams!$C$18,0)</f>
        <v>3000</v>
      </c>
      <c r="BJ10" s="22">
        <f>IF(BJ$4&gt;=Teams!$C$80,Teams!$C$18,0)</f>
        <v>3000</v>
      </c>
      <c r="BK10" s="22">
        <f>IF(BK$4&gt;=Teams!$C$80,Teams!$C$18,0)</f>
        <v>3000</v>
      </c>
      <c r="BL10" s="22">
        <f>IF(BL$4&gt;=Teams!$C$80,Teams!$C$18,0)</f>
        <v>3000</v>
      </c>
    </row>
    <row r="11" spans="1:64" x14ac:dyDescent="0.3">
      <c r="A11" s="8" t="s">
        <v>1011</v>
      </c>
      <c r="C11" s="22">
        <f>SUMPRODUCT(E11:BL11,E$5:BL$5)</f>
        <v>60300</v>
      </c>
      <c r="E11" s="22">
        <f>E10*Teams!$C$19*E9</f>
        <v>133.33333333333331</v>
      </c>
      <c r="F11" s="22">
        <f>F10*Teams!$C$19*F9</f>
        <v>466.66666666666663</v>
      </c>
      <c r="G11" s="22">
        <f>G10*Teams!$C$19*G9</f>
        <v>900</v>
      </c>
      <c r="H11" s="22">
        <f>H10*Teams!$C$19*H9</f>
        <v>1333.3333333333333</v>
      </c>
      <c r="I11" s="22">
        <f>I10*Teams!$C$19*I9</f>
        <v>1666.666666666667</v>
      </c>
      <c r="J11" s="22">
        <f>J10*Teams!$C$19*J9</f>
        <v>1800</v>
      </c>
      <c r="K11" s="22">
        <f>K10*Teams!$C$19*K9</f>
        <v>1800</v>
      </c>
      <c r="L11" s="22">
        <f>L10*Teams!$C$19*L9</f>
        <v>1800</v>
      </c>
      <c r="M11" s="22">
        <f>M10*Teams!$C$19*M9</f>
        <v>1800</v>
      </c>
      <c r="N11" s="22">
        <f>N10*Teams!$C$19*N9</f>
        <v>1800</v>
      </c>
      <c r="O11" s="22">
        <f>O10*Teams!$C$19*O9</f>
        <v>1800</v>
      </c>
      <c r="P11" s="22">
        <f>P10*Teams!$C$19*P9</f>
        <v>1800</v>
      </c>
      <c r="Q11" s="22">
        <f>Q10*Teams!$C$19*Q9</f>
        <v>1800</v>
      </c>
      <c r="R11" s="22">
        <f>R10*Teams!$C$19*R9</f>
        <v>1800</v>
      </c>
      <c r="S11" s="22">
        <f>S10*Teams!$C$19*S9</f>
        <v>1800</v>
      </c>
      <c r="T11" s="22">
        <f>T10*Teams!$C$19*T9</f>
        <v>1800</v>
      </c>
      <c r="U11" s="22">
        <f>U10*Teams!$C$19*U9</f>
        <v>1800</v>
      </c>
      <c r="V11" s="22">
        <f>V10*Teams!$C$19*V9</f>
        <v>1800</v>
      </c>
      <c r="W11" s="22">
        <f>W10*Teams!$C$19*W9</f>
        <v>1800</v>
      </c>
      <c r="X11" s="22">
        <f>X10*Teams!$C$19*X9</f>
        <v>1800</v>
      </c>
      <c r="Y11" s="22">
        <f>Y10*Teams!$C$19*Y9</f>
        <v>1800</v>
      </c>
      <c r="Z11" s="22">
        <f>Z10*Teams!$C$19*Z9</f>
        <v>1800</v>
      </c>
      <c r="AA11" s="22">
        <f>AA10*Teams!$C$19*AA9</f>
        <v>1800</v>
      </c>
      <c r="AB11" s="22">
        <f>AB10*Teams!$C$19*AB9</f>
        <v>1800</v>
      </c>
      <c r="AC11" s="22">
        <f>AC10*Teams!$C$19*AC9</f>
        <v>1800</v>
      </c>
      <c r="AD11" s="22">
        <f>AD10*Teams!$C$19*AD9</f>
        <v>1800</v>
      </c>
      <c r="AE11" s="22">
        <f>AE10*Teams!$C$19*AE9</f>
        <v>1800</v>
      </c>
      <c r="AF11" s="22">
        <f>AF10*Teams!$C$19*AF9</f>
        <v>1800</v>
      </c>
      <c r="AG11" s="22">
        <f>AG10*Teams!$C$19*AG9</f>
        <v>1800</v>
      </c>
      <c r="AH11" s="22">
        <f>AH10*Teams!$C$19*AH9</f>
        <v>1800</v>
      </c>
      <c r="AI11" s="22">
        <f>AI10*Teams!$C$19*AI9</f>
        <v>1800</v>
      </c>
      <c r="AJ11" s="22">
        <f>AJ10*Teams!$C$19*AJ9</f>
        <v>1800</v>
      </c>
      <c r="AK11" s="22">
        <f>AK10*Teams!$C$19*AK9</f>
        <v>1800</v>
      </c>
      <c r="AL11" s="22">
        <f>AL10*Teams!$C$19*AL9</f>
        <v>1800</v>
      </c>
      <c r="AM11" s="22">
        <f>AM10*Teams!$C$19*AM9</f>
        <v>1800</v>
      </c>
      <c r="AN11" s="22">
        <f>AN10*Teams!$C$19*AN9</f>
        <v>1800</v>
      </c>
      <c r="AO11" s="22">
        <f>AO10*Teams!$C$19*AO9</f>
        <v>1800</v>
      </c>
      <c r="AP11" s="22">
        <f>AP10*Teams!$C$19*AP9</f>
        <v>1800</v>
      </c>
      <c r="AQ11" s="22">
        <f>AQ10*Teams!$C$19*AQ9</f>
        <v>1800</v>
      </c>
      <c r="AR11" s="22">
        <f>AR10*Teams!$C$19*AR9</f>
        <v>1800</v>
      </c>
      <c r="AS11" s="22">
        <f>AS10*Teams!$C$19*AS9</f>
        <v>1800</v>
      </c>
      <c r="AT11" s="22">
        <f>AT10*Teams!$C$19*AT9</f>
        <v>1800</v>
      </c>
      <c r="AU11" s="22">
        <f>AU10*Teams!$C$19*AU9</f>
        <v>1800</v>
      </c>
      <c r="AV11" s="22">
        <f>AV10*Teams!$C$19*AV9</f>
        <v>1800</v>
      </c>
      <c r="AW11" s="22">
        <f>AW10*Teams!$C$19*AW9</f>
        <v>1800</v>
      </c>
      <c r="AX11" s="22">
        <f>AX10*Teams!$C$19*AX9</f>
        <v>1800</v>
      </c>
      <c r="AY11" s="22">
        <f>AY10*Teams!$C$19*AY9</f>
        <v>1800</v>
      </c>
      <c r="AZ11" s="22">
        <f>AZ10*Teams!$C$19*AZ9</f>
        <v>1800</v>
      </c>
      <c r="BA11" s="22">
        <f>BA10*Teams!$C$19*BA9</f>
        <v>1800</v>
      </c>
      <c r="BB11" s="22">
        <f>BB10*Teams!$C$19*BB9</f>
        <v>1800</v>
      </c>
      <c r="BC11" s="22">
        <f>BC10*Teams!$C$19*BC9</f>
        <v>1800</v>
      </c>
      <c r="BD11" s="22">
        <f>BD10*Teams!$C$19*BD9</f>
        <v>1800</v>
      </c>
      <c r="BE11" s="22">
        <f>BE10*Teams!$C$19*BE9</f>
        <v>1800</v>
      </c>
      <c r="BF11" s="22">
        <f>BF10*Teams!$C$19*BF9</f>
        <v>1800</v>
      </c>
      <c r="BG11" s="22">
        <f>BG10*Teams!$C$19*BG9</f>
        <v>1800</v>
      </c>
      <c r="BH11" s="22">
        <f>BH10*Teams!$C$19*BH9</f>
        <v>1800</v>
      </c>
      <c r="BI11" s="22">
        <f>BI10*Teams!$C$19*BI9</f>
        <v>1800</v>
      </c>
      <c r="BJ11" s="22">
        <f>BJ10*Teams!$C$19*BJ9</f>
        <v>1800</v>
      </c>
      <c r="BK11" s="22">
        <f>BK10*Teams!$C$19*BK9</f>
        <v>1800</v>
      </c>
      <c r="BL11" s="22">
        <f>BL10*Teams!$C$19*BL9</f>
        <v>1800</v>
      </c>
    </row>
    <row r="12" spans="1:64" x14ac:dyDescent="0.3">
      <c r="A12" s="8" t="s">
        <v>28</v>
      </c>
      <c r="C12" s="22">
        <f>SUMPRODUCT(E12:BL12,E$5:BL$5)</f>
        <v>3618000</v>
      </c>
      <c r="E12" s="22">
        <f>IF(Teams!$C$23="per user",E11*Teams!$C$24,Teams!$C$25*E9)</f>
        <v>7999.9999999999991</v>
      </c>
      <c r="F12" s="22">
        <f>IF(Teams!$C$23="per user",F11*Teams!$C$24,Teams!$C$25*F9)</f>
        <v>27999.999999999996</v>
      </c>
      <c r="G12" s="22">
        <f>IF(Teams!$C$23="per user",G11*Teams!$C$24,Teams!$C$25*G9)</f>
        <v>54000</v>
      </c>
      <c r="H12" s="22">
        <f>IF(Teams!$C$23="per user",H11*Teams!$C$24,Teams!$C$25*H9)</f>
        <v>80000</v>
      </c>
      <c r="I12" s="22">
        <f>IF(Teams!$C$23="per user",I11*Teams!$C$24,Teams!$C$25*I9)</f>
        <v>100000.00000000001</v>
      </c>
      <c r="J12" s="22">
        <f>IF(Teams!$C$23="per user",J11*Teams!$C$24,Teams!$C$25*J9)</f>
        <v>108000</v>
      </c>
      <c r="K12" s="22">
        <f>IF(Teams!$C$23="per user",K11*Teams!$C$24,Teams!$C$25*K9)</f>
        <v>108000</v>
      </c>
      <c r="L12" s="22">
        <f>IF(Teams!$C$23="per user",L11*Teams!$C$24,Teams!$C$25*L9)</f>
        <v>108000</v>
      </c>
      <c r="M12" s="22">
        <f>IF(Teams!$C$23="per user",M11*Teams!$C$24,Teams!$C$25*M9)</f>
        <v>108000</v>
      </c>
      <c r="N12" s="22">
        <f>IF(Teams!$C$23="per user",N11*Teams!$C$24,Teams!$C$25*N9)</f>
        <v>108000</v>
      </c>
      <c r="O12" s="22">
        <f>IF(Teams!$C$23="per user",O11*Teams!$C$24,Teams!$C$25*O9)</f>
        <v>108000</v>
      </c>
      <c r="P12" s="22">
        <f>IF(Teams!$C$23="per user",P11*Teams!$C$24,Teams!$C$25*P9)</f>
        <v>108000</v>
      </c>
      <c r="Q12" s="22">
        <f>IF(Teams!$C$23="per user",Q11*Teams!$C$24,Teams!$C$25*Q9)</f>
        <v>108000</v>
      </c>
      <c r="R12" s="22">
        <f>IF(Teams!$C$23="per user",R11*Teams!$C$24,Teams!$C$25*R9)</f>
        <v>108000</v>
      </c>
      <c r="S12" s="22">
        <f>IF(Teams!$C$23="per user",S11*Teams!$C$24,Teams!$C$25*S9)</f>
        <v>108000</v>
      </c>
      <c r="T12" s="22">
        <f>IF(Teams!$C$23="per user",T11*Teams!$C$24,Teams!$C$25*T9)</f>
        <v>108000</v>
      </c>
      <c r="U12" s="22">
        <f>IF(Teams!$C$23="per user",U11*Teams!$C$24,Teams!$C$25*U9)</f>
        <v>108000</v>
      </c>
      <c r="V12" s="22">
        <f>IF(Teams!$C$23="per user",V11*Teams!$C$24,Teams!$C$25*V9)</f>
        <v>108000</v>
      </c>
      <c r="W12" s="22">
        <f>IF(Teams!$C$23="per user",W11*Teams!$C$24,Teams!$C$25*W9)</f>
        <v>108000</v>
      </c>
      <c r="X12" s="22">
        <f>IF(Teams!$C$23="per user",X11*Teams!$C$24,Teams!$C$25*X9)</f>
        <v>108000</v>
      </c>
      <c r="Y12" s="22">
        <f>IF(Teams!$C$23="per user",Y11*Teams!$C$24,Teams!$C$25*Y9)</f>
        <v>108000</v>
      </c>
      <c r="Z12" s="22">
        <f>IF(Teams!$C$23="per user",Z11*Teams!$C$24,Teams!$C$25*Z9)</f>
        <v>108000</v>
      </c>
      <c r="AA12" s="22">
        <f>IF(Teams!$C$23="per user",AA11*Teams!$C$24,Teams!$C$25*AA9)</f>
        <v>108000</v>
      </c>
      <c r="AB12" s="22">
        <f>IF(Teams!$C$23="per user",AB11*Teams!$C$24,Teams!$C$25*AB9)</f>
        <v>108000</v>
      </c>
      <c r="AC12" s="22">
        <f>IF(Teams!$C$23="per user",AC11*Teams!$C$24,Teams!$C$25*AC9)</f>
        <v>108000</v>
      </c>
      <c r="AD12" s="22">
        <f>IF(Teams!$C$23="per user",AD11*Teams!$C$24,Teams!$C$25*AD9)</f>
        <v>108000</v>
      </c>
      <c r="AE12" s="22">
        <f>IF(Teams!$C$23="per user",AE11*Teams!$C$24,Teams!$C$25*AE9)</f>
        <v>108000</v>
      </c>
      <c r="AF12" s="22">
        <f>IF(Teams!$C$23="per user",AF11*Teams!$C$24,Teams!$C$25*AF9)</f>
        <v>108000</v>
      </c>
      <c r="AG12" s="22">
        <f>IF(Teams!$C$23="per user",AG11*Teams!$C$24,Teams!$C$25*AG9)</f>
        <v>108000</v>
      </c>
      <c r="AH12" s="22">
        <f>IF(Teams!$C$23="per user",AH11*Teams!$C$24,Teams!$C$25*AH9)</f>
        <v>108000</v>
      </c>
      <c r="AI12" s="22">
        <f>IF(Teams!$C$23="per user",AI11*Teams!$C$24,Teams!$C$25*AI9)</f>
        <v>108000</v>
      </c>
      <c r="AJ12" s="22">
        <f>IF(Teams!$C$23="per user",AJ11*Teams!$C$24,Teams!$C$25*AJ9)</f>
        <v>108000</v>
      </c>
      <c r="AK12" s="22">
        <f>IF(Teams!$C$23="per user",AK11*Teams!$C$24,Teams!$C$25*AK9)</f>
        <v>108000</v>
      </c>
      <c r="AL12" s="22">
        <f>IF(Teams!$C$23="per user",AL11*Teams!$C$24,Teams!$C$25*AL9)</f>
        <v>108000</v>
      </c>
      <c r="AM12" s="22">
        <f>IF(Teams!$C$23="per user",AM11*Teams!$C$24,Teams!$C$25*AM9)</f>
        <v>108000</v>
      </c>
      <c r="AN12" s="22">
        <f>IF(Teams!$C$23="per user",AN11*Teams!$C$24,Teams!$C$25*AN9)</f>
        <v>108000</v>
      </c>
      <c r="AO12" s="22">
        <f>IF(Teams!$C$23="per user",AO11*Teams!$C$24,Teams!$C$25*AO9)</f>
        <v>108000</v>
      </c>
      <c r="AP12" s="22">
        <f>IF(Teams!$C$23="per user",AP11*Teams!$C$24,Teams!$C$25*AP9)</f>
        <v>108000</v>
      </c>
      <c r="AQ12" s="22">
        <f>IF(Teams!$C$23="per user",AQ11*Teams!$C$24,Teams!$C$25*AQ9)</f>
        <v>108000</v>
      </c>
      <c r="AR12" s="22">
        <f>IF(Teams!$C$23="per user",AR11*Teams!$C$24,Teams!$C$25*AR9)</f>
        <v>108000</v>
      </c>
      <c r="AS12" s="22">
        <f>IF(Teams!$C$23="per user",AS11*Teams!$C$24,Teams!$C$25*AS9)</f>
        <v>108000</v>
      </c>
      <c r="AT12" s="22">
        <f>IF(Teams!$C$23="per user",AT11*Teams!$C$24,Teams!$C$25*AT9)</f>
        <v>108000</v>
      </c>
      <c r="AU12" s="22">
        <f>IF(Teams!$C$23="per user",AU11*Teams!$C$24,Teams!$C$25*AU9)</f>
        <v>108000</v>
      </c>
      <c r="AV12" s="22">
        <f>IF(Teams!$C$23="per user",AV11*Teams!$C$24,Teams!$C$25*AV9)</f>
        <v>108000</v>
      </c>
      <c r="AW12" s="22">
        <f>IF(Teams!$C$23="per user",AW11*Teams!$C$24,Teams!$C$25*AW9)</f>
        <v>108000</v>
      </c>
      <c r="AX12" s="22">
        <f>IF(Teams!$C$23="per user",AX11*Teams!$C$24,Teams!$C$25*AX9)</f>
        <v>108000</v>
      </c>
      <c r="AY12" s="22">
        <f>IF(Teams!$C$23="per user",AY11*Teams!$C$24,Teams!$C$25*AY9)</f>
        <v>108000</v>
      </c>
      <c r="AZ12" s="22">
        <f>IF(Teams!$C$23="per user",AZ11*Teams!$C$24,Teams!$C$25*AZ9)</f>
        <v>108000</v>
      </c>
      <c r="BA12" s="22">
        <f>IF(Teams!$C$23="per user",BA11*Teams!$C$24,Teams!$C$25*BA9)</f>
        <v>108000</v>
      </c>
      <c r="BB12" s="22">
        <f>IF(Teams!$C$23="per user",BB11*Teams!$C$24,Teams!$C$25*BB9)</f>
        <v>108000</v>
      </c>
      <c r="BC12" s="22">
        <f>IF(Teams!$C$23="per user",BC11*Teams!$C$24,Teams!$C$25*BC9)</f>
        <v>108000</v>
      </c>
      <c r="BD12" s="22">
        <f>IF(Teams!$C$23="per user",BD11*Teams!$C$24,Teams!$C$25*BD9)</f>
        <v>108000</v>
      </c>
      <c r="BE12" s="22">
        <f>IF(Teams!$C$23="per user",BE11*Teams!$C$24,Teams!$C$25*BE9)</f>
        <v>108000</v>
      </c>
      <c r="BF12" s="22">
        <f>IF(Teams!$C$23="per user",BF11*Teams!$C$24,Teams!$C$25*BF9)</f>
        <v>108000</v>
      </c>
      <c r="BG12" s="22">
        <f>IF(Teams!$C$23="per user",BG11*Teams!$C$24,Teams!$C$25*BG9)</f>
        <v>108000</v>
      </c>
      <c r="BH12" s="22">
        <f>IF(Teams!$C$23="per user",BH11*Teams!$C$24,Teams!$C$25*BH9)</f>
        <v>108000</v>
      </c>
      <c r="BI12" s="22">
        <f>IF(Teams!$C$23="per user",BI11*Teams!$C$24,Teams!$C$25*BI9)</f>
        <v>108000</v>
      </c>
      <c r="BJ12" s="22">
        <f>IF(Teams!$C$23="per user",BJ11*Teams!$C$24,Teams!$C$25*BJ9)</f>
        <v>108000</v>
      </c>
      <c r="BK12" s="22">
        <f>IF(Teams!$C$23="per user",BK11*Teams!$C$24,Teams!$C$25*BK9)</f>
        <v>108000</v>
      </c>
      <c r="BL12" s="22">
        <f>IF(Teams!$C$23="per user",BL11*Teams!$C$24,Teams!$C$25*BL9)</f>
        <v>108000</v>
      </c>
    </row>
    <row r="13" spans="1:64" x14ac:dyDescent="0.3">
      <c r="A13" s="8" t="s">
        <v>665</v>
      </c>
      <c r="B13" s="18" t="s">
        <v>435</v>
      </c>
      <c r="C13" s="44">
        <f t="shared" ref="C13:C31" si="2">SUM(D13:BL13)</f>
        <v>3024000</v>
      </c>
      <c r="E13" s="44">
        <f>E$5*Teams!$C$60*E10*Teams!$C$66</f>
        <v>84000</v>
      </c>
      <c r="F13" s="44">
        <f>F$5*Teams!$C$60*F10*Teams!$C$66</f>
        <v>84000</v>
      </c>
      <c r="G13" s="44">
        <f>G$5*Teams!$C$60*G10*Teams!$C$66</f>
        <v>84000</v>
      </c>
      <c r="H13" s="44">
        <f>H$5*Teams!$C$60*H10*Teams!$C$66</f>
        <v>84000</v>
      </c>
      <c r="I13" s="44">
        <f>I$5*Teams!$C$60*I10*Teams!$C$66</f>
        <v>84000</v>
      </c>
      <c r="J13" s="44">
        <f>J$5*Teams!$C$60*J10*Teams!$C$66</f>
        <v>84000</v>
      </c>
      <c r="K13" s="44">
        <f>K$5*Teams!$C$60*K10*Teams!$C$66</f>
        <v>84000</v>
      </c>
      <c r="L13" s="44">
        <f>L$5*Teams!$C$60*L10*Teams!$C$66</f>
        <v>84000</v>
      </c>
      <c r="M13" s="44">
        <f>M$5*Teams!$C$60*M10*Teams!$C$66</f>
        <v>84000</v>
      </c>
      <c r="N13" s="44">
        <f>N$5*Teams!$C$60*N10*Teams!$C$66</f>
        <v>84000</v>
      </c>
      <c r="O13" s="44">
        <f>O$5*Teams!$C$60*O10*Teams!$C$66</f>
        <v>84000</v>
      </c>
      <c r="P13" s="44">
        <f>P$5*Teams!$C$60*P10*Teams!$C$66</f>
        <v>84000</v>
      </c>
      <c r="Q13" s="44">
        <f>Q$5*Teams!$C$60*Q10*Teams!$C$66</f>
        <v>84000</v>
      </c>
      <c r="R13" s="44">
        <f>R$5*Teams!$C$60*R10*Teams!$C$66</f>
        <v>84000</v>
      </c>
      <c r="S13" s="44">
        <f>S$5*Teams!$C$60*S10*Teams!$C$66</f>
        <v>84000</v>
      </c>
      <c r="T13" s="44">
        <f>T$5*Teams!$C$60*T10*Teams!$C$66</f>
        <v>84000</v>
      </c>
      <c r="U13" s="44">
        <f>U$5*Teams!$C$60*U10*Teams!$C$66</f>
        <v>84000</v>
      </c>
      <c r="V13" s="44">
        <f>V$5*Teams!$C$60*V10*Teams!$C$66</f>
        <v>84000</v>
      </c>
      <c r="W13" s="44">
        <f>W$5*Teams!$C$60*W10*Teams!$C$66</f>
        <v>84000</v>
      </c>
      <c r="X13" s="44">
        <f>X$5*Teams!$C$60*X10*Teams!$C$66</f>
        <v>84000</v>
      </c>
      <c r="Y13" s="44">
        <f>Y$5*Teams!$C$60*Y10*Teams!$C$66</f>
        <v>84000</v>
      </c>
      <c r="Z13" s="44">
        <f>Z$5*Teams!$C$60*Z10*Teams!$C$66</f>
        <v>84000</v>
      </c>
      <c r="AA13" s="44">
        <f>AA$5*Teams!$C$60*AA10*Teams!$C$66</f>
        <v>84000</v>
      </c>
      <c r="AB13" s="44">
        <f>AB$5*Teams!$C$60*AB10*Teams!$C$66</f>
        <v>84000</v>
      </c>
      <c r="AC13" s="44">
        <f>AC$5*Teams!$C$60*AC10*Teams!$C$66</f>
        <v>84000</v>
      </c>
      <c r="AD13" s="44">
        <f>AD$5*Teams!$C$60*AD10*Teams!$C$66</f>
        <v>84000</v>
      </c>
      <c r="AE13" s="44">
        <f>AE$5*Teams!$C$60*AE10*Teams!$C$66</f>
        <v>84000</v>
      </c>
      <c r="AF13" s="44">
        <f>AF$5*Teams!$C$60*AF10*Teams!$C$66</f>
        <v>84000</v>
      </c>
      <c r="AG13" s="44">
        <f>AG$5*Teams!$C$60*AG10*Teams!$C$66</f>
        <v>84000</v>
      </c>
      <c r="AH13" s="44">
        <f>AH$5*Teams!$C$60*AH10*Teams!$C$66</f>
        <v>84000</v>
      </c>
      <c r="AI13" s="44">
        <f>AI$5*Teams!$C$60*AI10*Teams!$C$66</f>
        <v>84000</v>
      </c>
      <c r="AJ13" s="44">
        <f>AJ$5*Teams!$C$60*AJ10*Teams!$C$66</f>
        <v>84000</v>
      </c>
      <c r="AK13" s="44">
        <f>AK$5*Teams!$C$60*AK10*Teams!$C$66</f>
        <v>84000</v>
      </c>
      <c r="AL13" s="44">
        <f>AL$5*Teams!$C$60*AL10*Teams!$C$66</f>
        <v>84000</v>
      </c>
      <c r="AM13" s="44">
        <f>AM$5*Teams!$C$60*AM10*Teams!$C$66</f>
        <v>84000</v>
      </c>
      <c r="AN13" s="44">
        <f>AN$5*Teams!$C$60*AN10*Teams!$C$66</f>
        <v>84000</v>
      </c>
      <c r="AO13" s="44">
        <f>AO$5*Teams!$C$60*AO10*Teams!$C$66</f>
        <v>0</v>
      </c>
      <c r="AP13" s="44">
        <f>AP$5*Teams!$C$60*AP10*Teams!$C$66</f>
        <v>0</v>
      </c>
      <c r="AQ13" s="44">
        <f>AQ$5*Teams!$C$60*AQ10*Teams!$C$66</f>
        <v>0</v>
      </c>
      <c r="AR13" s="44">
        <f>AR$5*Teams!$C$60*AR10*Teams!$C$66</f>
        <v>0</v>
      </c>
      <c r="AS13" s="44">
        <f>AS$5*Teams!$C$60*AS10*Teams!$C$66</f>
        <v>0</v>
      </c>
      <c r="AT13" s="44">
        <f>AT$5*Teams!$C$60*AT10*Teams!$C$66</f>
        <v>0</v>
      </c>
      <c r="AU13" s="44">
        <f>AU$5*Teams!$C$60*AU10*Teams!$C$66</f>
        <v>0</v>
      </c>
      <c r="AV13" s="44">
        <f>AV$5*Teams!$C$60*AV10*Teams!$C$66</f>
        <v>0</v>
      </c>
      <c r="AW13" s="44">
        <f>AW$5*Teams!$C$60*AW10*Teams!$C$66</f>
        <v>0</v>
      </c>
      <c r="AX13" s="44">
        <f>AX$5*Teams!$C$60*AX10*Teams!$C$66</f>
        <v>0</v>
      </c>
      <c r="AY13" s="44">
        <f>AY$5*Teams!$C$60*AY10*Teams!$C$66</f>
        <v>0</v>
      </c>
      <c r="AZ13" s="44">
        <f>AZ$5*Teams!$C$60*AZ10*Teams!$C$66</f>
        <v>0</v>
      </c>
      <c r="BA13" s="44">
        <f>BA$5*Teams!$C$60*BA10*Teams!$C$66</f>
        <v>0</v>
      </c>
      <c r="BB13" s="44">
        <f>BB$5*Teams!$C$60*BB10*Teams!$C$66</f>
        <v>0</v>
      </c>
      <c r="BC13" s="44">
        <f>BC$5*Teams!$C$60*BC10*Teams!$C$66</f>
        <v>0</v>
      </c>
      <c r="BD13" s="44">
        <f>BD$5*Teams!$C$60*BD10*Teams!$C$66</f>
        <v>0</v>
      </c>
      <c r="BE13" s="44">
        <f>BE$5*Teams!$C$60*BE10*Teams!$C$66</f>
        <v>0</v>
      </c>
      <c r="BF13" s="44">
        <f>BF$5*Teams!$C$60*BF10*Teams!$C$66</f>
        <v>0</v>
      </c>
      <c r="BG13" s="44">
        <f>BG$5*Teams!$C$60*BG10*Teams!$C$66</f>
        <v>0</v>
      </c>
      <c r="BH13" s="44">
        <f>BH$5*Teams!$C$60*BH10*Teams!$C$66</f>
        <v>0</v>
      </c>
      <c r="BI13" s="44">
        <f>BI$5*Teams!$C$60*BI10*Teams!$C$66</f>
        <v>0</v>
      </c>
      <c r="BJ13" s="44">
        <f>BJ$5*Teams!$C$60*BJ10*Teams!$C$66</f>
        <v>0</v>
      </c>
      <c r="BK13" s="44">
        <f>BK$5*Teams!$C$60*BK10*Teams!$C$66</f>
        <v>0</v>
      </c>
      <c r="BL13" s="44">
        <f>BL$5*Teams!$C$60*BL10*Teams!$C$66</f>
        <v>0</v>
      </c>
    </row>
    <row r="14" spans="1:64" x14ac:dyDescent="0.3">
      <c r="A14" s="8" t="s">
        <v>666</v>
      </c>
      <c r="B14" s="18" t="s">
        <v>435</v>
      </c>
      <c r="C14" s="44">
        <f t="shared" si="2"/>
        <v>0</v>
      </c>
      <c r="E14" s="44">
        <f>E$5*IF(Teams!$C$61=1,E11*((1-Teams!$C$13)*MAX(0,Teams!$C$72*$C$8-Teams!$C$12)+Teams!$C$13*MAX(0,Teams!$C$73*$C$8-Teams!$C$12)),IF(Teams!$C$62=1,E12*$C$8,0))</f>
        <v>0</v>
      </c>
      <c r="F14" s="44">
        <f>F$5*IF(Teams!$C$61=1,F11*((1-Teams!$C$13)*MAX(0,Teams!$C$72*$C$8-Teams!$C$12)+Teams!$C$13*MAX(0,Teams!$C$73*$C$8-Teams!$C$12)),IF(Teams!$C$62=1,F12*$C$8,0))</f>
        <v>0</v>
      </c>
      <c r="G14" s="44">
        <f>G$5*IF(Teams!$C$61=1,G11*((1-Teams!$C$13)*MAX(0,Teams!$C$72*$C$8-Teams!$C$12)+Teams!$C$13*MAX(0,Teams!$C$73*$C$8-Teams!$C$12)),IF(Teams!$C$62=1,G12*$C$8,0))</f>
        <v>0</v>
      </c>
      <c r="H14" s="44">
        <f>H$5*IF(Teams!$C$61=1,H11*((1-Teams!$C$13)*MAX(0,Teams!$C$72*$C$8-Teams!$C$12)+Teams!$C$13*MAX(0,Teams!$C$73*$C$8-Teams!$C$12)),IF(Teams!$C$62=1,H12*$C$8,0))</f>
        <v>0</v>
      </c>
      <c r="I14" s="44">
        <f>I$5*IF(Teams!$C$61=1,I11*((1-Teams!$C$13)*MAX(0,Teams!$C$72*$C$8-Teams!$C$12)+Teams!$C$13*MAX(0,Teams!$C$73*$C$8-Teams!$C$12)),IF(Teams!$C$62=1,I12*$C$8,0))</f>
        <v>0</v>
      </c>
      <c r="J14" s="44">
        <f>J$5*IF(Teams!$C$61=1,J11*((1-Teams!$C$13)*MAX(0,Teams!$C$72*$C$8-Teams!$C$12)+Teams!$C$13*MAX(0,Teams!$C$73*$C$8-Teams!$C$12)),IF(Teams!$C$62=1,J12*$C$8,0))</f>
        <v>0</v>
      </c>
      <c r="K14" s="44">
        <f>K$5*IF(Teams!$C$61=1,K11*((1-Teams!$C$13)*MAX(0,Teams!$C$72*$C$8-Teams!$C$12)+Teams!$C$13*MAX(0,Teams!$C$73*$C$8-Teams!$C$12)),IF(Teams!$C$62=1,K12*$C$8,0))</f>
        <v>0</v>
      </c>
      <c r="L14" s="44">
        <f>L$5*IF(Teams!$C$61=1,L11*((1-Teams!$C$13)*MAX(0,Teams!$C$72*$C$8-Teams!$C$12)+Teams!$C$13*MAX(0,Teams!$C$73*$C$8-Teams!$C$12)),IF(Teams!$C$62=1,L12*$C$8,0))</f>
        <v>0</v>
      </c>
      <c r="M14" s="44">
        <f>M$5*IF(Teams!$C$61=1,M11*((1-Teams!$C$13)*MAX(0,Teams!$C$72*$C$8-Teams!$C$12)+Teams!$C$13*MAX(0,Teams!$C$73*$C$8-Teams!$C$12)),IF(Teams!$C$62=1,M12*$C$8,0))</f>
        <v>0</v>
      </c>
      <c r="N14" s="44">
        <f>N$5*IF(Teams!$C$61=1,N11*((1-Teams!$C$13)*MAX(0,Teams!$C$72*$C$8-Teams!$C$12)+Teams!$C$13*MAX(0,Teams!$C$73*$C$8-Teams!$C$12)),IF(Teams!$C$62=1,N12*$C$8,0))</f>
        <v>0</v>
      </c>
      <c r="O14" s="44">
        <f>O$5*IF(Teams!$C$61=1,O11*((1-Teams!$C$13)*MAX(0,Teams!$C$72*$C$8-Teams!$C$12)+Teams!$C$13*MAX(0,Teams!$C$73*$C$8-Teams!$C$12)),IF(Teams!$C$62=1,O12*$C$8,0))</f>
        <v>0</v>
      </c>
      <c r="P14" s="44">
        <f>P$5*IF(Teams!$C$61=1,P11*((1-Teams!$C$13)*MAX(0,Teams!$C$72*$C$8-Teams!$C$12)+Teams!$C$13*MAX(0,Teams!$C$73*$C$8-Teams!$C$12)),IF(Teams!$C$62=1,P12*$C$8,0))</f>
        <v>0</v>
      </c>
      <c r="Q14" s="44">
        <f>Q$5*IF(Teams!$C$61=1,Q11*((1-Teams!$C$13)*MAX(0,Teams!$C$72*$C$8-Teams!$C$12)+Teams!$C$13*MAX(0,Teams!$C$73*$C$8-Teams!$C$12)),IF(Teams!$C$62=1,Q12*$C$8,0))</f>
        <v>0</v>
      </c>
      <c r="R14" s="44">
        <f>R$5*IF(Teams!$C$61=1,R11*((1-Teams!$C$13)*MAX(0,Teams!$C$72*$C$8-Teams!$C$12)+Teams!$C$13*MAX(0,Teams!$C$73*$C$8-Teams!$C$12)),IF(Teams!$C$62=1,R12*$C$8,0))</f>
        <v>0</v>
      </c>
      <c r="S14" s="44">
        <f>S$5*IF(Teams!$C$61=1,S11*((1-Teams!$C$13)*MAX(0,Teams!$C$72*$C$8-Teams!$C$12)+Teams!$C$13*MAX(0,Teams!$C$73*$C$8-Teams!$C$12)),IF(Teams!$C$62=1,S12*$C$8,0))</f>
        <v>0</v>
      </c>
      <c r="T14" s="44">
        <f>T$5*IF(Teams!$C$61=1,T11*((1-Teams!$C$13)*MAX(0,Teams!$C$72*$C$8-Teams!$C$12)+Teams!$C$13*MAX(0,Teams!$C$73*$C$8-Teams!$C$12)),IF(Teams!$C$62=1,T12*$C$8,0))</f>
        <v>0</v>
      </c>
      <c r="U14" s="44">
        <f>U$5*IF(Teams!$C$61=1,U11*((1-Teams!$C$13)*MAX(0,Teams!$C$72*$C$8-Teams!$C$12)+Teams!$C$13*MAX(0,Teams!$C$73*$C$8-Teams!$C$12)),IF(Teams!$C$62=1,U12*$C$8,0))</f>
        <v>0</v>
      </c>
      <c r="V14" s="44">
        <f>V$5*IF(Teams!$C$61=1,V11*((1-Teams!$C$13)*MAX(0,Teams!$C$72*$C$8-Teams!$C$12)+Teams!$C$13*MAX(0,Teams!$C$73*$C$8-Teams!$C$12)),IF(Teams!$C$62=1,V12*$C$8,0))</f>
        <v>0</v>
      </c>
      <c r="W14" s="44">
        <f>W$5*IF(Teams!$C$61=1,W11*((1-Teams!$C$13)*MAX(0,Teams!$C$72*$C$8-Teams!$C$12)+Teams!$C$13*MAX(0,Teams!$C$73*$C$8-Teams!$C$12)),IF(Teams!$C$62=1,W12*$C$8,0))</f>
        <v>0</v>
      </c>
      <c r="X14" s="44">
        <f>X$5*IF(Teams!$C$61=1,X11*((1-Teams!$C$13)*MAX(0,Teams!$C$72*$C$8-Teams!$C$12)+Teams!$C$13*MAX(0,Teams!$C$73*$C$8-Teams!$C$12)),IF(Teams!$C$62=1,X12*$C$8,0))</f>
        <v>0</v>
      </c>
      <c r="Y14" s="44">
        <f>Y$5*IF(Teams!$C$61=1,Y11*((1-Teams!$C$13)*MAX(0,Teams!$C$72*$C$8-Teams!$C$12)+Teams!$C$13*MAX(0,Teams!$C$73*$C$8-Teams!$C$12)),IF(Teams!$C$62=1,Y12*$C$8,0))</f>
        <v>0</v>
      </c>
      <c r="Z14" s="44">
        <f>Z$5*IF(Teams!$C$61=1,Z11*((1-Teams!$C$13)*MAX(0,Teams!$C$72*$C$8-Teams!$C$12)+Teams!$C$13*MAX(0,Teams!$C$73*$C$8-Teams!$C$12)),IF(Teams!$C$62=1,Z12*$C$8,0))</f>
        <v>0</v>
      </c>
      <c r="AA14" s="44">
        <f>AA$5*IF(Teams!$C$61=1,AA11*((1-Teams!$C$13)*MAX(0,Teams!$C$72*$C$8-Teams!$C$12)+Teams!$C$13*MAX(0,Teams!$C$73*$C$8-Teams!$C$12)),IF(Teams!$C$62=1,AA12*$C$8,0))</f>
        <v>0</v>
      </c>
      <c r="AB14" s="44">
        <f>AB$5*IF(Teams!$C$61=1,AB11*((1-Teams!$C$13)*MAX(0,Teams!$C$72*$C$8-Teams!$C$12)+Teams!$C$13*MAX(0,Teams!$C$73*$C$8-Teams!$C$12)),IF(Teams!$C$62=1,AB12*$C$8,0))</f>
        <v>0</v>
      </c>
      <c r="AC14" s="44">
        <f>AC$5*IF(Teams!$C$61=1,AC11*((1-Teams!$C$13)*MAX(0,Teams!$C$72*$C$8-Teams!$C$12)+Teams!$C$13*MAX(0,Teams!$C$73*$C$8-Teams!$C$12)),IF(Teams!$C$62=1,AC12*$C$8,0))</f>
        <v>0</v>
      </c>
      <c r="AD14" s="44">
        <f>AD$5*IF(Teams!$C$61=1,AD11*((1-Teams!$C$13)*MAX(0,Teams!$C$72*$C$8-Teams!$C$12)+Teams!$C$13*MAX(0,Teams!$C$73*$C$8-Teams!$C$12)),IF(Teams!$C$62=1,AD12*$C$8,0))</f>
        <v>0</v>
      </c>
      <c r="AE14" s="44">
        <f>AE$5*IF(Teams!$C$61=1,AE11*((1-Teams!$C$13)*MAX(0,Teams!$C$72*$C$8-Teams!$C$12)+Teams!$C$13*MAX(0,Teams!$C$73*$C$8-Teams!$C$12)),IF(Teams!$C$62=1,AE12*$C$8,0))</f>
        <v>0</v>
      </c>
      <c r="AF14" s="44">
        <f>AF$5*IF(Teams!$C$61=1,AF11*((1-Teams!$C$13)*MAX(0,Teams!$C$72*$C$8-Teams!$C$12)+Teams!$C$13*MAX(0,Teams!$C$73*$C$8-Teams!$C$12)),IF(Teams!$C$62=1,AF12*$C$8,0))</f>
        <v>0</v>
      </c>
      <c r="AG14" s="44">
        <f>AG$5*IF(Teams!$C$61=1,AG11*((1-Teams!$C$13)*MAX(0,Teams!$C$72*$C$8-Teams!$C$12)+Teams!$C$13*MAX(0,Teams!$C$73*$C$8-Teams!$C$12)),IF(Teams!$C$62=1,AG12*$C$8,0))</f>
        <v>0</v>
      </c>
      <c r="AH14" s="44">
        <f>AH$5*IF(Teams!$C$61=1,AH11*((1-Teams!$C$13)*MAX(0,Teams!$C$72*$C$8-Teams!$C$12)+Teams!$C$13*MAX(0,Teams!$C$73*$C$8-Teams!$C$12)),IF(Teams!$C$62=1,AH12*$C$8,0))</f>
        <v>0</v>
      </c>
      <c r="AI14" s="44">
        <f>AI$5*IF(Teams!$C$61=1,AI11*((1-Teams!$C$13)*MAX(0,Teams!$C$72*$C$8-Teams!$C$12)+Teams!$C$13*MAX(0,Teams!$C$73*$C$8-Teams!$C$12)),IF(Teams!$C$62=1,AI12*$C$8,0))</f>
        <v>0</v>
      </c>
      <c r="AJ14" s="44">
        <f>AJ$5*IF(Teams!$C$61=1,AJ11*((1-Teams!$C$13)*MAX(0,Teams!$C$72*$C$8-Teams!$C$12)+Teams!$C$13*MAX(0,Teams!$C$73*$C$8-Teams!$C$12)),IF(Teams!$C$62=1,AJ12*$C$8,0))</f>
        <v>0</v>
      </c>
      <c r="AK14" s="44">
        <f>AK$5*IF(Teams!$C$61=1,AK11*((1-Teams!$C$13)*MAX(0,Teams!$C$72*$C$8-Teams!$C$12)+Teams!$C$13*MAX(0,Teams!$C$73*$C$8-Teams!$C$12)),IF(Teams!$C$62=1,AK12*$C$8,0))</f>
        <v>0</v>
      </c>
      <c r="AL14" s="44">
        <f>AL$5*IF(Teams!$C$61=1,AL11*((1-Teams!$C$13)*MAX(0,Teams!$C$72*$C$8-Teams!$C$12)+Teams!$C$13*MAX(0,Teams!$C$73*$C$8-Teams!$C$12)),IF(Teams!$C$62=1,AL12*$C$8,0))</f>
        <v>0</v>
      </c>
      <c r="AM14" s="44">
        <f>AM$5*IF(Teams!$C$61=1,AM11*((1-Teams!$C$13)*MAX(0,Teams!$C$72*$C$8-Teams!$C$12)+Teams!$C$13*MAX(0,Teams!$C$73*$C$8-Teams!$C$12)),IF(Teams!$C$62=1,AM12*$C$8,0))</f>
        <v>0</v>
      </c>
      <c r="AN14" s="44">
        <f>AN$5*IF(Teams!$C$61=1,AN11*((1-Teams!$C$13)*MAX(0,Teams!$C$72*$C$8-Teams!$C$12)+Teams!$C$13*MAX(0,Teams!$C$73*$C$8-Teams!$C$12)),IF(Teams!$C$62=1,AN12*$C$8,0))</f>
        <v>0</v>
      </c>
      <c r="AO14" s="44">
        <f>AO$5*IF(Teams!$C$61=1,AO11*((1-Teams!$C$13)*MAX(0,Teams!$C$72*$C$8-Teams!$C$12)+Teams!$C$13*MAX(0,Teams!$C$73*$C$8-Teams!$C$12)),IF(Teams!$C$62=1,AO12*$C$8,0))</f>
        <v>0</v>
      </c>
      <c r="AP14" s="44">
        <f>AP$5*IF(Teams!$C$61=1,AP11*((1-Teams!$C$13)*MAX(0,Teams!$C$72*$C$8-Teams!$C$12)+Teams!$C$13*MAX(0,Teams!$C$73*$C$8-Teams!$C$12)),IF(Teams!$C$62=1,AP12*$C$8,0))</f>
        <v>0</v>
      </c>
      <c r="AQ14" s="44">
        <f>AQ$5*IF(Teams!$C$61=1,AQ11*((1-Teams!$C$13)*MAX(0,Teams!$C$72*$C$8-Teams!$C$12)+Teams!$C$13*MAX(0,Teams!$C$73*$C$8-Teams!$C$12)),IF(Teams!$C$62=1,AQ12*$C$8,0))</f>
        <v>0</v>
      </c>
      <c r="AR14" s="44">
        <f>AR$5*IF(Teams!$C$61=1,AR11*((1-Teams!$C$13)*MAX(0,Teams!$C$72*$C$8-Teams!$C$12)+Teams!$C$13*MAX(0,Teams!$C$73*$C$8-Teams!$C$12)),IF(Teams!$C$62=1,AR12*$C$8,0))</f>
        <v>0</v>
      </c>
      <c r="AS14" s="44">
        <f>AS$5*IF(Teams!$C$61=1,AS11*((1-Teams!$C$13)*MAX(0,Teams!$C$72*$C$8-Teams!$C$12)+Teams!$C$13*MAX(0,Teams!$C$73*$C$8-Teams!$C$12)),IF(Teams!$C$62=1,AS12*$C$8,0))</f>
        <v>0</v>
      </c>
      <c r="AT14" s="44">
        <f>AT$5*IF(Teams!$C$61=1,AT11*((1-Teams!$C$13)*MAX(0,Teams!$C$72*$C$8-Teams!$C$12)+Teams!$C$13*MAX(0,Teams!$C$73*$C$8-Teams!$C$12)),IF(Teams!$C$62=1,AT12*$C$8,0))</f>
        <v>0</v>
      </c>
      <c r="AU14" s="44">
        <f>AU$5*IF(Teams!$C$61=1,AU11*((1-Teams!$C$13)*MAX(0,Teams!$C$72*$C$8-Teams!$C$12)+Teams!$C$13*MAX(0,Teams!$C$73*$C$8-Teams!$C$12)),IF(Teams!$C$62=1,AU12*$C$8,0))</f>
        <v>0</v>
      </c>
      <c r="AV14" s="44">
        <f>AV$5*IF(Teams!$C$61=1,AV11*((1-Teams!$C$13)*MAX(0,Teams!$C$72*$C$8-Teams!$C$12)+Teams!$C$13*MAX(0,Teams!$C$73*$C$8-Teams!$C$12)),IF(Teams!$C$62=1,AV12*$C$8,0))</f>
        <v>0</v>
      </c>
      <c r="AW14" s="44">
        <f>AW$5*IF(Teams!$C$61=1,AW11*((1-Teams!$C$13)*MAX(0,Teams!$C$72*$C$8-Teams!$C$12)+Teams!$C$13*MAX(0,Teams!$C$73*$C$8-Teams!$C$12)),IF(Teams!$C$62=1,AW12*$C$8,0))</f>
        <v>0</v>
      </c>
      <c r="AX14" s="44">
        <f>AX$5*IF(Teams!$C$61=1,AX11*((1-Teams!$C$13)*MAX(0,Teams!$C$72*$C$8-Teams!$C$12)+Teams!$C$13*MAX(0,Teams!$C$73*$C$8-Teams!$C$12)),IF(Teams!$C$62=1,AX12*$C$8,0))</f>
        <v>0</v>
      </c>
      <c r="AY14" s="44">
        <f>AY$5*IF(Teams!$C$61=1,AY11*((1-Teams!$C$13)*MAX(0,Teams!$C$72*$C$8-Teams!$C$12)+Teams!$C$13*MAX(0,Teams!$C$73*$C$8-Teams!$C$12)),IF(Teams!$C$62=1,AY12*$C$8,0))</f>
        <v>0</v>
      </c>
      <c r="AZ14" s="44">
        <f>AZ$5*IF(Teams!$C$61=1,AZ11*((1-Teams!$C$13)*MAX(0,Teams!$C$72*$C$8-Teams!$C$12)+Teams!$C$13*MAX(0,Teams!$C$73*$C$8-Teams!$C$12)),IF(Teams!$C$62=1,AZ12*$C$8,0))</f>
        <v>0</v>
      </c>
      <c r="BA14" s="44">
        <f>BA$5*IF(Teams!$C$61=1,BA11*((1-Teams!$C$13)*MAX(0,Teams!$C$72*$C$8-Teams!$C$12)+Teams!$C$13*MAX(0,Teams!$C$73*$C$8-Teams!$C$12)),IF(Teams!$C$62=1,BA12*$C$8,0))</f>
        <v>0</v>
      </c>
      <c r="BB14" s="44">
        <f>BB$5*IF(Teams!$C$61=1,BB11*((1-Teams!$C$13)*MAX(0,Teams!$C$72*$C$8-Teams!$C$12)+Teams!$C$13*MAX(0,Teams!$C$73*$C$8-Teams!$C$12)),IF(Teams!$C$62=1,BB12*$C$8,0))</f>
        <v>0</v>
      </c>
      <c r="BC14" s="44">
        <f>BC$5*IF(Teams!$C$61=1,BC11*((1-Teams!$C$13)*MAX(0,Teams!$C$72*$C$8-Teams!$C$12)+Teams!$C$13*MAX(0,Teams!$C$73*$C$8-Teams!$C$12)),IF(Teams!$C$62=1,BC12*$C$8,0))</f>
        <v>0</v>
      </c>
      <c r="BD14" s="44">
        <f>BD$5*IF(Teams!$C$61=1,BD11*((1-Teams!$C$13)*MAX(0,Teams!$C$72*$C$8-Teams!$C$12)+Teams!$C$13*MAX(0,Teams!$C$73*$C$8-Teams!$C$12)),IF(Teams!$C$62=1,BD12*$C$8,0))</f>
        <v>0</v>
      </c>
      <c r="BE14" s="44">
        <f>BE$5*IF(Teams!$C$61=1,BE11*((1-Teams!$C$13)*MAX(0,Teams!$C$72*$C$8-Teams!$C$12)+Teams!$C$13*MAX(0,Teams!$C$73*$C$8-Teams!$C$12)),IF(Teams!$C$62=1,BE12*$C$8,0))</f>
        <v>0</v>
      </c>
      <c r="BF14" s="44">
        <f>BF$5*IF(Teams!$C$61=1,BF11*((1-Teams!$C$13)*MAX(0,Teams!$C$72*$C$8-Teams!$C$12)+Teams!$C$13*MAX(0,Teams!$C$73*$C$8-Teams!$C$12)),IF(Teams!$C$62=1,BF12*$C$8,0))</f>
        <v>0</v>
      </c>
      <c r="BG14" s="44">
        <f>BG$5*IF(Teams!$C$61=1,BG11*((1-Teams!$C$13)*MAX(0,Teams!$C$72*$C$8-Teams!$C$12)+Teams!$C$13*MAX(0,Teams!$C$73*$C$8-Teams!$C$12)),IF(Teams!$C$62=1,BG12*$C$8,0))</f>
        <v>0</v>
      </c>
      <c r="BH14" s="44">
        <f>BH$5*IF(Teams!$C$61=1,BH11*((1-Teams!$C$13)*MAX(0,Teams!$C$72*$C$8-Teams!$C$12)+Teams!$C$13*MAX(0,Teams!$C$73*$C$8-Teams!$C$12)),IF(Teams!$C$62=1,BH12*$C$8,0))</f>
        <v>0</v>
      </c>
      <c r="BI14" s="44">
        <f>BI$5*IF(Teams!$C$61=1,BI11*((1-Teams!$C$13)*MAX(0,Teams!$C$72*$C$8-Teams!$C$12)+Teams!$C$13*MAX(0,Teams!$C$73*$C$8-Teams!$C$12)),IF(Teams!$C$62=1,BI12*$C$8,0))</f>
        <v>0</v>
      </c>
      <c r="BJ14" s="44">
        <f>BJ$5*IF(Teams!$C$61=1,BJ11*((1-Teams!$C$13)*MAX(0,Teams!$C$72*$C$8-Teams!$C$12)+Teams!$C$13*MAX(0,Teams!$C$73*$C$8-Teams!$C$12)),IF(Teams!$C$62=1,BJ12*$C$8,0))</f>
        <v>0</v>
      </c>
      <c r="BK14" s="44">
        <f>BK$5*IF(Teams!$C$61=1,BK11*((1-Teams!$C$13)*MAX(0,Teams!$C$72*$C$8-Teams!$C$12)+Teams!$C$13*MAX(0,Teams!$C$73*$C$8-Teams!$C$12)),IF(Teams!$C$62=1,BK12*$C$8,0))</f>
        <v>0</v>
      </c>
      <c r="BL14" s="44">
        <f>BL$5*IF(Teams!$C$61=1,BL11*((1-Teams!$C$13)*MAX(0,Teams!$C$72*$C$8-Teams!$C$12)+Teams!$C$13*MAX(0,Teams!$C$73*$C$8-Teams!$C$12)),IF(Teams!$C$62=1,BL12*$C$8,0))</f>
        <v>0</v>
      </c>
    </row>
    <row r="15" spans="1:64" x14ac:dyDescent="0.3">
      <c r="A15" s="8" t="s">
        <v>667</v>
      </c>
      <c r="B15" s="18" t="s">
        <v>435</v>
      </c>
      <c r="C15" s="44">
        <f t="shared" si="2"/>
        <v>0</v>
      </c>
      <c r="E15" s="44">
        <f>E$5*Teams!$C$63*E12*Teams!$C$67</f>
        <v>0</v>
      </c>
      <c r="F15" s="44">
        <f>F$5*Teams!$C$63*F12*Teams!$C$67</f>
        <v>0</v>
      </c>
      <c r="G15" s="44">
        <f>G$5*Teams!$C$63*G12*Teams!$C$67</f>
        <v>0</v>
      </c>
      <c r="H15" s="44">
        <f>H$5*Teams!$C$63*H12*Teams!$C$67</f>
        <v>0</v>
      </c>
      <c r="I15" s="44">
        <f>I$5*Teams!$C$63*I12*Teams!$C$67</f>
        <v>0</v>
      </c>
      <c r="J15" s="44">
        <f>J$5*Teams!$C$63*J12*Teams!$C$67</f>
        <v>0</v>
      </c>
      <c r="K15" s="44">
        <f>K$5*Teams!$C$63*K12*Teams!$C$67</f>
        <v>0</v>
      </c>
      <c r="L15" s="44">
        <f>L$5*Teams!$C$63*L12*Teams!$C$67</f>
        <v>0</v>
      </c>
      <c r="M15" s="44">
        <f>M$5*Teams!$C$63*M12*Teams!$C$67</f>
        <v>0</v>
      </c>
      <c r="N15" s="44">
        <f>N$5*Teams!$C$63*N12*Teams!$C$67</f>
        <v>0</v>
      </c>
      <c r="O15" s="44">
        <f>O$5*Teams!$C$63*O12*Teams!$C$67</f>
        <v>0</v>
      </c>
      <c r="P15" s="44">
        <f>P$5*Teams!$C$63*P12*Teams!$C$67</f>
        <v>0</v>
      </c>
      <c r="Q15" s="44">
        <f>Q$5*Teams!$C$63*Q12*Teams!$C$67</f>
        <v>0</v>
      </c>
      <c r="R15" s="44">
        <f>R$5*Teams!$C$63*R12*Teams!$C$67</f>
        <v>0</v>
      </c>
      <c r="S15" s="44">
        <f>S$5*Teams!$C$63*S12*Teams!$C$67</f>
        <v>0</v>
      </c>
      <c r="T15" s="44">
        <f>T$5*Teams!$C$63*T12*Teams!$C$67</f>
        <v>0</v>
      </c>
      <c r="U15" s="44">
        <f>U$5*Teams!$C$63*U12*Teams!$C$67</f>
        <v>0</v>
      </c>
      <c r="V15" s="44">
        <f>V$5*Teams!$C$63*V12*Teams!$C$67</f>
        <v>0</v>
      </c>
      <c r="W15" s="44">
        <f>W$5*Teams!$C$63*W12*Teams!$C$67</f>
        <v>0</v>
      </c>
      <c r="X15" s="44">
        <f>X$5*Teams!$C$63*X12*Teams!$C$67</f>
        <v>0</v>
      </c>
      <c r="Y15" s="44">
        <f>Y$5*Teams!$C$63*Y12*Teams!$C$67</f>
        <v>0</v>
      </c>
      <c r="Z15" s="44">
        <f>Z$5*Teams!$C$63*Z12*Teams!$C$67</f>
        <v>0</v>
      </c>
      <c r="AA15" s="44">
        <f>AA$5*Teams!$C$63*AA12*Teams!$C$67</f>
        <v>0</v>
      </c>
      <c r="AB15" s="44">
        <f>AB$5*Teams!$C$63*AB12*Teams!$C$67</f>
        <v>0</v>
      </c>
      <c r="AC15" s="44">
        <f>AC$5*Teams!$C$63*AC12*Teams!$C$67</f>
        <v>0</v>
      </c>
      <c r="AD15" s="44">
        <f>AD$5*Teams!$C$63*AD12*Teams!$C$67</f>
        <v>0</v>
      </c>
      <c r="AE15" s="44">
        <f>AE$5*Teams!$C$63*AE12*Teams!$C$67</f>
        <v>0</v>
      </c>
      <c r="AF15" s="44">
        <f>AF$5*Teams!$C$63*AF12*Teams!$C$67</f>
        <v>0</v>
      </c>
      <c r="AG15" s="44">
        <f>AG$5*Teams!$C$63*AG12*Teams!$C$67</f>
        <v>0</v>
      </c>
      <c r="AH15" s="44">
        <f>AH$5*Teams!$C$63*AH12*Teams!$C$67</f>
        <v>0</v>
      </c>
      <c r="AI15" s="44">
        <f>AI$5*Teams!$C$63*AI12*Teams!$C$67</f>
        <v>0</v>
      </c>
      <c r="AJ15" s="44">
        <f>AJ$5*Teams!$C$63*AJ12*Teams!$C$67</f>
        <v>0</v>
      </c>
      <c r="AK15" s="44">
        <f>AK$5*Teams!$C$63*AK12*Teams!$C$67</f>
        <v>0</v>
      </c>
      <c r="AL15" s="44">
        <f>AL$5*Teams!$C$63*AL12*Teams!$C$67</f>
        <v>0</v>
      </c>
      <c r="AM15" s="44">
        <f>AM$5*Teams!$C$63*AM12*Teams!$C$67</f>
        <v>0</v>
      </c>
      <c r="AN15" s="44">
        <f>AN$5*Teams!$C$63*AN12*Teams!$C$67</f>
        <v>0</v>
      </c>
      <c r="AO15" s="44">
        <f>AO$5*Teams!$C$63*AO12*Teams!$C$67</f>
        <v>0</v>
      </c>
      <c r="AP15" s="44">
        <f>AP$5*Teams!$C$63*AP12*Teams!$C$67</f>
        <v>0</v>
      </c>
      <c r="AQ15" s="44">
        <f>AQ$5*Teams!$C$63*AQ12*Teams!$C$67</f>
        <v>0</v>
      </c>
      <c r="AR15" s="44">
        <f>AR$5*Teams!$C$63*AR12*Teams!$C$67</f>
        <v>0</v>
      </c>
      <c r="AS15" s="44">
        <f>AS$5*Teams!$C$63*AS12*Teams!$C$67</f>
        <v>0</v>
      </c>
      <c r="AT15" s="44">
        <f>AT$5*Teams!$C$63*AT12*Teams!$C$67</f>
        <v>0</v>
      </c>
      <c r="AU15" s="44">
        <f>AU$5*Teams!$C$63*AU12*Teams!$C$67</f>
        <v>0</v>
      </c>
      <c r="AV15" s="44">
        <f>AV$5*Teams!$C$63*AV12*Teams!$C$67</f>
        <v>0</v>
      </c>
      <c r="AW15" s="44">
        <f>AW$5*Teams!$C$63*AW12*Teams!$C$67</f>
        <v>0</v>
      </c>
      <c r="AX15" s="44">
        <f>AX$5*Teams!$C$63*AX12*Teams!$C$67</f>
        <v>0</v>
      </c>
      <c r="AY15" s="44">
        <f>AY$5*Teams!$C$63*AY12*Teams!$C$67</f>
        <v>0</v>
      </c>
      <c r="AZ15" s="44">
        <f>AZ$5*Teams!$C$63*AZ12*Teams!$C$67</f>
        <v>0</v>
      </c>
      <c r="BA15" s="44">
        <f>BA$5*Teams!$C$63*BA12*Teams!$C$67</f>
        <v>0</v>
      </c>
      <c r="BB15" s="44">
        <f>BB$5*Teams!$C$63*BB12*Teams!$C$67</f>
        <v>0</v>
      </c>
      <c r="BC15" s="44">
        <f>BC$5*Teams!$C$63*BC12*Teams!$C$67</f>
        <v>0</v>
      </c>
      <c r="BD15" s="44">
        <f>BD$5*Teams!$C$63*BD12*Teams!$C$67</f>
        <v>0</v>
      </c>
      <c r="BE15" s="44">
        <f>BE$5*Teams!$C$63*BE12*Teams!$C$67</f>
        <v>0</v>
      </c>
      <c r="BF15" s="44">
        <f>BF$5*Teams!$C$63*BF12*Teams!$C$67</f>
        <v>0</v>
      </c>
      <c r="BG15" s="44">
        <f>BG$5*Teams!$C$63*BG12*Teams!$C$67</f>
        <v>0</v>
      </c>
      <c r="BH15" s="44">
        <f>BH$5*Teams!$C$63*BH12*Teams!$C$67</f>
        <v>0</v>
      </c>
      <c r="BI15" s="44">
        <f>BI$5*Teams!$C$63*BI12*Teams!$C$67</f>
        <v>0</v>
      </c>
      <c r="BJ15" s="44">
        <f>BJ$5*Teams!$C$63*BJ12*Teams!$C$67</f>
        <v>0</v>
      </c>
      <c r="BK15" s="44">
        <f>BK$5*Teams!$C$63*BK12*Teams!$C$67</f>
        <v>0</v>
      </c>
      <c r="BL15" s="44">
        <f>BL$5*Teams!$C$63*BL12*Teams!$C$67</f>
        <v>0</v>
      </c>
    </row>
    <row r="16" spans="1:64" x14ac:dyDescent="0.3">
      <c r="A16" s="8" t="s">
        <v>668</v>
      </c>
      <c r="B16" s="18" t="s">
        <v>435</v>
      </c>
      <c r="C16" s="44">
        <f t="shared" si="2"/>
        <v>0</v>
      </c>
      <c r="E16" s="44">
        <f>E$5*Teams!$C$65*E12*Teams!$C$74</f>
        <v>0</v>
      </c>
      <c r="F16" s="44">
        <f>F$5*Teams!$C$65*F12*Teams!$C$74</f>
        <v>0</v>
      </c>
      <c r="G16" s="44">
        <f>G$5*Teams!$C$65*G12*Teams!$C$74</f>
        <v>0</v>
      </c>
      <c r="H16" s="44">
        <f>H$5*Teams!$C$65*H12*Teams!$C$74</f>
        <v>0</v>
      </c>
      <c r="I16" s="44">
        <f>I$5*Teams!$C$65*I12*Teams!$C$74</f>
        <v>0</v>
      </c>
      <c r="J16" s="44">
        <f>J$5*Teams!$C$65*J12*Teams!$C$74</f>
        <v>0</v>
      </c>
      <c r="K16" s="44">
        <f>K$5*Teams!$C$65*K12*Teams!$C$74</f>
        <v>0</v>
      </c>
      <c r="L16" s="44">
        <f>L$5*Teams!$C$65*L12*Teams!$C$74</f>
        <v>0</v>
      </c>
      <c r="M16" s="44">
        <f>M$5*Teams!$C$65*M12*Teams!$C$74</f>
        <v>0</v>
      </c>
      <c r="N16" s="44">
        <f>N$5*Teams!$C$65*N12*Teams!$C$74</f>
        <v>0</v>
      </c>
      <c r="O16" s="44">
        <f>O$5*Teams!$C$65*O12*Teams!$C$74</f>
        <v>0</v>
      </c>
      <c r="P16" s="44">
        <f>P$5*Teams!$C$65*P12*Teams!$C$74</f>
        <v>0</v>
      </c>
      <c r="Q16" s="44">
        <f>Q$5*Teams!$C$65*Q12*Teams!$C$74</f>
        <v>0</v>
      </c>
      <c r="R16" s="44">
        <f>R$5*Teams!$C$65*R12*Teams!$C$74</f>
        <v>0</v>
      </c>
      <c r="S16" s="44">
        <f>S$5*Teams!$C$65*S12*Teams!$C$74</f>
        <v>0</v>
      </c>
      <c r="T16" s="44">
        <f>T$5*Teams!$C$65*T12*Teams!$C$74</f>
        <v>0</v>
      </c>
      <c r="U16" s="44">
        <f>U$5*Teams!$C$65*U12*Teams!$C$74</f>
        <v>0</v>
      </c>
      <c r="V16" s="44">
        <f>V$5*Teams!$C$65*V12*Teams!$C$74</f>
        <v>0</v>
      </c>
      <c r="W16" s="44">
        <f>W$5*Teams!$C$65*W12*Teams!$C$74</f>
        <v>0</v>
      </c>
      <c r="X16" s="44">
        <f>X$5*Teams!$C$65*X12*Teams!$C$74</f>
        <v>0</v>
      </c>
      <c r="Y16" s="44">
        <f>Y$5*Teams!$C$65*Y12*Teams!$C$74</f>
        <v>0</v>
      </c>
      <c r="Z16" s="44">
        <f>Z$5*Teams!$C$65*Z12*Teams!$C$74</f>
        <v>0</v>
      </c>
      <c r="AA16" s="44">
        <f>AA$5*Teams!$C$65*AA12*Teams!$C$74</f>
        <v>0</v>
      </c>
      <c r="AB16" s="44">
        <f>AB$5*Teams!$C$65*AB12*Teams!$C$74</f>
        <v>0</v>
      </c>
      <c r="AC16" s="44">
        <f>AC$5*Teams!$C$65*AC12*Teams!$C$74</f>
        <v>0</v>
      </c>
      <c r="AD16" s="44">
        <f>AD$5*Teams!$C$65*AD12*Teams!$C$74</f>
        <v>0</v>
      </c>
      <c r="AE16" s="44">
        <f>AE$5*Teams!$C$65*AE12*Teams!$C$74</f>
        <v>0</v>
      </c>
      <c r="AF16" s="44">
        <f>AF$5*Teams!$C$65*AF12*Teams!$C$74</f>
        <v>0</v>
      </c>
      <c r="AG16" s="44">
        <f>AG$5*Teams!$C$65*AG12*Teams!$C$74</f>
        <v>0</v>
      </c>
      <c r="AH16" s="44">
        <f>AH$5*Teams!$C$65*AH12*Teams!$C$74</f>
        <v>0</v>
      </c>
      <c r="AI16" s="44">
        <f>AI$5*Teams!$C$65*AI12*Teams!$C$74</f>
        <v>0</v>
      </c>
      <c r="AJ16" s="44">
        <f>AJ$5*Teams!$C$65*AJ12*Teams!$C$74</f>
        <v>0</v>
      </c>
      <c r="AK16" s="44">
        <f>AK$5*Teams!$C$65*AK12*Teams!$C$74</f>
        <v>0</v>
      </c>
      <c r="AL16" s="44">
        <f>AL$5*Teams!$C$65*AL12*Teams!$C$74</f>
        <v>0</v>
      </c>
      <c r="AM16" s="44">
        <f>AM$5*Teams!$C$65*AM12*Teams!$C$74</f>
        <v>0</v>
      </c>
      <c r="AN16" s="44">
        <f>AN$5*Teams!$C$65*AN12*Teams!$C$74</f>
        <v>0</v>
      </c>
      <c r="AO16" s="44">
        <f>AO$5*Teams!$C$65*AO12*Teams!$C$74</f>
        <v>0</v>
      </c>
      <c r="AP16" s="44">
        <f>AP$5*Teams!$C$65*AP12*Teams!$C$74</f>
        <v>0</v>
      </c>
      <c r="AQ16" s="44">
        <f>AQ$5*Teams!$C$65*AQ12*Teams!$C$74</f>
        <v>0</v>
      </c>
      <c r="AR16" s="44">
        <f>AR$5*Teams!$C$65*AR12*Teams!$C$74</f>
        <v>0</v>
      </c>
      <c r="AS16" s="44">
        <f>AS$5*Teams!$C$65*AS12*Teams!$C$74</f>
        <v>0</v>
      </c>
      <c r="AT16" s="44">
        <f>AT$5*Teams!$C$65*AT12*Teams!$C$74</f>
        <v>0</v>
      </c>
      <c r="AU16" s="44">
        <f>AU$5*Teams!$C$65*AU12*Teams!$C$74</f>
        <v>0</v>
      </c>
      <c r="AV16" s="44">
        <f>AV$5*Teams!$C$65*AV12*Teams!$C$74</f>
        <v>0</v>
      </c>
      <c r="AW16" s="44">
        <f>AW$5*Teams!$C$65*AW12*Teams!$C$74</f>
        <v>0</v>
      </c>
      <c r="AX16" s="44">
        <f>AX$5*Teams!$C$65*AX12*Teams!$C$74</f>
        <v>0</v>
      </c>
      <c r="AY16" s="44">
        <f>AY$5*Teams!$C$65*AY12*Teams!$C$74</f>
        <v>0</v>
      </c>
      <c r="AZ16" s="44">
        <f>AZ$5*Teams!$C$65*AZ12*Teams!$C$74</f>
        <v>0</v>
      </c>
      <c r="BA16" s="44">
        <f>BA$5*Teams!$C$65*BA12*Teams!$C$74</f>
        <v>0</v>
      </c>
      <c r="BB16" s="44">
        <f>BB$5*Teams!$C$65*BB12*Teams!$C$74</f>
        <v>0</v>
      </c>
      <c r="BC16" s="44">
        <f>BC$5*Teams!$C$65*BC12*Teams!$C$74</f>
        <v>0</v>
      </c>
      <c r="BD16" s="44">
        <f>BD$5*Teams!$C$65*BD12*Teams!$C$74</f>
        <v>0</v>
      </c>
      <c r="BE16" s="44">
        <f>BE$5*Teams!$C$65*BE12*Teams!$C$74</f>
        <v>0</v>
      </c>
      <c r="BF16" s="44">
        <f>BF$5*Teams!$C$65*BF12*Teams!$C$74</f>
        <v>0</v>
      </c>
      <c r="BG16" s="44">
        <f>BG$5*Teams!$C$65*BG12*Teams!$C$74</f>
        <v>0</v>
      </c>
      <c r="BH16" s="44">
        <f>BH$5*Teams!$C$65*BH12*Teams!$C$74</f>
        <v>0</v>
      </c>
      <c r="BI16" s="44">
        <f>BI$5*Teams!$C$65*BI12*Teams!$C$74</f>
        <v>0</v>
      </c>
      <c r="BJ16" s="44">
        <f>BJ$5*Teams!$C$65*BJ12*Teams!$C$74</f>
        <v>0</v>
      </c>
      <c r="BK16" s="44">
        <f>BK$5*Teams!$C$65*BK12*Teams!$C$74</f>
        <v>0</v>
      </c>
      <c r="BL16" s="44">
        <f>BL$5*Teams!$C$65*BL12*Teams!$C$74</f>
        <v>0</v>
      </c>
    </row>
    <row r="17" spans="1:64" x14ac:dyDescent="0.3">
      <c r="A17" s="8" t="s">
        <v>669</v>
      </c>
      <c r="B17" s="18" t="s">
        <v>505</v>
      </c>
      <c r="C17" s="44">
        <f t="shared" si="2"/>
        <v>0</v>
      </c>
      <c r="E17" s="44">
        <f>E$5*Teams!$C$64*Teams!$C$16*IF(E$4&gt;=Teams!$C$80,1,0)</f>
        <v>0</v>
      </c>
      <c r="F17" s="44">
        <f>F$5*Teams!$C$64*Teams!$C$16*IF(F$4&gt;=Teams!$C$80,1,0)</f>
        <v>0</v>
      </c>
      <c r="G17" s="44">
        <f>G$5*Teams!$C$64*Teams!$C$16*IF(G$4&gt;=Teams!$C$80,1,0)</f>
        <v>0</v>
      </c>
      <c r="H17" s="44">
        <f>H$5*Teams!$C$64*Teams!$C$16*IF(H$4&gt;=Teams!$C$80,1,0)</f>
        <v>0</v>
      </c>
      <c r="I17" s="44">
        <f>I$5*Teams!$C$64*Teams!$C$16*IF(I$4&gt;=Teams!$C$80,1,0)</f>
        <v>0</v>
      </c>
      <c r="J17" s="44">
        <f>J$5*Teams!$C$64*Teams!$C$16*IF(J$4&gt;=Teams!$C$80,1,0)</f>
        <v>0</v>
      </c>
      <c r="K17" s="44">
        <f>K$5*Teams!$C$64*Teams!$C$16*IF(K$4&gt;=Teams!$C$80,1,0)</f>
        <v>0</v>
      </c>
      <c r="L17" s="44">
        <f>L$5*Teams!$C$64*Teams!$C$16*IF(L$4&gt;=Teams!$C$80,1,0)</f>
        <v>0</v>
      </c>
      <c r="M17" s="44">
        <f>M$5*Teams!$C$64*Teams!$C$16*IF(M$4&gt;=Teams!$C$80,1,0)</f>
        <v>0</v>
      </c>
      <c r="N17" s="44">
        <f>N$5*Teams!$C$64*Teams!$C$16*IF(N$4&gt;=Teams!$C$80,1,0)</f>
        <v>0</v>
      </c>
      <c r="O17" s="44">
        <f>O$5*Teams!$C$64*Teams!$C$16*IF(O$4&gt;=Teams!$C$80,1,0)</f>
        <v>0</v>
      </c>
      <c r="P17" s="44">
        <f>P$5*Teams!$C$64*Teams!$C$16*IF(P$4&gt;=Teams!$C$80,1,0)</f>
        <v>0</v>
      </c>
      <c r="Q17" s="44">
        <f>Q$5*Teams!$C$64*Teams!$C$16*IF(Q$4&gt;=Teams!$C$80,1,0)</f>
        <v>0</v>
      </c>
      <c r="R17" s="44">
        <f>R$5*Teams!$C$64*Teams!$C$16*IF(R$4&gt;=Teams!$C$80,1,0)</f>
        <v>0</v>
      </c>
      <c r="S17" s="44">
        <f>S$5*Teams!$C$64*Teams!$C$16*IF(S$4&gt;=Teams!$C$80,1,0)</f>
        <v>0</v>
      </c>
      <c r="T17" s="44">
        <f>T$5*Teams!$C$64*Teams!$C$16*IF(T$4&gt;=Teams!$C$80,1,0)</f>
        <v>0</v>
      </c>
      <c r="U17" s="44">
        <f>U$5*Teams!$C$64*Teams!$C$16*IF(U$4&gt;=Teams!$C$80,1,0)</f>
        <v>0</v>
      </c>
      <c r="V17" s="44">
        <f>V$5*Teams!$C$64*Teams!$C$16*IF(V$4&gt;=Teams!$C$80,1,0)</f>
        <v>0</v>
      </c>
      <c r="W17" s="44">
        <f>W$5*Teams!$C$64*Teams!$C$16*IF(W$4&gt;=Teams!$C$80,1,0)</f>
        <v>0</v>
      </c>
      <c r="X17" s="44">
        <f>X$5*Teams!$C$64*Teams!$C$16*IF(X$4&gt;=Teams!$C$80,1,0)</f>
        <v>0</v>
      </c>
      <c r="Y17" s="44">
        <f>Y$5*Teams!$C$64*Teams!$C$16*IF(Y$4&gt;=Teams!$C$80,1,0)</f>
        <v>0</v>
      </c>
      <c r="Z17" s="44">
        <f>Z$5*Teams!$C$64*Teams!$C$16*IF(Z$4&gt;=Teams!$C$80,1,0)</f>
        <v>0</v>
      </c>
      <c r="AA17" s="44">
        <f>AA$5*Teams!$C$64*Teams!$C$16*IF(AA$4&gt;=Teams!$C$80,1,0)</f>
        <v>0</v>
      </c>
      <c r="AB17" s="44">
        <f>AB$5*Teams!$C$64*Teams!$C$16*IF(AB$4&gt;=Teams!$C$80,1,0)</f>
        <v>0</v>
      </c>
      <c r="AC17" s="44">
        <f>AC$5*Teams!$C$64*Teams!$C$16*IF(AC$4&gt;=Teams!$C$80,1,0)</f>
        <v>0</v>
      </c>
      <c r="AD17" s="44">
        <f>AD$5*Teams!$C$64*Teams!$C$16*IF(AD$4&gt;=Teams!$C$80,1,0)</f>
        <v>0</v>
      </c>
      <c r="AE17" s="44">
        <f>AE$5*Teams!$C$64*Teams!$C$16*IF(AE$4&gt;=Teams!$C$80,1,0)</f>
        <v>0</v>
      </c>
      <c r="AF17" s="44">
        <f>AF$5*Teams!$C$64*Teams!$C$16*IF(AF$4&gt;=Teams!$C$80,1,0)</f>
        <v>0</v>
      </c>
      <c r="AG17" s="44">
        <f>AG$5*Teams!$C$64*Teams!$C$16*IF(AG$4&gt;=Teams!$C$80,1,0)</f>
        <v>0</v>
      </c>
      <c r="AH17" s="44">
        <f>AH$5*Teams!$C$64*Teams!$C$16*IF(AH$4&gt;=Teams!$C$80,1,0)</f>
        <v>0</v>
      </c>
      <c r="AI17" s="44">
        <f>AI$5*Teams!$C$64*Teams!$C$16*IF(AI$4&gt;=Teams!$C$80,1,0)</f>
        <v>0</v>
      </c>
      <c r="AJ17" s="44">
        <f>AJ$5*Teams!$C$64*Teams!$C$16*IF(AJ$4&gt;=Teams!$C$80,1,0)</f>
        <v>0</v>
      </c>
      <c r="AK17" s="44">
        <f>AK$5*Teams!$C$64*Teams!$C$16*IF(AK$4&gt;=Teams!$C$80,1,0)</f>
        <v>0</v>
      </c>
      <c r="AL17" s="44">
        <f>AL$5*Teams!$C$64*Teams!$C$16*IF(AL$4&gt;=Teams!$C$80,1,0)</f>
        <v>0</v>
      </c>
      <c r="AM17" s="44">
        <f>AM$5*Teams!$C$64*Teams!$C$16*IF(AM$4&gt;=Teams!$C$80,1,0)</f>
        <v>0</v>
      </c>
      <c r="AN17" s="44">
        <f>AN$5*Teams!$C$64*Teams!$C$16*IF(AN$4&gt;=Teams!$C$80,1,0)</f>
        <v>0</v>
      </c>
      <c r="AO17" s="44">
        <f>AO$5*Teams!$C$64*Teams!$C$16*IF(AO$4&gt;=Teams!$C$80,1,0)</f>
        <v>0</v>
      </c>
      <c r="AP17" s="44">
        <f>AP$5*Teams!$C$64*Teams!$C$16*IF(AP$4&gt;=Teams!$C$80,1,0)</f>
        <v>0</v>
      </c>
      <c r="AQ17" s="44">
        <f>AQ$5*Teams!$C$64*Teams!$C$16*IF(AQ$4&gt;=Teams!$C$80,1,0)</f>
        <v>0</v>
      </c>
      <c r="AR17" s="44">
        <f>AR$5*Teams!$C$64*Teams!$C$16*IF(AR$4&gt;=Teams!$C$80,1,0)</f>
        <v>0</v>
      </c>
      <c r="AS17" s="44">
        <f>AS$5*Teams!$C$64*Teams!$C$16*IF(AS$4&gt;=Teams!$C$80,1,0)</f>
        <v>0</v>
      </c>
      <c r="AT17" s="44">
        <f>AT$5*Teams!$C$64*Teams!$C$16*IF(AT$4&gt;=Teams!$C$80,1,0)</f>
        <v>0</v>
      </c>
      <c r="AU17" s="44">
        <f>AU$5*Teams!$C$64*Teams!$C$16*IF(AU$4&gt;=Teams!$C$80,1,0)</f>
        <v>0</v>
      </c>
      <c r="AV17" s="44">
        <f>AV$5*Teams!$C$64*Teams!$C$16*IF(AV$4&gt;=Teams!$C$80,1,0)</f>
        <v>0</v>
      </c>
      <c r="AW17" s="44">
        <f>AW$5*Teams!$C$64*Teams!$C$16*IF(AW$4&gt;=Teams!$C$80,1,0)</f>
        <v>0</v>
      </c>
      <c r="AX17" s="44">
        <f>AX$5*Teams!$C$64*Teams!$C$16*IF(AX$4&gt;=Teams!$C$80,1,0)</f>
        <v>0</v>
      </c>
      <c r="AY17" s="44">
        <f>AY$5*Teams!$C$64*Teams!$C$16*IF(AY$4&gt;=Teams!$C$80,1,0)</f>
        <v>0</v>
      </c>
      <c r="AZ17" s="44">
        <f>AZ$5*Teams!$C$64*Teams!$C$16*IF(AZ$4&gt;=Teams!$C$80,1,0)</f>
        <v>0</v>
      </c>
      <c r="BA17" s="44">
        <f>BA$5*Teams!$C$64*Teams!$C$16*IF(BA$4&gt;=Teams!$C$80,1,0)</f>
        <v>0</v>
      </c>
      <c r="BB17" s="44">
        <f>BB$5*Teams!$C$64*Teams!$C$16*IF(BB$4&gt;=Teams!$C$80,1,0)</f>
        <v>0</v>
      </c>
      <c r="BC17" s="44">
        <f>BC$5*Teams!$C$64*Teams!$C$16*IF(BC$4&gt;=Teams!$C$80,1,0)</f>
        <v>0</v>
      </c>
      <c r="BD17" s="44">
        <f>BD$5*Teams!$C$64*Teams!$C$16*IF(BD$4&gt;=Teams!$C$80,1,0)</f>
        <v>0</v>
      </c>
      <c r="BE17" s="44">
        <f>BE$5*Teams!$C$64*Teams!$C$16*IF(BE$4&gt;=Teams!$C$80,1,0)</f>
        <v>0</v>
      </c>
      <c r="BF17" s="44">
        <f>BF$5*Teams!$C$64*Teams!$C$16*IF(BF$4&gt;=Teams!$C$80,1,0)</f>
        <v>0</v>
      </c>
      <c r="BG17" s="44">
        <f>BG$5*Teams!$C$64*Teams!$C$16*IF(BG$4&gt;=Teams!$C$80,1,0)</f>
        <v>0</v>
      </c>
      <c r="BH17" s="44">
        <f>BH$5*Teams!$C$64*Teams!$C$16*IF(BH$4&gt;=Teams!$C$80,1,0)</f>
        <v>0</v>
      </c>
      <c r="BI17" s="44">
        <f>BI$5*Teams!$C$64*Teams!$C$16*IF(BI$4&gt;=Teams!$C$80,1,0)</f>
        <v>0</v>
      </c>
      <c r="BJ17" s="44">
        <f>BJ$5*Teams!$C$64*Teams!$C$16*IF(BJ$4&gt;=Teams!$C$80,1,0)</f>
        <v>0</v>
      </c>
      <c r="BK17" s="44">
        <f>BK$5*Teams!$C$64*Teams!$C$16*IF(BK$4&gt;=Teams!$C$80,1,0)</f>
        <v>0</v>
      </c>
      <c r="BL17" s="44">
        <f>BL$5*Teams!$C$64*Teams!$C$16*IF(BL$4&gt;=Teams!$C$80,1,0)</f>
        <v>0</v>
      </c>
    </row>
    <row r="18" spans="1:64" x14ac:dyDescent="0.3">
      <c r="A18" s="8" t="s">
        <v>670</v>
      </c>
      <c r="B18" s="18" t="s">
        <v>435</v>
      </c>
      <c r="C18" s="44">
        <f t="shared" si="2"/>
        <v>2210.1840000000002</v>
      </c>
      <c r="E18" s="44">
        <f>E$5*IF(AND(E$4&gt;=Teams!$C$80,Teams!$C$49=1),Teams!$C$44*Params!$D$10*Teams!$C$45*Teams!$C$75+Teams!$C$44*Params!$D$10*Teams!$C$47*Teams!$C$76/1000000+Teams!$C$77+Teams!$C$50*Teams!$C$78+E12*Teams!$C$51*Teams!$C$79/1000000,0)</f>
        <v>58.434000000000005</v>
      </c>
      <c r="F18" s="44">
        <f>F$5*IF(AND(F$4&gt;=Teams!$C$80,Teams!$C$49=1),Teams!$C$44*Params!$D$10*Teams!$C$45*Teams!$C$75+Teams!$C$44*Params!$D$10*Teams!$C$47*Teams!$C$76/1000000+Teams!$C$77+Teams!$C$50*Teams!$C$78+F12*Teams!$C$51*Teams!$C$79/1000000,0)</f>
        <v>59.074000000000005</v>
      </c>
      <c r="G18" s="44">
        <f>G$5*IF(AND(G$4&gt;=Teams!$C$80,Teams!$C$49=1),Teams!$C$44*Params!$D$10*Teams!$C$45*Teams!$C$75+Teams!$C$44*Params!$D$10*Teams!$C$47*Teams!$C$76/1000000+Teams!$C$77+Teams!$C$50*Teams!$C$78+G12*Teams!$C$51*Teams!$C$79/1000000,0)</f>
        <v>59.906000000000006</v>
      </c>
      <c r="H18" s="44">
        <f>H$5*IF(AND(H$4&gt;=Teams!$C$80,Teams!$C$49=1),Teams!$C$44*Params!$D$10*Teams!$C$45*Teams!$C$75+Teams!$C$44*Params!$D$10*Teams!$C$47*Teams!$C$76/1000000+Teams!$C$77+Teams!$C$50*Teams!$C$78+H12*Teams!$C$51*Teams!$C$79/1000000,0)</f>
        <v>60.738000000000007</v>
      </c>
      <c r="I18" s="44">
        <f>I$5*IF(AND(I$4&gt;=Teams!$C$80,Teams!$C$49=1),Teams!$C$44*Params!$D$10*Teams!$C$45*Teams!$C$75+Teams!$C$44*Params!$D$10*Teams!$C$47*Teams!$C$76/1000000+Teams!$C$77+Teams!$C$50*Teams!$C$78+I12*Teams!$C$51*Teams!$C$79/1000000,0)</f>
        <v>61.378000000000007</v>
      </c>
      <c r="J18" s="44">
        <f>J$5*IF(AND(J$4&gt;=Teams!$C$80,Teams!$C$49=1),Teams!$C$44*Params!$D$10*Teams!$C$45*Teams!$C$75+Teams!$C$44*Params!$D$10*Teams!$C$47*Teams!$C$76/1000000+Teams!$C$77+Teams!$C$50*Teams!$C$78+J12*Teams!$C$51*Teams!$C$79/1000000,0)</f>
        <v>61.634000000000007</v>
      </c>
      <c r="K18" s="44">
        <f>K$5*IF(AND(K$4&gt;=Teams!$C$80,Teams!$C$49=1),Teams!$C$44*Params!$D$10*Teams!$C$45*Teams!$C$75+Teams!$C$44*Params!$D$10*Teams!$C$47*Teams!$C$76/1000000+Teams!$C$77+Teams!$C$50*Teams!$C$78+K12*Teams!$C$51*Teams!$C$79/1000000,0)</f>
        <v>61.634000000000007</v>
      </c>
      <c r="L18" s="44">
        <f>L$5*IF(AND(L$4&gt;=Teams!$C$80,Teams!$C$49=1),Teams!$C$44*Params!$D$10*Teams!$C$45*Teams!$C$75+Teams!$C$44*Params!$D$10*Teams!$C$47*Teams!$C$76/1000000+Teams!$C$77+Teams!$C$50*Teams!$C$78+L12*Teams!$C$51*Teams!$C$79/1000000,0)</f>
        <v>61.634000000000007</v>
      </c>
      <c r="M18" s="44">
        <f>M$5*IF(AND(M$4&gt;=Teams!$C$80,Teams!$C$49=1),Teams!$C$44*Params!$D$10*Teams!$C$45*Teams!$C$75+Teams!$C$44*Params!$D$10*Teams!$C$47*Teams!$C$76/1000000+Teams!$C$77+Teams!$C$50*Teams!$C$78+M12*Teams!$C$51*Teams!$C$79/1000000,0)</f>
        <v>61.634000000000007</v>
      </c>
      <c r="N18" s="44">
        <f>N$5*IF(AND(N$4&gt;=Teams!$C$80,Teams!$C$49=1),Teams!$C$44*Params!$D$10*Teams!$C$45*Teams!$C$75+Teams!$C$44*Params!$D$10*Teams!$C$47*Teams!$C$76/1000000+Teams!$C$77+Teams!$C$50*Teams!$C$78+N12*Teams!$C$51*Teams!$C$79/1000000,0)</f>
        <v>61.634000000000007</v>
      </c>
      <c r="O18" s="44">
        <f>O$5*IF(AND(O$4&gt;=Teams!$C$80,Teams!$C$49=1),Teams!$C$44*Params!$D$10*Teams!$C$45*Teams!$C$75+Teams!$C$44*Params!$D$10*Teams!$C$47*Teams!$C$76/1000000+Teams!$C$77+Teams!$C$50*Teams!$C$78+O12*Teams!$C$51*Teams!$C$79/1000000,0)</f>
        <v>61.634000000000007</v>
      </c>
      <c r="P18" s="44">
        <f>P$5*IF(AND(P$4&gt;=Teams!$C$80,Teams!$C$49=1),Teams!$C$44*Params!$D$10*Teams!$C$45*Teams!$C$75+Teams!$C$44*Params!$D$10*Teams!$C$47*Teams!$C$76/1000000+Teams!$C$77+Teams!$C$50*Teams!$C$78+P12*Teams!$C$51*Teams!$C$79/1000000,0)</f>
        <v>61.634000000000007</v>
      </c>
      <c r="Q18" s="44">
        <f>Q$5*IF(AND(Q$4&gt;=Teams!$C$80,Teams!$C$49=1),Teams!$C$44*Params!$D$10*Teams!$C$45*Teams!$C$75+Teams!$C$44*Params!$D$10*Teams!$C$47*Teams!$C$76/1000000+Teams!$C$77+Teams!$C$50*Teams!$C$78+Q12*Teams!$C$51*Teams!$C$79/1000000,0)</f>
        <v>61.634000000000007</v>
      </c>
      <c r="R18" s="44">
        <f>R$5*IF(AND(R$4&gt;=Teams!$C$80,Teams!$C$49=1),Teams!$C$44*Params!$D$10*Teams!$C$45*Teams!$C$75+Teams!$C$44*Params!$D$10*Teams!$C$47*Teams!$C$76/1000000+Teams!$C$77+Teams!$C$50*Teams!$C$78+R12*Teams!$C$51*Teams!$C$79/1000000,0)</f>
        <v>61.634000000000007</v>
      </c>
      <c r="S18" s="44">
        <f>S$5*IF(AND(S$4&gt;=Teams!$C$80,Teams!$C$49=1),Teams!$C$44*Params!$D$10*Teams!$C$45*Teams!$C$75+Teams!$C$44*Params!$D$10*Teams!$C$47*Teams!$C$76/1000000+Teams!$C$77+Teams!$C$50*Teams!$C$78+S12*Teams!$C$51*Teams!$C$79/1000000,0)</f>
        <v>61.634000000000007</v>
      </c>
      <c r="T18" s="44">
        <f>T$5*IF(AND(T$4&gt;=Teams!$C$80,Teams!$C$49=1),Teams!$C$44*Params!$D$10*Teams!$C$45*Teams!$C$75+Teams!$C$44*Params!$D$10*Teams!$C$47*Teams!$C$76/1000000+Teams!$C$77+Teams!$C$50*Teams!$C$78+T12*Teams!$C$51*Teams!$C$79/1000000,0)</f>
        <v>61.634000000000007</v>
      </c>
      <c r="U18" s="44">
        <f>U$5*IF(AND(U$4&gt;=Teams!$C$80,Teams!$C$49=1),Teams!$C$44*Params!$D$10*Teams!$C$45*Teams!$C$75+Teams!$C$44*Params!$D$10*Teams!$C$47*Teams!$C$76/1000000+Teams!$C$77+Teams!$C$50*Teams!$C$78+U12*Teams!$C$51*Teams!$C$79/1000000,0)</f>
        <v>61.634000000000007</v>
      </c>
      <c r="V18" s="44">
        <f>V$5*IF(AND(V$4&gt;=Teams!$C$80,Teams!$C$49=1),Teams!$C$44*Params!$D$10*Teams!$C$45*Teams!$C$75+Teams!$C$44*Params!$D$10*Teams!$C$47*Teams!$C$76/1000000+Teams!$C$77+Teams!$C$50*Teams!$C$78+V12*Teams!$C$51*Teams!$C$79/1000000,0)</f>
        <v>61.634000000000007</v>
      </c>
      <c r="W18" s="44">
        <f>W$5*IF(AND(W$4&gt;=Teams!$C$80,Teams!$C$49=1),Teams!$C$44*Params!$D$10*Teams!$C$45*Teams!$C$75+Teams!$C$44*Params!$D$10*Teams!$C$47*Teams!$C$76/1000000+Teams!$C$77+Teams!$C$50*Teams!$C$78+W12*Teams!$C$51*Teams!$C$79/1000000,0)</f>
        <v>61.634000000000007</v>
      </c>
      <c r="X18" s="44">
        <f>X$5*IF(AND(X$4&gt;=Teams!$C$80,Teams!$C$49=1),Teams!$C$44*Params!$D$10*Teams!$C$45*Teams!$C$75+Teams!$C$44*Params!$D$10*Teams!$C$47*Teams!$C$76/1000000+Teams!$C$77+Teams!$C$50*Teams!$C$78+X12*Teams!$C$51*Teams!$C$79/1000000,0)</f>
        <v>61.634000000000007</v>
      </c>
      <c r="Y18" s="44">
        <f>Y$5*IF(AND(Y$4&gt;=Teams!$C$80,Teams!$C$49=1),Teams!$C$44*Params!$D$10*Teams!$C$45*Teams!$C$75+Teams!$C$44*Params!$D$10*Teams!$C$47*Teams!$C$76/1000000+Teams!$C$77+Teams!$C$50*Teams!$C$78+Y12*Teams!$C$51*Teams!$C$79/1000000,0)</f>
        <v>61.634000000000007</v>
      </c>
      <c r="Z18" s="44">
        <f>Z$5*IF(AND(Z$4&gt;=Teams!$C$80,Teams!$C$49=1),Teams!$C$44*Params!$D$10*Teams!$C$45*Teams!$C$75+Teams!$C$44*Params!$D$10*Teams!$C$47*Teams!$C$76/1000000+Teams!$C$77+Teams!$C$50*Teams!$C$78+Z12*Teams!$C$51*Teams!$C$79/1000000,0)</f>
        <v>61.634000000000007</v>
      </c>
      <c r="AA18" s="44">
        <f>AA$5*IF(AND(AA$4&gt;=Teams!$C$80,Teams!$C$49=1),Teams!$C$44*Params!$D$10*Teams!$C$45*Teams!$C$75+Teams!$C$44*Params!$D$10*Teams!$C$47*Teams!$C$76/1000000+Teams!$C$77+Teams!$C$50*Teams!$C$78+AA12*Teams!$C$51*Teams!$C$79/1000000,0)</f>
        <v>61.634000000000007</v>
      </c>
      <c r="AB18" s="44">
        <f>AB$5*IF(AND(AB$4&gt;=Teams!$C$80,Teams!$C$49=1),Teams!$C$44*Params!$D$10*Teams!$C$45*Teams!$C$75+Teams!$C$44*Params!$D$10*Teams!$C$47*Teams!$C$76/1000000+Teams!$C$77+Teams!$C$50*Teams!$C$78+AB12*Teams!$C$51*Teams!$C$79/1000000,0)</f>
        <v>61.634000000000007</v>
      </c>
      <c r="AC18" s="44">
        <f>AC$5*IF(AND(AC$4&gt;=Teams!$C$80,Teams!$C$49=1),Teams!$C$44*Params!$D$10*Teams!$C$45*Teams!$C$75+Teams!$C$44*Params!$D$10*Teams!$C$47*Teams!$C$76/1000000+Teams!$C$77+Teams!$C$50*Teams!$C$78+AC12*Teams!$C$51*Teams!$C$79/1000000,0)</f>
        <v>61.634000000000007</v>
      </c>
      <c r="AD18" s="44">
        <f>AD$5*IF(AND(AD$4&gt;=Teams!$C$80,Teams!$C$49=1),Teams!$C$44*Params!$D$10*Teams!$C$45*Teams!$C$75+Teams!$C$44*Params!$D$10*Teams!$C$47*Teams!$C$76/1000000+Teams!$C$77+Teams!$C$50*Teams!$C$78+AD12*Teams!$C$51*Teams!$C$79/1000000,0)</f>
        <v>61.634000000000007</v>
      </c>
      <c r="AE18" s="44">
        <f>AE$5*IF(AND(AE$4&gt;=Teams!$C$80,Teams!$C$49=1),Teams!$C$44*Params!$D$10*Teams!$C$45*Teams!$C$75+Teams!$C$44*Params!$D$10*Teams!$C$47*Teams!$C$76/1000000+Teams!$C$77+Teams!$C$50*Teams!$C$78+AE12*Teams!$C$51*Teams!$C$79/1000000,0)</f>
        <v>61.634000000000007</v>
      </c>
      <c r="AF18" s="44">
        <f>AF$5*IF(AND(AF$4&gt;=Teams!$C$80,Teams!$C$49=1),Teams!$C$44*Params!$D$10*Teams!$C$45*Teams!$C$75+Teams!$C$44*Params!$D$10*Teams!$C$47*Teams!$C$76/1000000+Teams!$C$77+Teams!$C$50*Teams!$C$78+AF12*Teams!$C$51*Teams!$C$79/1000000,0)</f>
        <v>61.634000000000007</v>
      </c>
      <c r="AG18" s="44">
        <f>AG$5*IF(AND(AG$4&gt;=Teams!$C$80,Teams!$C$49=1),Teams!$C$44*Params!$D$10*Teams!$C$45*Teams!$C$75+Teams!$C$44*Params!$D$10*Teams!$C$47*Teams!$C$76/1000000+Teams!$C$77+Teams!$C$50*Teams!$C$78+AG12*Teams!$C$51*Teams!$C$79/1000000,0)</f>
        <v>61.634000000000007</v>
      </c>
      <c r="AH18" s="44">
        <f>AH$5*IF(AND(AH$4&gt;=Teams!$C$80,Teams!$C$49=1),Teams!$C$44*Params!$D$10*Teams!$C$45*Teams!$C$75+Teams!$C$44*Params!$D$10*Teams!$C$47*Teams!$C$76/1000000+Teams!$C$77+Teams!$C$50*Teams!$C$78+AH12*Teams!$C$51*Teams!$C$79/1000000,0)</f>
        <v>61.634000000000007</v>
      </c>
      <c r="AI18" s="44">
        <f>AI$5*IF(AND(AI$4&gt;=Teams!$C$80,Teams!$C$49=1),Teams!$C$44*Params!$D$10*Teams!$C$45*Teams!$C$75+Teams!$C$44*Params!$D$10*Teams!$C$47*Teams!$C$76/1000000+Teams!$C$77+Teams!$C$50*Teams!$C$78+AI12*Teams!$C$51*Teams!$C$79/1000000,0)</f>
        <v>61.634000000000007</v>
      </c>
      <c r="AJ18" s="44">
        <f>AJ$5*IF(AND(AJ$4&gt;=Teams!$C$80,Teams!$C$49=1),Teams!$C$44*Params!$D$10*Teams!$C$45*Teams!$C$75+Teams!$C$44*Params!$D$10*Teams!$C$47*Teams!$C$76/1000000+Teams!$C$77+Teams!$C$50*Teams!$C$78+AJ12*Teams!$C$51*Teams!$C$79/1000000,0)</f>
        <v>61.634000000000007</v>
      </c>
      <c r="AK18" s="44">
        <f>AK$5*IF(AND(AK$4&gt;=Teams!$C$80,Teams!$C$49=1),Teams!$C$44*Params!$D$10*Teams!$C$45*Teams!$C$75+Teams!$C$44*Params!$D$10*Teams!$C$47*Teams!$C$76/1000000+Teams!$C$77+Teams!$C$50*Teams!$C$78+AK12*Teams!$C$51*Teams!$C$79/1000000,0)</f>
        <v>61.634000000000007</v>
      </c>
      <c r="AL18" s="44">
        <f>AL$5*IF(AND(AL$4&gt;=Teams!$C$80,Teams!$C$49=1),Teams!$C$44*Params!$D$10*Teams!$C$45*Teams!$C$75+Teams!$C$44*Params!$D$10*Teams!$C$47*Teams!$C$76/1000000+Teams!$C$77+Teams!$C$50*Teams!$C$78+AL12*Teams!$C$51*Teams!$C$79/1000000,0)</f>
        <v>61.634000000000007</v>
      </c>
      <c r="AM18" s="44">
        <f>AM$5*IF(AND(AM$4&gt;=Teams!$C$80,Teams!$C$49=1),Teams!$C$44*Params!$D$10*Teams!$C$45*Teams!$C$75+Teams!$C$44*Params!$D$10*Teams!$C$47*Teams!$C$76/1000000+Teams!$C$77+Teams!$C$50*Teams!$C$78+AM12*Teams!$C$51*Teams!$C$79/1000000,0)</f>
        <v>61.634000000000007</v>
      </c>
      <c r="AN18" s="44">
        <f>AN$5*IF(AND(AN$4&gt;=Teams!$C$80,Teams!$C$49=1),Teams!$C$44*Params!$D$10*Teams!$C$45*Teams!$C$75+Teams!$C$44*Params!$D$10*Teams!$C$47*Teams!$C$76/1000000+Teams!$C$77+Teams!$C$50*Teams!$C$78+AN12*Teams!$C$51*Teams!$C$79/1000000,0)</f>
        <v>61.634000000000007</v>
      </c>
      <c r="AO18" s="44">
        <f>AO$5*IF(AND(AO$4&gt;=Teams!$C$80,Teams!$C$49=1),Teams!$C$44*Params!$D$10*Teams!$C$45*Teams!$C$75+Teams!$C$44*Params!$D$10*Teams!$C$47*Teams!$C$76/1000000+Teams!$C$77+Teams!$C$50*Teams!$C$78+AO12*Teams!$C$51*Teams!$C$79/1000000,0)</f>
        <v>0</v>
      </c>
      <c r="AP18" s="44">
        <f>AP$5*IF(AND(AP$4&gt;=Teams!$C$80,Teams!$C$49=1),Teams!$C$44*Params!$D$10*Teams!$C$45*Teams!$C$75+Teams!$C$44*Params!$D$10*Teams!$C$47*Teams!$C$76/1000000+Teams!$C$77+Teams!$C$50*Teams!$C$78+AP12*Teams!$C$51*Teams!$C$79/1000000,0)</f>
        <v>0</v>
      </c>
      <c r="AQ18" s="44">
        <f>AQ$5*IF(AND(AQ$4&gt;=Teams!$C$80,Teams!$C$49=1),Teams!$C$44*Params!$D$10*Teams!$C$45*Teams!$C$75+Teams!$C$44*Params!$D$10*Teams!$C$47*Teams!$C$76/1000000+Teams!$C$77+Teams!$C$50*Teams!$C$78+AQ12*Teams!$C$51*Teams!$C$79/1000000,0)</f>
        <v>0</v>
      </c>
      <c r="AR18" s="44">
        <f>AR$5*IF(AND(AR$4&gt;=Teams!$C$80,Teams!$C$49=1),Teams!$C$44*Params!$D$10*Teams!$C$45*Teams!$C$75+Teams!$C$44*Params!$D$10*Teams!$C$47*Teams!$C$76/1000000+Teams!$C$77+Teams!$C$50*Teams!$C$78+AR12*Teams!$C$51*Teams!$C$79/1000000,0)</f>
        <v>0</v>
      </c>
      <c r="AS18" s="44">
        <f>AS$5*IF(AND(AS$4&gt;=Teams!$C$80,Teams!$C$49=1),Teams!$C$44*Params!$D$10*Teams!$C$45*Teams!$C$75+Teams!$C$44*Params!$D$10*Teams!$C$47*Teams!$C$76/1000000+Teams!$C$77+Teams!$C$50*Teams!$C$78+AS12*Teams!$C$51*Teams!$C$79/1000000,0)</f>
        <v>0</v>
      </c>
      <c r="AT18" s="44">
        <f>AT$5*IF(AND(AT$4&gt;=Teams!$C$80,Teams!$C$49=1),Teams!$C$44*Params!$D$10*Teams!$C$45*Teams!$C$75+Teams!$C$44*Params!$D$10*Teams!$C$47*Teams!$C$76/1000000+Teams!$C$77+Teams!$C$50*Teams!$C$78+AT12*Teams!$C$51*Teams!$C$79/1000000,0)</f>
        <v>0</v>
      </c>
      <c r="AU18" s="44">
        <f>AU$5*IF(AND(AU$4&gt;=Teams!$C$80,Teams!$C$49=1),Teams!$C$44*Params!$D$10*Teams!$C$45*Teams!$C$75+Teams!$C$44*Params!$D$10*Teams!$C$47*Teams!$C$76/1000000+Teams!$C$77+Teams!$C$50*Teams!$C$78+AU12*Teams!$C$51*Teams!$C$79/1000000,0)</f>
        <v>0</v>
      </c>
      <c r="AV18" s="44">
        <f>AV$5*IF(AND(AV$4&gt;=Teams!$C$80,Teams!$C$49=1),Teams!$C$44*Params!$D$10*Teams!$C$45*Teams!$C$75+Teams!$C$44*Params!$D$10*Teams!$C$47*Teams!$C$76/1000000+Teams!$C$77+Teams!$C$50*Teams!$C$78+AV12*Teams!$C$51*Teams!$C$79/1000000,0)</f>
        <v>0</v>
      </c>
      <c r="AW18" s="44">
        <f>AW$5*IF(AND(AW$4&gt;=Teams!$C$80,Teams!$C$49=1),Teams!$C$44*Params!$D$10*Teams!$C$45*Teams!$C$75+Teams!$C$44*Params!$D$10*Teams!$C$47*Teams!$C$76/1000000+Teams!$C$77+Teams!$C$50*Teams!$C$78+AW12*Teams!$C$51*Teams!$C$79/1000000,0)</f>
        <v>0</v>
      </c>
      <c r="AX18" s="44">
        <f>AX$5*IF(AND(AX$4&gt;=Teams!$C$80,Teams!$C$49=1),Teams!$C$44*Params!$D$10*Teams!$C$45*Teams!$C$75+Teams!$C$44*Params!$D$10*Teams!$C$47*Teams!$C$76/1000000+Teams!$C$77+Teams!$C$50*Teams!$C$78+AX12*Teams!$C$51*Teams!$C$79/1000000,0)</f>
        <v>0</v>
      </c>
      <c r="AY18" s="44">
        <f>AY$5*IF(AND(AY$4&gt;=Teams!$C$80,Teams!$C$49=1),Teams!$C$44*Params!$D$10*Teams!$C$45*Teams!$C$75+Teams!$C$44*Params!$D$10*Teams!$C$47*Teams!$C$76/1000000+Teams!$C$77+Teams!$C$50*Teams!$C$78+AY12*Teams!$C$51*Teams!$C$79/1000000,0)</f>
        <v>0</v>
      </c>
      <c r="AZ18" s="44">
        <f>AZ$5*IF(AND(AZ$4&gt;=Teams!$C$80,Teams!$C$49=1),Teams!$C$44*Params!$D$10*Teams!$C$45*Teams!$C$75+Teams!$C$44*Params!$D$10*Teams!$C$47*Teams!$C$76/1000000+Teams!$C$77+Teams!$C$50*Teams!$C$78+AZ12*Teams!$C$51*Teams!$C$79/1000000,0)</f>
        <v>0</v>
      </c>
      <c r="BA18" s="44">
        <f>BA$5*IF(AND(BA$4&gt;=Teams!$C$80,Teams!$C$49=1),Teams!$C$44*Params!$D$10*Teams!$C$45*Teams!$C$75+Teams!$C$44*Params!$D$10*Teams!$C$47*Teams!$C$76/1000000+Teams!$C$77+Teams!$C$50*Teams!$C$78+BA12*Teams!$C$51*Teams!$C$79/1000000,0)</f>
        <v>0</v>
      </c>
      <c r="BB18" s="44">
        <f>BB$5*IF(AND(BB$4&gt;=Teams!$C$80,Teams!$C$49=1),Teams!$C$44*Params!$D$10*Teams!$C$45*Teams!$C$75+Teams!$C$44*Params!$D$10*Teams!$C$47*Teams!$C$76/1000000+Teams!$C$77+Teams!$C$50*Teams!$C$78+BB12*Teams!$C$51*Teams!$C$79/1000000,0)</f>
        <v>0</v>
      </c>
      <c r="BC18" s="44">
        <f>BC$5*IF(AND(BC$4&gt;=Teams!$C$80,Teams!$C$49=1),Teams!$C$44*Params!$D$10*Teams!$C$45*Teams!$C$75+Teams!$C$44*Params!$D$10*Teams!$C$47*Teams!$C$76/1000000+Teams!$C$77+Teams!$C$50*Teams!$C$78+BC12*Teams!$C$51*Teams!$C$79/1000000,0)</f>
        <v>0</v>
      </c>
      <c r="BD18" s="44">
        <f>BD$5*IF(AND(BD$4&gt;=Teams!$C$80,Teams!$C$49=1),Teams!$C$44*Params!$D$10*Teams!$C$45*Teams!$C$75+Teams!$C$44*Params!$D$10*Teams!$C$47*Teams!$C$76/1000000+Teams!$C$77+Teams!$C$50*Teams!$C$78+BD12*Teams!$C$51*Teams!$C$79/1000000,0)</f>
        <v>0</v>
      </c>
      <c r="BE18" s="44">
        <f>BE$5*IF(AND(BE$4&gt;=Teams!$C$80,Teams!$C$49=1),Teams!$C$44*Params!$D$10*Teams!$C$45*Teams!$C$75+Teams!$C$44*Params!$D$10*Teams!$C$47*Teams!$C$76/1000000+Teams!$C$77+Teams!$C$50*Teams!$C$78+BE12*Teams!$C$51*Teams!$C$79/1000000,0)</f>
        <v>0</v>
      </c>
      <c r="BF18" s="44">
        <f>BF$5*IF(AND(BF$4&gt;=Teams!$C$80,Teams!$C$49=1),Teams!$C$44*Params!$D$10*Teams!$C$45*Teams!$C$75+Teams!$C$44*Params!$D$10*Teams!$C$47*Teams!$C$76/1000000+Teams!$C$77+Teams!$C$50*Teams!$C$78+BF12*Teams!$C$51*Teams!$C$79/1000000,0)</f>
        <v>0</v>
      </c>
      <c r="BG18" s="44">
        <f>BG$5*IF(AND(BG$4&gt;=Teams!$C$80,Teams!$C$49=1),Teams!$C$44*Params!$D$10*Teams!$C$45*Teams!$C$75+Teams!$C$44*Params!$D$10*Teams!$C$47*Teams!$C$76/1000000+Teams!$C$77+Teams!$C$50*Teams!$C$78+BG12*Teams!$C$51*Teams!$C$79/1000000,0)</f>
        <v>0</v>
      </c>
      <c r="BH18" s="44">
        <f>BH$5*IF(AND(BH$4&gt;=Teams!$C$80,Teams!$C$49=1),Teams!$C$44*Params!$D$10*Teams!$C$45*Teams!$C$75+Teams!$C$44*Params!$D$10*Teams!$C$47*Teams!$C$76/1000000+Teams!$C$77+Teams!$C$50*Teams!$C$78+BH12*Teams!$C$51*Teams!$C$79/1000000,0)</f>
        <v>0</v>
      </c>
      <c r="BI18" s="44">
        <f>BI$5*IF(AND(BI$4&gt;=Teams!$C$80,Teams!$C$49=1),Teams!$C$44*Params!$D$10*Teams!$C$45*Teams!$C$75+Teams!$C$44*Params!$D$10*Teams!$C$47*Teams!$C$76/1000000+Teams!$C$77+Teams!$C$50*Teams!$C$78+BI12*Teams!$C$51*Teams!$C$79/1000000,0)</f>
        <v>0</v>
      </c>
      <c r="BJ18" s="44">
        <f>BJ$5*IF(AND(BJ$4&gt;=Teams!$C$80,Teams!$C$49=1),Teams!$C$44*Params!$D$10*Teams!$C$45*Teams!$C$75+Teams!$C$44*Params!$D$10*Teams!$C$47*Teams!$C$76/1000000+Teams!$C$77+Teams!$C$50*Teams!$C$78+BJ12*Teams!$C$51*Teams!$C$79/1000000,0)</f>
        <v>0</v>
      </c>
      <c r="BK18" s="44">
        <f>BK$5*IF(AND(BK$4&gt;=Teams!$C$80,Teams!$C$49=1),Teams!$C$44*Params!$D$10*Teams!$C$45*Teams!$C$75+Teams!$C$44*Params!$D$10*Teams!$C$47*Teams!$C$76/1000000+Teams!$C$77+Teams!$C$50*Teams!$C$78+BK12*Teams!$C$51*Teams!$C$79/1000000,0)</f>
        <v>0</v>
      </c>
      <c r="BL18" s="44">
        <f>BL$5*IF(AND(BL$4&gt;=Teams!$C$80,Teams!$C$49=1),Teams!$C$44*Params!$D$10*Teams!$C$45*Teams!$C$75+Teams!$C$44*Params!$D$10*Teams!$C$47*Teams!$C$76/1000000+Teams!$C$77+Teams!$C$50*Teams!$C$78+BL12*Teams!$C$51*Teams!$C$79/1000000,0)</f>
        <v>0</v>
      </c>
    </row>
    <row r="19" spans="1:64" x14ac:dyDescent="0.3">
      <c r="A19" s="8" t="s">
        <v>671</v>
      </c>
      <c r="B19" s="18" t="s">
        <v>169</v>
      </c>
      <c r="C19" s="44">
        <f t="shared" si="2"/>
        <v>3600</v>
      </c>
      <c r="E19" s="44">
        <f>E$5*IF(E$4&gt;=Teams!$C$80,Teams!$C$43*Params!$D$6*Org!$B$10*Params!$D$7/12,0)</f>
        <v>100</v>
      </c>
      <c r="F19" s="44">
        <f>F$5*IF(F$4&gt;=Teams!$C$80,Teams!$C$43*Params!$D$6*Org!$B$10*Params!$D$7/12,0)</f>
        <v>100</v>
      </c>
      <c r="G19" s="44">
        <f>G$5*IF(G$4&gt;=Teams!$C$80,Teams!$C$43*Params!$D$6*Org!$B$10*Params!$D$7/12,0)</f>
        <v>100</v>
      </c>
      <c r="H19" s="44">
        <f>H$5*IF(H$4&gt;=Teams!$C$80,Teams!$C$43*Params!$D$6*Org!$B$10*Params!$D$7/12,0)</f>
        <v>100</v>
      </c>
      <c r="I19" s="44">
        <f>I$5*IF(I$4&gt;=Teams!$C$80,Teams!$C$43*Params!$D$6*Org!$B$10*Params!$D$7/12,0)</f>
        <v>100</v>
      </c>
      <c r="J19" s="44">
        <f>J$5*IF(J$4&gt;=Teams!$C$80,Teams!$C$43*Params!$D$6*Org!$B$10*Params!$D$7/12,0)</f>
        <v>100</v>
      </c>
      <c r="K19" s="44">
        <f>K$5*IF(K$4&gt;=Teams!$C$80,Teams!$C$43*Params!$D$6*Org!$B$10*Params!$D$7/12,0)</f>
        <v>100</v>
      </c>
      <c r="L19" s="44">
        <f>L$5*IF(L$4&gt;=Teams!$C$80,Teams!$C$43*Params!$D$6*Org!$B$10*Params!$D$7/12,0)</f>
        <v>100</v>
      </c>
      <c r="M19" s="44">
        <f>M$5*IF(M$4&gt;=Teams!$C$80,Teams!$C$43*Params!$D$6*Org!$B$10*Params!$D$7/12,0)</f>
        <v>100</v>
      </c>
      <c r="N19" s="44">
        <f>N$5*IF(N$4&gt;=Teams!$C$80,Teams!$C$43*Params!$D$6*Org!$B$10*Params!$D$7/12,0)</f>
        <v>100</v>
      </c>
      <c r="O19" s="44">
        <f>O$5*IF(O$4&gt;=Teams!$C$80,Teams!$C$43*Params!$D$6*Org!$B$10*Params!$D$7/12,0)</f>
        <v>100</v>
      </c>
      <c r="P19" s="44">
        <f>P$5*IF(P$4&gt;=Teams!$C$80,Teams!$C$43*Params!$D$6*Org!$B$10*Params!$D$7/12,0)</f>
        <v>100</v>
      </c>
      <c r="Q19" s="44">
        <f>Q$5*IF(Q$4&gt;=Teams!$C$80,Teams!$C$43*Params!$D$6*Org!$B$10*Params!$D$7/12,0)</f>
        <v>100</v>
      </c>
      <c r="R19" s="44">
        <f>R$5*IF(R$4&gt;=Teams!$C$80,Teams!$C$43*Params!$D$6*Org!$B$10*Params!$D$7/12,0)</f>
        <v>100</v>
      </c>
      <c r="S19" s="44">
        <f>S$5*IF(S$4&gt;=Teams!$C$80,Teams!$C$43*Params!$D$6*Org!$B$10*Params!$D$7/12,0)</f>
        <v>100</v>
      </c>
      <c r="T19" s="44">
        <f>T$5*IF(T$4&gt;=Teams!$C$80,Teams!$C$43*Params!$D$6*Org!$B$10*Params!$D$7/12,0)</f>
        <v>100</v>
      </c>
      <c r="U19" s="44">
        <f>U$5*IF(U$4&gt;=Teams!$C$80,Teams!$C$43*Params!$D$6*Org!$B$10*Params!$D$7/12,0)</f>
        <v>100</v>
      </c>
      <c r="V19" s="44">
        <f>V$5*IF(V$4&gt;=Teams!$C$80,Teams!$C$43*Params!$D$6*Org!$B$10*Params!$D$7/12,0)</f>
        <v>100</v>
      </c>
      <c r="W19" s="44">
        <f>W$5*IF(W$4&gt;=Teams!$C$80,Teams!$C$43*Params!$D$6*Org!$B$10*Params!$D$7/12,0)</f>
        <v>100</v>
      </c>
      <c r="X19" s="44">
        <f>X$5*IF(X$4&gt;=Teams!$C$80,Teams!$C$43*Params!$D$6*Org!$B$10*Params!$D$7/12,0)</f>
        <v>100</v>
      </c>
      <c r="Y19" s="44">
        <f>Y$5*IF(Y$4&gt;=Teams!$C$80,Teams!$C$43*Params!$D$6*Org!$B$10*Params!$D$7/12,0)</f>
        <v>100</v>
      </c>
      <c r="Z19" s="44">
        <f>Z$5*IF(Z$4&gt;=Teams!$C$80,Teams!$C$43*Params!$D$6*Org!$B$10*Params!$D$7/12,0)</f>
        <v>100</v>
      </c>
      <c r="AA19" s="44">
        <f>AA$5*IF(AA$4&gt;=Teams!$C$80,Teams!$C$43*Params!$D$6*Org!$B$10*Params!$D$7/12,0)</f>
        <v>100</v>
      </c>
      <c r="AB19" s="44">
        <f>AB$5*IF(AB$4&gt;=Teams!$C$80,Teams!$C$43*Params!$D$6*Org!$B$10*Params!$D$7/12,0)</f>
        <v>100</v>
      </c>
      <c r="AC19" s="44">
        <f>AC$5*IF(AC$4&gt;=Teams!$C$80,Teams!$C$43*Params!$D$6*Org!$B$10*Params!$D$7/12,0)</f>
        <v>100</v>
      </c>
      <c r="AD19" s="44">
        <f>AD$5*IF(AD$4&gt;=Teams!$C$80,Teams!$C$43*Params!$D$6*Org!$B$10*Params!$D$7/12,0)</f>
        <v>100</v>
      </c>
      <c r="AE19" s="44">
        <f>AE$5*IF(AE$4&gt;=Teams!$C$80,Teams!$C$43*Params!$D$6*Org!$B$10*Params!$D$7/12,0)</f>
        <v>100</v>
      </c>
      <c r="AF19" s="44">
        <f>AF$5*IF(AF$4&gt;=Teams!$C$80,Teams!$C$43*Params!$D$6*Org!$B$10*Params!$D$7/12,0)</f>
        <v>100</v>
      </c>
      <c r="AG19" s="44">
        <f>AG$5*IF(AG$4&gt;=Teams!$C$80,Teams!$C$43*Params!$D$6*Org!$B$10*Params!$D$7/12,0)</f>
        <v>100</v>
      </c>
      <c r="AH19" s="44">
        <f>AH$5*IF(AH$4&gt;=Teams!$C$80,Teams!$C$43*Params!$D$6*Org!$B$10*Params!$D$7/12,0)</f>
        <v>100</v>
      </c>
      <c r="AI19" s="44">
        <f>AI$5*IF(AI$4&gt;=Teams!$C$80,Teams!$C$43*Params!$D$6*Org!$B$10*Params!$D$7/12,0)</f>
        <v>100</v>
      </c>
      <c r="AJ19" s="44">
        <f>AJ$5*IF(AJ$4&gt;=Teams!$C$80,Teams!$C$43*Params!$D$6*Org!$B$10*Params!$D$7/12,0)</f>
        <v>100</v>
      </c>
      <c r="AK19" s="44">
        <f>AK$5*IF(AK$4&gt;=Teams!$C$80,Teams!$C$43*Params!$D$6*Org!$B$10*Params!$D$7/12,0)</f>
        <v>100</v>
      </c>
      <c r="AL19" s="44">
        <f>AL$5*IF(AL$4&gt;=Teams!$C$80,Teams!$C$43*Params!$D$6*Org!$B$10*Params!$D$7/12,0)</f>
        <v>100</v>
      </c>
      <c r="AM19" s="44">
        <f>AM$5*IF(AM$4&gt;=Teams!$C$80,Teams!$C$43*Params!$D$6*Org!$B$10*Params!$D$7/12,0)</f>
        <v>100</v>
      </c>
      <c r="AN19" s="44">
        <f>AN$5*IF(AN$4&gt;=Teams!$C$80,Teams!$C$43*Params!$D$6*Org!$B$10*Params!$D$7/12,0)</f>
        <v>100</v>
      </c>
      <c r="AO19" s="44">
        <f>AO$5*IF(AO$4&gt;=Teams!$C$80,Teams!$C$43*Params!$D$6*Org!$B$10*Params!$D$7/12,0)</f>
        <v>0</v>
      </c>
      <c r="AP19" s="44">
        <f>AP$5*IF(AP$4&gt;=Teams!$C$80,Teams!$C$43*Params!$D$6*Org!$B$10*Params!$D$7/12,0)</f>
        <v>0</v>
      </c>
      <c r="AQ19" s="44">
        <f>AQ$5*IF(AQ$4&gt;=Teams!$C$80,Teams!$C$43*Params!$D$6*Org!$B$10*Params!$D$7/12,0)</f>
        <v>0</v>
      </c>
      <c r="AR19" s="44">
        <f>AR$5*IF(AR$4&gt;=Teams!$C$80,Teams!$C$43*Params!$D$6*Org!$B$10*Params!$D$7/12,0)</f>
        <v>0</v>
      </c>
      <c r="AS19" s="44">
        <f>AS$5*IF(AS$4&gt;=Teams!$C$80,Teams!$C$43*Params!$D$6*Org!$B$10*Params!$D$7/12,0)</f>
        <v>0</v>
      </c>
      <c r="AT19" s="44">
        <f>AT$5*IF(AT$4&gt;=Teams!$C$80,Teams!$C$43*Params!$D$6*Org!$B$10*Params!$D$7/12,0)</f>
        <v>0</v>
      </c>
      <c r="AU19" s="44">
        <f>AU$5*IF(AU$4&gt;=Teams!$C$80,Teams!$C$43*Params!$D$6*Org!$B$10*Params!$D$7/12,0)</f>
        <v>0</v>
      </c>
      <c r="AV19" s="44">
        <f>AV$5*IF(AV$4&gt;=Teams!$C$80,Teams!$C$43*Params!$D$6*Org!$B$10*Params!$D$7/12,0)</f>
        <v>0</v>
      </c>
      <c r="AW19" s="44">
        <f>AW$5*IF(AW$4&gt;=Teams!$C$80,Teams!$C$43*Params!$D$6*Org!$B$10*Params!$D$7/12,0)</f>
        <v>0</v>
      </c>
      <c r="AX19" s="44">
        <f>AX$5*IF(AX$4&gt;=Teams!$C$80,Teams!$C$43*Params!$D$6*Org!$B$10*Params!$D$7/12,0)</f>
        <v>0</v>
      </c>
      <c r="AY19" s="44">
        <f>AY$5*IF(AY$4&gt;=Teams!$C$80,Teams!$C$43*Params!$D$6*Org!$B$10*Params!$D$7/12,0)</f>
        <v>0</v>
      </c>
      <c r="AZ19" s="44">
        <f>AZ$5*IF(AZ$4&gt;=Teams!$C$80,Teams!$C$43*Params!$D$6*Org!$B$10*Params!$D$7/12,0)</f>
        <v>0</v>
      </c>
      <c r="BA19" s="44">
        <f>BA$5*IF(BA$4&gt;=Teams!$C$80,Teams!$C$43*Params!$D$6*Org!$B$10*Params!$D$7/12,0)</f>
        <v>0</v>
      </c>
      <c r="BB19" s="44">
        <f>BB$5*IF(BB$4&gt;=Teams!$C$80,Teams!$C$43*Params!$D$6*Org!$B$10*Params!$D$7/12,0)</f>
        <v>0</v>
      </c>
      <c r="BC19" s="44">
        <f>BC$5*IF(BC$4&gt;=Teams!$C$80,Teams!$C$43*Params!$D$6*Org!$B$10*Params!$D$7/12,0)</f>
        <v>0</v>
      </c>
      <c r="BD19" s="44">
        <f>BD$5*IF(BD$4&gt;=Teams!$C$80,Teams!$C$43*Params!$D$6*Org!$B$10*Params!$D$7/12,0)</f>
        <v>0</v>
      </c>
      <c r="BE19" s="44">
        <f>BE$5*IF(BE$4&gt;=Teams!$C$80,Teams!$C$43*Params!$D$6*Org!$B$10*Params!$D$7/12,0)</f>
        <v>0</v>
      </c>
      <c r="BF19" s="44">
        <f>BF$5*IF(BF$4&gt;=Teams!$C$80,Teams!$C$43*Params!$D$6*Org!$B$10*Params!$D$7/12,0)</f>
        <v>0</v>
      </c>
      <c r="BG19" s="44">
        <f>BG$5*IF(BG$4&gt;=Teams!$C$80,Teams!$C$43*Params!$D$6*Org!$B$10*Params!$D$7/12,0)</f>
        <v>0</v>
      </c>
      <c r="BH19" s="44">
        <f>BH$5*IF(BH$4&gt;=Teams!$C$80,Teams!$C$43*Params!$D$6*Org!$B$10*Params!$D$7/12,0)</f>
        <v>0</v>
      </c>
      <c r="BI19" s="44">
        <f>BI$5*IF(BI$4&gt;=Teams!$C$80,Teams!$C$43*Params!$D$6*Org!$B$10*Params!$D$7/12,0)</f>
        <v>0</v>
      </c>
      <c r="BJ19" s="44">
        <f>BJ$5*IF(BJ$4&gt;=Teams!$C$80,Teams!$C$43*Params!$D$6*Org!$B$10*Params!$D$7/12,0)</f>
        <v>0</v>
      </c>
      <c r="BK19" s="44">
        <f>BK$5*IF(BK$4&gt;=Teams!$C$80,Teams!$C$43*Params!$D$6*Org!$B$10*Params!$D$7/12,0)</f>
        <v>0</v>
      </c>
      <c r="BL19" s="44">
        <f>BL$5*IF(BL$4&gt;=Teams!$C$80,Teams!$C$43*Params!$D$6*Org!$B$10*Params!$D$7/12,0)</f>
        <v>0</v>
      </c>
    </row>
    <row r="20" spans="1:64" x14ac:dyDescent="0.3">
      <c r="A20" s="8" t="s">
        <v>672</v>
      </c>
      <c r="B20" s="18" t="s">
        <v>169</v>
      </c>
      <c r="C20" s="44">
        <f t="shared" si="2"/>
        <v>31875.000000000015</v>
      </c>
      <c r="E20" s="44">
        <f>E$5*IF(E$4&gt;=Teams!$C$80,Params!$D$23*Params!$D$24/60*(Org!$B$10/Org!$B$11)+Params!$D$27/12*Params!$D$13*Org!$B$10+E11/1000*Params!$D$28*Params!$D$29*(Org!$B$10/Org!$B$11),0)</f>
        <v>500</v>
      </c>
      <c r="F20" s="44">
        <f>F$5*IF(F$4&gt;=Teams!$C$80,Params!$D$23*Params!$D$24/60*(Org!$B$10/Org!$B$11)+Params!$D$27/12*Params!$D$13*Org!$B$10+F11/1000*Params!$D$28*Params!$D$29*(Org!$B$10/Org!$B$11),0)</f>
        <v>583.33333333333337</v>
      </c>
      <c r="G20" s="44">
        <f>G$5*IF(G$4&gt;=Teams!$C$80,Params!$D$23*Params!$D$24/60*(Org!$B$10/Org!$B$11)+Params!$D$27/12*Params!$D$13*Org!$B$10+G11/1000*Params!$D$28*Params!$D$29*(Org!$B$10/Org!$B$11),0)</f>
        <v>691.66666666666674</v>
      </c>
      <c r="H20" s="44">
        <f>H$5*IF(H$4&gt;=Teams!$C$80,Params!$D$23*Params!$D$24/60*(Org!$B$10/Org!$B$11)+Params!$D$27/12*Params!$D$13*Org!$B$10+H11/1000*Params!$D$28*Params!$D$29*(Org!$B$10/Org!$B$11),0)</f>
        <v>800</v>
      </c>
      <c r="I20" s="44">
        <f>I$5*IF(I$4&gt;=Teams!$C$80,Params!$D$23*Params!$D$24/60*(Org!$B$10/Org!$B$11)+Params!$D$27/12*Params!$D$13*Org!$B$10+I11/1000*Params!$D$28*Params!$D$29*(Org!$B$10/Org!$B$11),0)</f>
        <v>883.33333333333348</v>
      </c>
      <c r="J20" s="44">
        <f>J$5*IF(J$4&gt;=Teams!$C$80,Params!$D$23*Params!$D$24/60*(Org!$B$10/Org!$B$11)+Params!$D$27/12*Params!$D$13*Org!$B$10+J11/1000*Params!$D$28*Params!$D$29*(Org!$B$10/Org!$B$11),0)</f>
        <v>916.66666666666674</v>
      </c>
      <c r="K20" s="44">
        <f>K$5*IF(K$4&gt;=Teams!$C$80,Params!$D$23*Params!$D$24/60*(Org!$B$10/Org!$B$11)+Params!$D$27/12*Params!$D$13*Org!$B$10+K11/1000*Params!$D$28*Params!$D$29*(Org!$B$10/Org!$B$11),0)</f>
        <v>916.66666666666674</v>
      </c>
      <c r="L20" s="44">
        <f>L$5*IF(L$4&gt;=Teams!$C$80,Params!$D$23*Params!$D$24/60*(Org!$B$10/Org!$B$11)+Params!$D$27/12*Params!$D$13*Org!$B$10+L11/1000*Params!$D$28*Params!$D$29*(Org!$B$10/Org!$B$11),0)</f>
        <v>916.66666666666674</v>
      </c>
      <c r="M20" s="44">
        <f>M$5*IF(M$4&gt;=Teams!$C$80,Params!$D$23*Params!$D$24/60*(Org!$B$10/Org!$B$11)+Params!$D$27/12*Params!$D$13*Org!$B$10+M11/1000*Params!$D$28*Params!$D$29*(Org!$B$10/Org!$B$11),0)</f>
        <v>916.66666666666674</v>
      </c>
      <c r="N20" s="44">
        <f>N$5*IF(N$4&gt;=Teams!$C$80,Params!$D$23*Params!$D$24/60*(Org!$B$10/Org!$B$11)+Params!$D$27/12*Params!$D$13*Org!$B$10+N11/1000*Params!$D$28*Params!$D$29*(Org!$B$10/Org!$B$11),0)</f>
        <v>916.66666666666674</v>
      </c>
      <c r="O20" s="44">
        <f>O$5*IF(O$4&gt;=Teams!$C$80,Params!$D$23*Params!$D$24/60*(Org!$B$10/Org!$B$11)+Params!$D$27/12*Params!$D$13*Org!$B$10+O11/1000*Params!$D$28*Params!$D$29*(Org!$B$10/Org!$B$11),0)</f>
        <v>916.66666666666674</v>
      </c>
      <c r="P20" s="44">
        <f>P$5*IF(P$4&gt;=Teams!$C$80,Params!$D$23*Params!$D$24/60*(Org!$B$10/Org!$B$11)+Params!$D$27/12*Params!$D$13*Org!$B$10+P11/1000*Params!$D$28*Params!$D$29*(Org!$B$10/Org!$B$11),0)</f>
        <v>916.66666666666674</v>
      </c>
      <c r="Q20" s="44">
        <f>Q$5*IF(Q$4&gt;=Teams!$C$80,Params!$D$23*Params!$D$24/60*(Org!$B$10/Org!$B$11)+Params!$D$27/12*Params!$D$13*Org!$B$10+Q11/1000*Params!$D$28*Params!$D$29*(Org!$B$10/Org!$B$11),0)</f>
        <v>916.66666666666674</v>
      </c>
      <c r="R20" s="44">
        <f>R$5*IF(R$4&gt;=Teams!$C$80,Params!$D$23*Params!$D$24/60*(Org!$B$10/Org!$B$11)+Params!$D$27/12*Params!$D$13*Org!$B$10+R11/1000*Params!$D$28*Params!$D$29*(Org!$B$10/Org!$B$11),0)</f>
        <v>916.66666666666674</v>
      </c>
      <c r="S20" s="44">
        <f>S$5*IF(S$4&gt;=Teams!$C$80,Params!$D$23*Params!$D$24/60*(Org!$B$10/Org!$B$11)+Params!$D$27/12*Params!$D$13*Org!$B$10+S11/1000*Params!$D$28*Params!$D$29*(Org!$B$10/Org!$B$11),0)</f>
        <v>916.66666666666674</v>
      </c>
      <c r="T20" s="44">
        <f>T$5*IF(T$4&gt;=Teams!$C$80,Params!$D$23*Params!$D$24/60*(Org!$B$10/Org!$B$11)+Params!$D$27/12*Params!$D$13*Org!$B$10+T11/1000*Params!$D$28*Params!$D$29*(Org!$B$10/Org!$B$11),0)</f>
        <v>916.66666666666674</v>
      </c>
      <c r="U20" s="44">
        <f>U$5*IF(U$4&gt;=Teams!$C$80,Params!$D$23*Params!$D$24/60*(Org!$B$10/Org!$B$11)+Params!$D$27/12*Params!$D$13*Org!$B$10+U11/1000*Params!$D$28*Params!$D$29*(Org!$B$10/Org!$B$11),0)</f>
        <v>916.66666666666674</v>
      </c>
      <c r="V20" s="44">
        <f>V$5*IF(V$4&gt;=Teams!$C$80,Params!$D$23*Params!$D$24/60*(Org!$B$10/Org!$B$11)+Params!$D$27/12*Params!$D$13*Org!$B$10+V11/1000*Params!$D$28*Params!$D$29*(Org!$B$10/Org!$B$11),0)</f>
        <v>916.66666666666674</v>
      </c>
      <c r="W20" s="44">
        <f>W$5*IF(W$4&gt;=Teams!$C$80,Params!$D$23*Params!$D$24/60*(Org!$B$10/Org!$B$11)+Params!$D$27/12*Params!$D$13*Org!$B$10+W11/1000*Params!$D$28*Params!$D$29*(Org!$B$10/Org!$B$11),0)</f>
        <v>916.66666666666674</v>
      </c>
      <c r="X20" s="44">
        <f>X$5*IF(X$4&gt;=Teams!$C$80,Params!$D$23*Params!$D$24/60*(Org!$B$10/Org!$B$11)+Params!$D$27/12*Params!$D$13*Org!$B$10+X11/1000*Params!$D$28*Params!$D$29*(Org!$B$10/Org!$B$11),0)</f>
        <v>916.66666666666674</v>
      </c>
      <c r="Y20" s="44">
        <f>Y$5*IF(Y$4&gt;=Teams!$C$80,Params!$D$23*Params!$D$24/60*(Org!$B$10/Org!$B$11)+Params!$D$27/12*Params!$D$13*Org!$B$10+Y11/1000*Params!$D$28*Params!$D$29*(Org!$B$10/Org!$B$11),0)</f>
        <v>916.66666666666674</v>
      </c>
      <c r="Z20" s="44">
        <f>Z$5*IF(Z$4&gt;=Teams!$C$80,Params!$D$23*Params!$D$24/60*(Org!$B$10/Org!$B$11)+Params!$D$27/12*Params!$D$13*Org!$B$10+Z11/1000*Params!$D$28*Params!$D$29*(Org!$B$10/Org!$B$11),0)</f>
        <v>916.66666666666674</v>
      </c>
      <c r="AA20" s="44">
        <f>AA$5*IF(AA$4&gt;=Teams!$C$80,Params!$D$23*Params!$D$24/60*(Org!$B$10/Org!$B$11)+Params!$D$27/12*Params!$D$13*Org!$B$10+AA11/1000*Params!$D$28*Params!$D$29*(Org!$B$10/Org!$B$11),0)</f>
        <v>916.66666666666674</v>
      </c>
      <c r="AB20" s="44">
        <f>AB$5*IF(AB$4&gt;=Teams!$C$80,Params!$D$23*Params!$D$24/60*(Org!$B$10/Org!$B$11)+Params!$D$27/12*Params!$D$13*Org!$B$10+AB11/1000*Params!$D$28*Params!$D$29*(Org!$B$10/Org!$B$11),0)</f>
        <v>916.66666666666674</v>
      </c>
      <c r="AC20" s="44">
        <f>AC$5*IF(AC$4&gt;=Teams!$C$80,Params!$D$23*Params!$D$24/60*(Org!$B$10/Org!$B$11)+Params!$D$27/12*Params!$D$13*Org!$B$10+AC11/1000*Params!$D$28*Params!$D$29*(Org!$B$10/Org!$B$11),0)</f>
        <v>916.66666666666674</v>
      </c>
      <c r="AD20" s="44">
        <f>AD$5*IF(AD$4&gt;=Teams!$C$80,Params!$D$23*Params!$D$24/60*(Org!$B$10/Org!$B$11)+Params!$D$27/12*Params!$D$13*Org!$B$10+AD11/1000*Params!$D$28*Params!$D$29*(Org!$B$10/Org!$B$11),0)</f>
        <v>916.66666666666674</v>
      </c>
      <c r="AE20" s="44">
        <f>AE$5*IF(AE$4&gt;=Teams!$C$80,Params!$D$23*Params!$D$24/60*(Org!$B$10/Org!$B$11)+Params!$D$27/12*Params!$D$13*Org!$B$10+AE11/1000*Params!$D$28*Params!$D$29*(Org!$B$10/Org!$B$11),0)</f>
        <v>916.66666666666674</v>
      </c>
      <c r="AF20" s="44">
        <f>AF$5*IF(AF$4&gt;=Teams!$C$80,Params!$D$23*Params!$D$24/60*(Org!$B$10/Org!$B$11)+Params!$D$27/12*Params!$D$13*Org!$B$10+AF11/1000*Params!$D$28*Params!$D$29*(Org!$B$10/Org!$B$11),0)</f>
        <v>916.66666666666674</v>
      </c>
      <c r="AG20" s="44">
        <f>AG$5*IF(AG$4&gt;=Teams!$C$80,Params!$D$23*Params!$D$24/60*(Org!$B$10/Org!$B$11)+Params!$D$27/12*Params!$D$13*Org!$B$10+AG11/1000*Params!$D$28*Params!$D$29*(Org!$B$10/Org!$B$11),0)</f>
        <v>916.66666666666674</v>
      </c>
      <c r="AH20" s="44">
        <f>AH$5*IF(AH$4&gt;=Teams!$C$80,Params!$D$23*Params!$D$24/60*(Org!$B$10/Org!$B$11)+Params!$D$27/12*Params!$D$13*Org!$B$10+AH11/1000*Params!$D$28*Params!$D$29*(Org!$B$10/Org!$B$11),0)</f>
        <v>916.66666666666674</v>
      </c>
      <c r="AI20" s="44">
        <f>AI$5*IF(AI$4&gt;=Teams!$C$80,Params!$D$23*Params!$D$24/60*(Org!$B$10/Org!$B$11)+Params!$D$27/12*Params!$D$13*Org!$B$10+AI11/1000*Params!$D$28*Params!$D$29*(Org!$B$10/Org!$B$11),0)</f>
        <v>916.66666666666674</v>
      </c>
      <c r="AJ20" s="44">
        <f>AJ$5*IF(AJ$4&gt;=Teams!$C$80,Params!$D$23*Params!$D$24/60*(Org!$B$10/Org!$B$11)+Params!$D$27/12*Params!$D$13*Org!$B$10+AJ11/1000*Params!$D$28*Params!$D$29*(Org!$B$10/Org!$B$11),0)</f>
        <v>916.66666666666674</v>
      </c>
      <c r="AK20" s="44">
        <f>AK$5*IF(AK$4&gt;=Teams!$C$80,Params!$D$23*Params!$D$24/60*(Org!$B$10/Org!$B$11)+Params!$D$27/12*Params!$D$13*Org!$B$10+AK11/1000*Params!$D$28*Params!$D$29*(Org!$B$10/Org!$B$11),0)</f>
        <v>916.66666666666674</v>
      </c>
      <c r="AL20" s="44">
        <f>AL$5*IF(AL$4&gt;=Teams!$C$80,Params!$D$23*Params!$D$24/60*(Org!$B$10/Org!$B$11)+Params!$D$27/12*Params!$D$13*Org!$B$10+AL11/1000*Params!$D$28*Params!$D$29*(Org!$B$10/Org!$B$11),0)</f>
        <v>916.66666666666674</v>
      </c>
      <c r="AM20" s="44">
        <f>AM$5*IF(AM$4&gt;=Teams!$C$80,Params!$D$23*Params!$D$24/60*(Org!$B$10/Org!$B$11)+Params!$D$27/12*Params!$D$13*Org!$B$10+AM11/1000*Params!$D$28*Params!$D$29*(Org!$B$10/Org!$B$11),0)</f>
        <v>916.66666666666674</v>
      </c>
      <c r="AN20" s="44">
        <f>AN$5*IF(AN$4&gt;=Teams!$C$80,Params!$D$23*Params!$D$24/60*(Org!$B$10/Org!$B$11)+Params!$D$27/12*Params!$D$13*Org!$B$10+AN11/1000*Params!$D$28*Params!$D$29*(Org!$B$10/Org!$B$11),0)</f>
        <v>916.66666666666674</v>
      </c>
      <c r="AO20" s="44">
        <f>AO$5*IF(AO$4&gt;=Teams!$C$80,Params!$D$23*Params!$D$24/60*(Org!$B$10/Org!$B$11)+Params!$D$27/12*Params!$D$13*Org!$B$10+AO11/1000*Params!$D$28*Params!$D$29*(Org!$B$10/Org!$B$11),0)</f>
        <v>0</v>
      </c>
      <c r="AP20" s="44">
        <f>AP$5*IF(AP$4&gt;=Teams!$C$80,Params!$D$23*Params!$D$24/60*(Org!$B$10/Org!$B$11)+Params!$D$27/12*Params!$D$13*Org!$B$10+AP11/1000*Params!$D$28*Params!$D$29*(Org!$B$10/Org!$B$11),0)</f>
        <v>0</v>
      </c>
      <c r="AQ20" s="44">
        <f>AQ$5*IF(AQ$4&gt;=Teams!$C$80,Params!$D$23*Params!$D$24/60*(Org!$B$10/Org!$B$11)+Params!$D$27/12*Params!$D$13*Org!$B$10+AQ11/1000*Params!$D$28*Params!$D$29*(Org!$B$10/Org!$B$11),0)</f>
        <v>0</v>
      </c>
      <c r="AR20" s="44">
        <f>AR$5*IF(AR$4&gt;=Teams!$C$80,Params!$D$23*Params!$D$24/60*(Org!$B$10/Org!$B$11)+Params!$D$27/12*Params!$D$13*Org!$B$10+AR11/1000*Params!$D$28*Params!$D$29*(Org!$B$10/Org!$B$11),0)</f>
        <v>0</v>
      </c>
      <c r="AS20" s="44">
        <f>AS$5*IF(AS$4&gt;=Teams!$C$80,Params!$D$23*Params!$D$24/60*(Org!$B$10/Org!$B$11)+Params!$D$27/12*Params!$D$13*Org!$B$10+AS11/1000*Params!$D$28*Params!$D$29*(Org!$B$10/Org!$B$11),0)</f>
        <v>0</v>
      </c>
      <c r="AT20" s="44">
        <f>AT$5*IF(AT$4&gt;=Teams!$C$80,Params!$D$23*Params!$D$24/60*(Org!$B$10/Org!$B$11)+Params!$D$27/12*Params!$D$13*Org!$B$10+AT11/1000*Params!$D$28*Params!$D$29*(Org!$B$10/Org!$B$11),0)</f>
        <v>0</v>
      </c>
      <c r="AU20" s="44">
        <f>AU$5*IF(AU$4&gt;=Teams!$C$80,Params!$D$23*Params!$D$24/60*(Org!$B$10/Org!$B$11)+Params!$D$27/12*Params!$D$13*Org!$B$10+AU11/1000*Params!$D$28*Params!$D$29*(Org!$B$10/Org!$B$11),0)</f>
        <v>0</v>
      </c>
      <c r="AV20" s="44">
        <f>AV$5*IF(AV$4&gt;=Teams!$C$80,Params!$D$23*Params!$D$24/60*(Org!$B$10/Org!$B$11)+Params!$D$27/12*Params!$D$13*Org!$B$10+AV11/1000*Params!$D$28*Params!$D$29*(Org!$B$10/Org!$B$11),0)</f>
        <v>0</v>
      </c>
      <c r="AW20" s="44">
        <f>AW$5*IF(AW$4&gt;=Teams!$C$80,Params!$D$23*Params!$D$24/60*(Org!$B$10/Org!$B$11)+Params!$D$27/12*Params!$D$13*Org!$B$10+AW11/1000*Params!$D$28*Params!$D$29*(Org!$B$10/Org!$B$11),0)</f>
        <v>0</v>
      </c>
      <c r="AX20" s="44">
        <f>AX$5*IF(AX$4&gt;=Teams!$C$80,Params!$D$23*Params!$D$24/60*(Org!$B$10/Org!$B$11)+Params!$D$27/12*Params!$D$13*Org!$B$10+AX11/1000*Params!$D$28*Params!$D$29*(Org!$B$10/Org!$B$11),0)</f>
        <v>0</v>
      </c>
      <c r="AY20" s="44">
        <f>AY$5*IF(AY$4&gt;=Teams!$C$80,Params!$D$23*Params!$D$24/60*(Org!$B$10/Org!$B$11)+Params!$D$27/12*Params!$D$13*Org!$B$10+AY11/1000*Params!$D$28*Params!$D$29*(Org!$B$10/Org!$B$11),0)</f>
        <v>0</v>
      </c>
      <c r="AZ20" s="44">
        <f>AZ$5*IF(AZ$4&gt;=Teams!$C$80,Params!$D$23*Params!$D$24/60*(Org!$B$10/Org!$B$11)+Params!$D$27/12*Params!$D$13*Org!$B$10+AZ11/1000*Params!$D$28*Params!$D$29*(Org!$B$10/Org!$B$11),0)</f>
        <v>0</v>
      </c>
      <c r="BA20" s="44">
        <f>BA$5*IF(BA$4&gt;=Teams!$C$80,Params!$D$23*Params!$D$24/60*(Org!$B$10/Org!$B$11)+Params!$D$27/12*Params!$D$13*Org!$B$10+BA11/1000*Params!$D$28*Params!$D$29*(Org!$B$10/Org!$B$11),0)</f>
        <v>0</v>
      </c>
      <c r="BB20" s="44">
        <f>BB$5*IF(BB$4&gt;=Teams!$C$80,Params!$D$23*Params!$D$24/60*(Org!$B$10/Org!$B$11)+Params!$D$27/12*Params!$D$13*Org!$B$10+BB11/1000*Params!$D$28*Params!$D$29*(Org!$B$10/Org!$B$11),0)</f>
        <v>0</v>
      </c>
      <c r="BC20" s="44">
        <f>BC$5*IF(BC$4&gt;=Teams!$C$80,Params!$D$23*Params!$D$24/60*(Org!$B$10/Org!$B$11)+Params!$D$27/12*Params!$D$13*Org!$B$10+BC11/1000*Params!$D$28*Params!$D$29*(Org!$B$10/Org!$B$11),0)</f>
        <v>0</v>
      </c>
      <c r="BD20" s="44">
        <f>BD$5*IF(BD$4&gt;=Teams!$C$80,Params!$D$23*Params!$D$24/60*(Org!$B$10/Org!$B$11)+Params!$D$27/12*Params!$D$13*Org!$B$10+BD11/1000*Params!$D$28*Params!$D$29*(Org!$B$10/Org!$B$11),0)</f>
        <v>0</v>
      </c>
      <c r="BE20" s="44">
        <f>BE$5*IF(BE$4&gt;=Teams!$C$80,Params!$D$23*Params!$D$24/60*(Org!$B$10/Org!$B$11)+Params!$D$27/12*Params!$D$13*Org!$B$10+BE11/1000*Params!$D$28*Params!$D$29*(Org!$B$10/Org!$B$11),0)</f>
        <v>0</v>
      </c>
      <c r="BF20" s="44">
        <f>BF$5*IF(BF$4&gt;=Teams!$C$80,Params!$D$23*Params!$D$24/60*(Org!$B$10/Org!$B$11)+Params!$D$27/12*Params!$D$13*Org!$B$10+BF11/1000*Params!$D$28*Params!$D$29*(Org!$B$10/Org!$B$11),0)</f>
        <v>0</v>
      </c>
      <c r="BG20" s="44">
        <f>BG$5*IF(BG$4&gt;=Teams!$C$80,Params!$D$23*Params!$D$24/60*(Org!$B$10/Org!$B$11)+Params!$D$27/12*Params!$D$13*Org!$B$10+BG11/1000*Params!$D$28*Params!$D$29*(Org!$B$10/Org!$B$11),0)</f>
        <v>0</v>
      </c>
      <c r="BH20" s="44">
        <f>BH$5*IF(BH$4&gt;=Teams!$C$80,Params!$D$23*Params!$D$24/60*(Org!$B$10/Org!$B$11)+Params!$D$27/12*Params!$D$13*Org!$B$10+BH11/1000*Params!$D$28*Params!$D$29*(Org!$B$10/Org!$B$11),0)</f>
        <v>0</v>
      </c>
      <c r="BI20" s="44">
        <f>BI$5*IF(BI$4&gt;=Teams!$C$80,Params!$D$23*Params!$D$24/60*(Org!$B$10/Org!$B$11)+Params!$D$27/12*Params!$D$13*Org!$B$10+BI11/1000*Params!$D$28*Params!$D$29*(Org!$B$10/Org!$B$11),0)</f>
        <v>0</v>
      </c>
      <c r="BJ20" s="44">
        <f>BJ$5*IF(BJ$4&gt;=Teams!$C$80,Params!$D$23*Params!$D$24/60*(Org!$B$10/Org!$B$11)+Params!$D$27/12*Params!$D$13*Org!$B$10+BJ11/1000*Params!$D$28*Params!$D$29*(Org!$B$10/Org!$B$11),0)</f>
        <v>0</v>
      </c>
      <c r="BK20" s="44">
        <f>BK$5*IF(BK$4&gt;=Teams!$C$80,Params!$D$23*Params!$D$24/60*(Org!$B$10/Org!$B$11)+Params!$D$27/12*Params!$D$13*Org!$B$10+BK11/1000*Params!$D$28*Params!$D$29*(Org!$B$10/Org!$B$11),0)</f>
        <v>0</v>
      </c>
      <c r="BL20" s="44">
        <f>BL$5*IF(BL$4&gt;=Teams!$C$80,Params!$D$23*Params!$D$24/60*(Org!$B$10/Org!$B$11)+Params!$D$27/12*Params!$D$13*Org!$B$10+BL11/1000*Params!$D$28*Params!$D$29*(Org!$B$10/Org!$B$11),0)</f>
        <v>0</v>
      </c>
    </row>
    <row r="21" spans="1:64" x14ac:dyDescent="0.3">
      <c r="A21" s="8" t="s">
        <v>673</v>
      </c>
      <c r="B21" s="18" t="s">
        <v>604</v>
      </c>
      <c r="C21" s="44">
        <f t="shared" si="2"/>
        <v>1760.0000000000002</v>
      </c>
      <c r="E21" s="44">
        <f>E$5*IF(AND(E$4&gt;Teams!$C$80,MOD(E$4-Teams!$C$80,MAX(1,ROUND(Params!$D$25,0)))=0),(Params!$D$26+Params!$D$17*Params!$D$16)*Org!$B$10,0)</f>
        <v>0</v>
      </c>
      <c r="F21" s="44">
        <f>F$5*IF(AND(F$4&gt;Teams!$C$80,MOD(F$4-Teams!$C$80,MAX(1,ROUND(Params!$D$25,0)))=0),(Params!$D$26+Params!$D$17*Params!$D$16)*Org!$B$10,0)</f>
        <v>0</v>
      </c>
      <c r="G21" s="44">
        <f>G$5*IF(AND(G$4&gt;Teams!$C$80,MOD(G$4-Teams!$C$80,MAX(1,ROUND(Params!$D$25,0)))=0),(Params!$D$26+Params!$D$17*Params!$D$16)*Org!$B$10,0)</f>
        <v>0</v>
      </c>
      <c r="H21" s="44">
        <f>H$5*IF(AND(H$4&gt;Teams!$C$80,MOD(H$4-Teams!$C$80,MAX(1,ROUND(Params!$D$25,0)))=0),(Params!$D$26+Params!$D$17*Params!$D$16)*Org!$B$10,0)</f>
        <v>0</v>
      </c>
      <c r="I21" s="44">
        <f>I$5*IF(AND(I$4&gt;Teams!$C$80,MOD(I$4-Teams!$C$80,MAX(1,ROUND(Params!$D$25,0)))=0),(Params!$D$26+Params!$D$17*Params!$D$16)*Org!$B$10,0)</f>
        <v>0</v>
      </c>
      <c r="J21" s="44">
        <f>J$5*IF(AND(J$4&gt;Teams!$C$80,MOD(J$4-Teams!$C$80,MAX(1,ROUND(Params!$D$25,0)))=0),(Params!$D$26+Params!$D$17*Params!$D$16)*Org!$B$10,0)</f>
        <v>0</v>
      </c>
      <c r="K21" s="44">
        <f>K$5*IF(AND(K$4&gt;Teams!$C$80,MOD(K$4-Teams!$C$80,MAX(1,ROUND(Params!$D$25,0)))=0),(Params!$D$26+Params!$D$17*Params!$D$16)*Org!$B$10,0)</f>
        <v>0</v>
      </c>
      <c r="L21" s="44">
        <f>L$5*IF(AND(L$4&gt;Teams!$C$80,MOD(L$4-Teams!$C$80,MAX(1,ROUND(Params!$D$25,0)))=0),(Params!$D$26+Params!$D$17*Params!$D$16)*Org!$B$10,0)</f>
        <v>0</v>
      </c>
      <c r="M21" s="44">
        <f>M$5*IF(AND(M$4&gt;Teams!$C$80,MOD(M$4-Teams!$C$80,MAX(1,ROUND(Params!$D$25,0)))=0),(Params!$D$26+Params!$D$17*Params!$D$16)*Org!$B$10,0)</f>
        <v>0</v>
      </c>
      <c r="N21" s="44">
        <f>N$5*IF(AND(N$4&gt;Teams!$C$80,MOD(N$4-Teams!$C$80,MAX(1,ROUND(Params!$D$25,0)))=0),(Params!$D$26+Params!$D$17*Params!$D$16)*Org!$B$10,0)</f>
        <v>0</v>
      </c>
      <c r="O21" s="44">
        <f>O$5*IF(AND(O$4&gt;Teams!$C$80,MOD(O$4-Teams!$C$80,MAX(1,ROUND(Params!$D$25,0)))=0),(Params!$D$26+Params!$D$17*Params!$D$16)*Org!$B$10,0)</f>
        <v>0</v>
      </c>
      <c r="P21" s="44">
        <f>P$5*IF(AND(P$4&gt;Teams!$C$80,MOD(P$4-Teams!$C$80,MAX(1,ROUND(Params!$D$25,0)))=0),(Params!$D$26+Params!$D$17*Params!$D$16)*Org!$B$10,0)</f>
        <v>0</v>
      </c>
      <c r="Q21" s="44">
        <f>Q$5*IF(AND(Q$4&gt;Teams!$C$80,MOD(Q$4-Teams!$C$80,MAX(1,ROUND(Params!$D$25,0)))=0),(Params!$D$26+Params!$D$17*Params!$D$16)*Org!$B$10,0)</f>
        <v>0</v>
      </c>
      <c r="R21" s="44">
        <f>R$5*IF(AND(R$4&gt;Teams!$C$80,MOD(R$4-Teams!$C$80,MAX(1,ROUND(Params!$D$25,0)))=0),(Params!$D$26+Params!$D$17*Params!$D$16)*Org!$B$10,0)</f>
        <v>0</v>
      </c>
      <c r="S21" s="44">
        <f>S$5*IF(AND(S$4&gt;Teams!$C$80,MOD(S$4-Teams!$C$80,MAX(1,ROUND(Params!$D$25,0)))=0),(Params!$D$26+Params!$D$17*Params!$D$16)*Org!$B$10,0)</f>
        <v>0</v>
      </c>
      <c r="T21" s="44">
        <f>T$5*IF(AND(T$4&gt;Teams!$C$80,MOD(T$4-Teams!$C$80,MAX(1,ROUND(Params!$D$25,0)))=0),(Params!$D$26+Params!$D$17*Params!$D$16)*Org!$B$10,0)</f>
        <v>0</v>
      </c>
      <c r="U21" s="44">
        <f>U$5*IF(AND(U$4&gt;Teams!$C$80,MOD(U$4-Teams!$C$80,MAX(1,ROUND(Params!$D$25,0)))=0),(Params!$D$26+Params!$D$17*Params!$D$16)*Org!$B$10,0)</f>
        <v>0</v>
      </c>
      <c r="V21" s="44">
        <f>V$5*IF(AND(V$4&gt;Teams!$C$80,MOD(V$4-Teams!$C$80,MAX(1,ROUND(Params!$D$25,0)))=0),(Params!$D$26+Params!$D$17*Params!$D$16)*Org!$B$10,0)</f>
        <v>0</v>
      </c>
      <c r="W21" s="44">
        <f>W$5*IF(AND(W$4&gt;Teams!$C$80,MOD(W$4-Teams!$C$80,MAX(1,ROUND(Params!$D$25,0)))=0),(Params!$D$26+Params!$D$17*Params!$D$16)*Org!$B$10,0)</f>
        <v>0</v>
      </c>
      <c r="X21" s="44">
        <f>X$5*IF(AND(X$4&gt;Teams!$C$80,MOD(X$4-Teams!$C$80,MAX(1,ROUND(Params!$D$25,0)))=0),(Params!$D$26+Params!$D$17*Params!$D$16)*Org!$B$10,0)</f>
        <v>0</v>
      </c>
      <c r="Y21" s="44">
        <f>Y$5*IF(AND(Y$4&gt;Teams!$C$80,MOD(Y$4-Teams!$C$80,MAX(1,ROUND(Params!$D$25,0)))=0),(Params!$D$26+Params!$D$17*Params!$D$16)*Org!$B$10,0)</f>
        <v>0</v>
      </c>
      <c r="Z21" s="44">
        <f>Z$5*IF(AND(Z$4&gt;Teams!$C$80,MOD(Z$4-Teams!$C$80,MAX(1,ROUND(Params!$D$25,0)))=0),(Params!$D$26+Params!$D$17*Params!$D$16)*Org!$B$10,0)</f>
        <v>0</v>
      </c>
      <c r="AA21" s="44">
        <f>AA$5*IF(AND(AA$4&gt;Teams!$C$80,MOD(AA$4-Teams!$C$80,MAX(1,ROUND(Params!$D$25,0)))=0),(Params!$D$26+Params!$D$17*Params!$D$16)*Org!$B$10,0)</f>
        <v>0</v>
      </c>
      <c r="AB21" s="44">
        <f>AB$5*IF(AND(AB$4&gt;Teams!$C$80,MOD(AB$4-Teams!$C$80,MAX(1,ROUND(Params!$D$25,0)))=0),(Params!$D$26+Params!$D$17*Params!$D$16)*Org!$B$10,0)</f>
        <v>0</v>
      </c>
      <c r="AC21" s="44">
        <f>AC$5*IF(AND(AC$4&gt;Teams!$C$80,MOD(AC$4-Teams!$C$80,MAX(1,ROUND(Params!$D$25,0)))=0),(Params!$D$26+Params!$D$17*Params!$D$16)*Org!$B$10,0)</f>
        <v>0</v>
      </c>
      <c r="AD21" s="44">
        <f>AD$5*IF(AND(AD$4&gt;Teams!$C$80,MOD(AD$4-Teams!$C$80,MAX(1,ROUND(Params!$D$25,0)))=0),(Params!$D$26+Params!$D$17*Params!$D$16)*Org!$B$10,0)</f>
        <v>1760.0000000000002</v>
      </c>
      <c r="AE21" s="44">
        <f>AE$5*IF(AND(AE$4&gt;Teams!$C$80,MOD(AE$4-Teams!$C$80,MAX(1,ROUND(Params!$D$25,0)))=0),(Params!$D$26+Params!$D$17*Params!$D$16)*Org!$B$10,0)</f>
        <v>0</v>
      </c>
      <c r="AF21" s="44">
        <f>AF$5*IF(AND(AF$4&gt;Teams!$C$80,MOD(AF$4-Teams!$C$80,MAX(1,ROUND(Params!$D$25,0)))=0),(Params!$D$26+Params!$D$17*Params!$D$16)*Org!$B$10,0)</f>
        <v>0</v>
      </c>
      <c r="AG21" s="44">
        <f>AG$5*IF(AND(AG$4&gt;Teams!$C$80,MOD(AG$4-Teams!$C$80,MAX(1,ROUND(Params!$D$25,0)))=0),(Params!$D$26+Params!$D$17*Params!$D$16)*Org!$B$10,0)</f>
        <v>0</v>
      </c>
      <c r="AH21" s="44">
        <f>AH$5*IF(AND(AH$4&gt;Teams!$C$80,MOD(AH$4-Teams!$C$80,MAX(1,ROUND(Params!$D$25,0)))=0),(Params!$D$26+Params!$D$17*Params!$D$16)*Org!$B$10,0)</f>
        <v>0</v>
      </c>
      <c r="AI21" s="44">
        <f>AI$5*IF(AND(AI$4&gt;Teams!$C$80,MOD(AI$4-Teams!$C$80,MAX(1,ROUND(Params!$D$25,0)))=0),(Params!$D$26+Params!$D$17*Params!$D$16)*Org!$B$10,0)</f>
        <v>0</v>
      </c>
      <c r="AJ21" s="44">
        <f>AJ$5*IF(AND(AJ$4&gt;Teams!$C$80,MOD(AJ$4-Teams!$C$80,MAX(1,ROUND(Params!$D$25,0)))=0),(Params!$D$26+Params!$D$17*Params!$D$16)*Org!$B$10,0)</f>
        <v>0</v>
      </c>
      <c r="AK21" s="44">
        <f>AK$5*IF(AND(AK$4&gt;Teams!$C$80,MOD(AK$4-Teams!$C$80,MAX(1,ROUND(Params!$D$25,0)))=0),(Params!$D$26+Params!$D$17*Params!$D$16)*Org!$B$10,0)</f>
        <v>0</v>
      </c>
      <c r="AL21" s="44">
        <f>AL$5*IF(AND(AL$4&gt;Teams!$C$80,MOD(AL$4-Teams!$C$80,MAX(1,ROUND(Params!$D$25,0)))=0),(Params!$D$26+Params!$D$17*Params!$D$16)*Org!$B$10,0)</f>
        <v>0</v>
      </c>
      <c r="AM21" s="44">
        <f>AM$5*IF(AND(AM$4&gt;Teams!$C$80,MOD(AM$4-Teams!$C$80,MAX(1,ROUND(Params!$D$25,0)))=0),(Params!$D$26+Params!$D$17*Params!$D$16)*Org!$B$10,0)</f>
        <v>0</v>
      </c>
      <c r="AN21" s="44">
        <f>AN$5*IF(AND(AN$4&gt;Teams!$C$80,MOD(AN$4-Teams!$C$80,MAX(1,ROUND(Params!$D$25,0)))=0),(Params!$D$26+Params!$D$17*Params!$D$16)*Org!$B$10,0)</f>
        <v>0</v>
      </c>
      <c r="AO21" s="44">
        <f>AO$5*IF(AND(AO$4&gt;Teams!$C$80,MOD(AO$4-Teams!$C$80,MAX(1,ROUND(Params!$D$25,0)))=0),(Params!$D$26+Params!$D$17*Params!$D$16)*Org!$B$10,0)</f>
        <v>0</v>
      </c>
      <c r="AP21" s="44">
        <f>AP$5*IF(AND(AP$4&gt;Teams!$C$80,MOD(AP$4-Teams!$C$80,MAX(1,ROUND(Params!$D$25,0)))=0),(Params!$D$26+Params!$D$17*Params!$D$16)*Org!$B$10,0)</f>
        <v>0</v>
      </c>
      <c r="AQ21" s="44">
        <f>AQ$5*IF(AND(AQ$4&gt;Teams!$C$80,MOD(AQ$4-Teams!$C$80,MAX(1,ROUND(Params!$D$25,0)))=0),(Params!$D$26+Params!$D$17*Params!$D$16)*Org!$B$10,0)</f>
        <v>0</v>
      </c>
      <c r="AR21" s="44">
        <f>AR$5*IF(AND(AR$4&gt;Teams!$C$80,MOD(AR$4-Teams!$C$80,MAX(1,ROUND(Params!$D$25,0)))=0),(Params!$D$26+Params!$D$17*Params!$D$16)*Org!$B$10,0)</f>
        <v>0</v>
      </c>
      <c r="AS21" s="44">
        <f>AS$5*IF(AND(AS$4&gt;Teams!$C$80,MOD(AS$4-Teams!$C$80,MAX(1,ROUND(Params!$D$25,0)))=0),(Params!$D$26+Params!$D$17*Params!$D$16)*Org!$B$10,0)</f>
        <v>0</v>
      </c>
      <c r="AT21" s="44">
        <f>AT$5*IF(AND(AT$4&gt;Teams!$C$80,MOD(AT$4-Teams!$C$80,MAX(1,ROUND(Params!$D$25,0)))=0),(Params!$D$26+Params!$D$17*Params!$D$16)*Org!$B$10,0)</f>
        <v>0</v>
      </c>
      <c r="AU21" s="44">
        <f>AU$5*IF(AND(AU$4&gt;Teams!$C$80,MOD(AU$4-Teams!$C$80,MAX(1,ROUND(Params!$D$25,0)))=0),(Params!$D$26+Params!$D$17*Params!$D$16)*Org!$B$10,0)</f>
        <v>0</v>
      </c>
      <c r="AV21" s="44">
        <f>AV$5*IF(AND(AV$4&gt;Teams!$C$80,MOD(AV$4-Teams!$C$80,MAX(1,ROUND(Params!$D$25,0)))=0),(Params!$D$26+Params!$D$17*Params!$D$16)*Org!$B$10,0)</f>
        <v>0</v>
      </c>
      <c r="AW21" s="44">
        <f>AW$5*IF(AND(AW$4&gt;Teams!$C$80,MOD(AW$4-Teams!$C$80,MAX(1,ROUND(Params!$D$25,0)))=0),(Params!$D$26+Params!$D$17*Params!$D$16)*Org!$B$10,0)</f>
        <v>0</v>
      </c>
      <c r="AX21" s="44">
        <f>AX$5*IF(AND(AX$4&gt;Teams!$C$80,MOD(AX$4-Teams!$C$80,MAX(1,ROUND(Params!$D$25,0)))=0),(Params!$D$26+Params!$D$17*Params!$D$16)*Org!$B$10,0)</f>
        <v>0</v>
      </c>
      <c r="AY21" s="44">
        <f>AY$5*IF(AND(AY$4&gt;Teams!$C$80,MOD(AY$4-Teams!$C$80,MAX(1,ROUND(Params!$D$25,0)))=0),(Params!$D$26+Params!$D$17*Params!$D$16)*Org!$B$10,0)</f>
        <v>0</v>
      </c>
      <c r="AZ21" s="44">
        <f>AZ$5*IF(AND(AZ$4&gt;Teams!$C$80,MOD(AZ$4-Teams!$C$80,MAX(1,ROUND(Params!$D$25,0)))=0),(Params!$D$26+Params!$D$17*Params!$D$16)*Org!$B$10,0)</f>
        <v>0</v>
      </c>
      <c r="BA21" s="44">
        <f>BA$5*IF(AND(BA$4&gt;Teams!$C$80,MOD(BA$4-Teams!$C$80,MAX(1,ROUND(Params!$D$25,0)))=0),(Params!$D$26+Params!$D$17*Params!$D$16)*Org!$B$10,0)</f>
        <v>0</v>
      </c>
      <c r="BB21" s="44">
        <f>BB$5*IF(AND(BB$4&gt;Teams!$C$80,MOD(BB$4-Teams!$C$80,MAX(1,ROUND(Params!$D$25,0)))=0),(Params!$D$26+Params!$D$17*Params!$D$16)*Org!$B$10,0)</f>
        <v>0</v>
      </c>
      <c r="BC21" s="44">
        <f>BC$5*IF(AND(BC$4&gt;Teams!$C$80,MOD(BC$4-Teams!$C$80,MAX(1,ROUND(Params!$D$25,0)))=0),(Params!$D$26+Params!$D$17*Params!$D$16)*Org!$B$10,0)</f>
        <v>0</v>
      </c>
      <c r="BD21" s="44">
        <f>BD$5*IF(AND(BD$4&gt;Teams!$C$80,MOD(BD$4-Teams!$C$80,MAX(1,ROUND(Params!$D$25,0)))=0),(Params!$D$26+Params!$D$17*Params!$D$16)*Org!$B$10,0)</f>
        <v>0</v>
      </c>
      <c r="BE21" s="44">
        <f>BE$5*IF(AND(BE$4&gt;Teams!$C$80,MOD(BE$4-Teams!$C$80,MAX(1,ROUND(Params!$D$25,0)))=0),(Params!$D$26+Params!$D$17*Params!$D$16)*Org!$B$10,0)</f>
        <v>0</v>
      </c>
      <c r="BF21" s="44">
        <f>BF$5*IF(AND(BF$4&gt;Teams!$C$80,MOD(BF$4-Teams!$C$80,MAX(1,ROUND(Params!$D$25,0)))=0),(Params!$D$26+Params!$D$17*Params!$D$16)*Org!$B$10,0)</f>
        <v>0</v>
      </c>
      <c r="BG21" s="44">
        <f>BG$5*IF(AND(BG$4&gt;Teams!$C$80,MOD(BG$4-Teams!$C$80,MAX(1,ROUND(Params!$D$25,0)))=0),(Params!$D$26+Params!$D$17*Params!$D$16)*Org!$B$10,0)</f>
        <v>0</v>
      </c>
      <c r="BH21" s="44">
        <f>BH$5*IF(AND(BH$4&gt;Teams!$C$80,MOD(BH$4-Teams!$C$80,MAX(1,ROUND(Params!$D$25,0)))=0),(Params!$D$26+Params!$D$17*Params!$D$16)*Org!$B$10,0)</f>
        <v>0</v>
      </c>
      <c r="BI21" s="44">
        <f>BI$5*IF(AND(BI$4&gt;Teams!$C$80,MOD(BI$4-Teams!$C$80,MAX(1,ROUND(Params!$D$25,0)))=0),(Params!$D$26+Params!$D$17*Params!$D$16)*Org!$B$10,0)</f>
        <v>0</v>
      </c>
      <c r="BJ21" s="44">
        <f>BJ$5*IF(AND(BJ$4&gt;Teams!$C$80,MOD(BJ$4-Teams!$C$80,MAX(1,ROUND(Params!$D$25,0)))=0),(Params!$D$26+Params!$D$17*Params!$D$16)*Org!$B$10,0)</f>
        <v>0</v>
      </c>
      <c r="BK21" s="44">
        <f>BK$5*IF(AND(BK$4&gt;Teams!$C$80,MOD(BK$4-Teams!$C$80,MAX(1,ROUND(Params!$D$25,0)))=0),(Params!$D$26+Params!$D$17*Params!$D$16)*Org!$B$10,0)</f>
        <v>0</v>
      </c>
      <c r="BL21" s="44">
        <f>BL$5*IF(AND(BL$4&gt;Teams!$C$80,MOD(BL$4-Teams!$C$80,MAX(1,ROUND(Params!$D$25,0)))=0),(Params!$D$26+Params!$D$17*Params!$D$16)*Org!$B$10,0)</f>
        <v>0</v>
      </c>
    </row>
    <row r="22" spans="1:64" x14ac:dyDescent="0.3">
      <c r="A22" s="8" t="s">
        <v>674</v>
      </c>
      <c r="B22" s="18" t="s">
        <v>604</v>
      </c>
      <c r="C22" s="44">
        <f t="shared" si="2"/>
        <v>141373.35000000009</v>
      </c>
      <c r="E22" s="44">
        <f>E$5*E12*MIN(1,Teams!$C$41*Params!$D$35)*Params!$D$36/60*Teams!$C$42</f>
        <v>312.60000000000002</v>
      </c>
      <c r="F22" s="44">
        <f>F$5*F12*MIN(1,Teams!$C$41*Params!$D$35)*Params!$D$36/60*Teams!$C$42</f>
        <v>1094.0999999999999</v>
      </c>
      <c r="G22" s="44">
        <f>G$5*G12*MIN(1,Teams!$C$41*Params!$D$35)*Params!$D$36/60*Teams!$C$42</f>
        <v>2110.0500000000002</v>
      </c>
      <c r="H22" s="44">
        <f>H$5*H12*MIN(1,Teams!$C$41*Params!$D$35)*Params!$D$36/60*Teams!$C$42</f>
        <v>3126.0000000000005</v>
      </c>
      <c r="I22" s="44">
        <f>I$5*I12*MIN(1,Teams!$C$41*Params!$D$35)*Params!$D$36/60*Teams!$C$42</f>
        <v>3907.5000000000005</v>
      </c>
      <c r="J22" s="44">
        <f>J$5*J12*MIN(1,Teams!$C$41*Params!$D$35)*Params!$D$36/60*Teams!$C$42</f>
        <v>4220.1000000000004</v>
      </c>
      <c r="K22" s="44">
        <f>K$5*K12*MIN(1,Teams!$C$41*Params!$D$35)*Params!$D$36/60*Teams!$C$42</f>
        <v>4220.1000000000004</v>
      </c>
      <c r="L22" s="44">
        <f>L$5*L12*MIN(1,Teams!$C$41*Params!$D$35)*Params!$D$36/60*Teams!$C$42</f>
        <v>4220.1000000000004</v>
      </c>
      <c r="M22" s="44">
        <f>M$5*M12*MIN(1,Teams!$C$41*Params!$D$35)*Params!$D$36/60*Teams!$C$42</f>
        <v>4220.1000000000004</v>
      </c>
      <c r="N22" s="44">
        <f>N$5*N12*MIN(1,Teams!$C$41*Params!$D$35)*Params!$D$36/60*Teams!$C$42</f>
        <v>4220.1000000000004</v>
      </c>
      <c r="O22" s="44">
        <f>O$5*O12*MIN(1,Teams!$C$41*Params!$D$35)*Params!$D$36/60*Teams!$C$42</f>
        <v>4220.1000000000004</v>
      </c>
      <c r="P22" s="44">
        <f>P$5*P12*MIN(1,Teams!$C$41*Params!$D$35)*Params!$D$36/60*Teams!$C$42</f>
        <v>4220.1000000000004</v>
      </c>
      <c r="Q22" s="44">
        <f>Q$5*Q12*MIN(1,Teams!$C$41*Params!$D$35)*Params!$D$36/60*Teams!$C$42</f>
        <v>4220.1000000000004</v>
      </c>
      <c r="R22" s="44">
        <f>R$5*R12*MIN(1,Teams!$C$41*Params!$D$35)*Params!$D$36/60*Teams!$C$42</f>
        <v>4220.1000000000004</v>
      </c>
      <c r="S22" s="44">
        <f>S$5*S12*MIN(1,Teams!$C$41*Params!$D$35)*Params!$D$36/60*Teams!$C$42</f>
        <v>4220.1000000000004</v>
      </c>
      <c r="T22" s="44">
        <f>T$5*T12*MIN(1,Teams!$C$41*Params!$D$35)*Params!$D$36/60*Teams!$C$42</f>
        <v>4220.1000000000004</v>
      </c>
      <c r="U22" s="44">
        <f>U$5*U12*MIN(1,Teams!$C$41*Params!$D$35)*Params!$D$36/60*Teams!$C$42</f>
        <v>4220.1000000000004</v>
      </c>
      <c r="V22" s="44">
        <f>V$5*V12*MIN(1,Teams!$C$41*Params!$D$35)*Params!$D$36/60*Teams!$C$42</f>
        <v>4220.1000000000004</v>
      </c>
      <c r="W22" s="44">
        <f>W$5*W12*MIN(1,Teams!$C$41*Params!$D$35)*Params!$D$36/60*Teams!$C$42</f>
        <v>4220.1000000000004</v>
      </c>
      <c r="X22" s="44">
        <f>X$5*X12*MIN(1,Teams!$C$41*Params!$D$35)*Params!$D$36/60*Teams!$C$42</f>
        <v>4220.1000000000004</v>
      </c>
      <c r="Y22" s="44">
        <f>Y$5*Y12*MIN(1,Teams!$C$41*Params!$D$35)*Params!$D$36/60*Teams!$C$42</f>
        <v>4220.1000000000004</v>
      </c>
      <c r="Z22" s="44">
        <f>Z$5*Z12*MIN(1,Teams!$C$41*Params!$D$35)*Params!$D$36/60*Teams!$C$42</f>
        <v>4220.1000000000004</v>
      </c>
      <c r="AA22" s="44">
        <f>AA$5*AA12*MIN(1,Teams!$C$41*Params!$D$35)*Params!$D$36/60*Teams!$C$42</f>
        <v>4220.1000000000004</v>
      </c>
      <c r="AB22" s="44">
        <f>AB$5*AB12*MIN(1,Teams!$C$41*Params!$D$35)*Params!$D$36/60*Teams!$C$42</f>
        <v>4220.1000000000004</v>
      </c>
      <c r="AC22" s="44">
        <f>AC$5*AC12*MIN(1,Teams!$C$41*Params!$D$35)*Params!$D$36/60*Teams!$C$42</f>
        <v>4220.1000000000004</v>
      </c>
      <c r="AD22" s="44">
        <f>AD$5*AD12*MIN(1,Teams!$C$41*Params!$D$35)*Params!$D$36/60*Teams!$C$42</f>
        <v>4220.1000000000004</v>
      </c>
      <c r="AE22" s="44">
        <f>AE$5*AE12*MIN(1,Teams!$C$41*Params!$D$35)*Params!$D$36/60*Teams!$C$42</f>
        <v>4220.1000000000004</v>
      </c>
      <c r="AF22" s="44">
        <f>AF$5*AF12*MIN(1,Teams!$C$41*Params!$D$35)*Params!$D$36/60*Teams!$C$42</f>
        <v>4220.1000000000004</v>
      </c>
      <c r="AG22" s="44">
        <f>AG$5*AG12*MIN(1,Teams!$C$41*Params!$D$35)*Params!$D$36/60*Teams!$C$42</f>
        <v>4220.1000000000004</v>
      </c>
      <c r="AH22" s="44">
        <f>AH$5*AH12*MIN(1,Teams!$C$41*Params!$D$35)*Params!$D$36/60*Teams!$C$42</f>
        <v>4220.1000000000004</v>
      </c>
      <c r="AI22" s="44">
        <f>AI$5*AI12*MIN(1,Teams!$C$41*Params!$D$35)*Params!$D$36/60*Teams!$C$42</f>
        <v>4220.1000000000004</v>
      </c>
      <c r="AJ22" s="44">
        <f>AJ$5*AJ12*MIN(1,Teams!$C$41*Params!$D$35)*Params!$D$36/60*Teams!$C$42</f>
        <v>4220.1000000000004</v>
      </c>
      <c r="AK22" s="44">
        <f>AK$5*AK12*MIN(1,Teams!$C$41*Params!$D$35)*Params!$D$36/60*Teams!$C$42</f>
        <v>4220.1000000000004</v>
      </c>
      <c r="AL22" s="44">
        <f>AL$5*AL12*MIN(1,Teams!$C$41*Params!$D$35)*Params!$D$36/60*Teams!$C$42</f>
        <v>4220.1000000000004</v>
      </c>
      <c r="AM22" s="44">
        <f>AM$5*AM12*MIN(1,Teams!$C$41*Params!$D$35)*Params!$D$36/60*Teams!$C$42</f>
        <v>4220.1000000000004</v>
      </c>
      <c r="AN22" s="44">
        <f>AN$5*AN12*MIN(1,Teams!$C$41*Params!$D$35)*Params!$D$36/60*Teams!$C$42</f>
        <v>4220.1000000000004</v>
      </c>
      <c r="AO22" s="44">
        <f>AO$5*AO12*MIN(1,Teams!$C$41*Params!$D$35)*Params!$D$36/60*Teams!$C$42</f>
        <v>0</v>
      </c>
      <c r="AP22" s="44">
        <f>AP$5*AP12*MIN(1,Teams!$C$41*Params!$D$35)*Params!$D$36/60*Teams!$C$42</f>
        <v>0</v>
      </c>
      <c r="AQ22" s="44">
        <f>AQ$5*AQ12*MIN(1,Teams!$C$41*Params!$D$35)*Params!$D$36/60*Teams!$C$42</f>
        <v>0</v>
      </c>
      <c r="AR22" s="44">
        <f>AR$5*AR12*MIN(1,Teams!$C$41*Params!$D$35)*Params!$D$36/60*Teams!$C$42</f>
        <v>0</v>
      </c>
      <c r="AS22" s="44">
        <f>AS$5*AS12*MIN(1,Teams!$C$41*Params!$D$35)*Params!$D$36/60*Teams!$C$42</f>
        <v>0</v>
      </c>
      <c r="AT22" s="44">
        <f>AT$5*AT12*MIN(1,Teams!$C$41*Params!$D$35)*Params!$D$36/60*Teams!$C$42</f>
        <v>0</v>
      </c>
      <c r="AU22" s="44">
        <f>AU$5*AU12*MIN(1,Teams!$C$41*Params!$D$35)*Params!$D$36/60*Teams!$C$42</f>
        <v>0</v>
      </c>
      <c r="AV22" s="44">
        <f>AV$5*AV12*MIN(1,Teams!$C$41*Params!$D$35)*Params!$D$36/60*Teams!$C$42</f>
        <v>0</v>
      </c>
      <c r="AW22" s="44">
        <f>AW$5*AW12*MIN(1,Teams!$C$41*Params!$D$35)*Params!$D$36/60*Teams!$C$42</f>
        <v>0</v>
      </c>
      <c r="AX22" s="44">
        <f>AX$5*AX12*MIN(1,Teams!$C$41*Params!$D$35)*Params!$D$36/60*Teams!$C$42</f>
        <v>0</v>
      </c>
      <c r="AY22" s="44">
        <f>AY$5*AY12*MIN(1,Teams!$C$41*Params!$D$35)*Params!$D$36/60*Teams!$C$42</f>
        <v>0</v>
      </c>
      <c r="AZ22" s="44">
        <f>AZ$5*AZ12*MIN(1,Teams!$C$41*Params!$D$35)*Params!$D$36/60*Teams!$C$42</f>
        <v>0</v>
      </c>
      <c r="BA22" s="44">
        <f>BA$5*BA12*MIN(1,Teams!$C$41*Params!$D$35)*Params!$D$36/60*Teams!$C$42</f>
        <v>0</v>
      </c>
      <c r="BB22" s="44">
        <f>BB$5*BB12*MIN(1,Teams!$C$41*Params!$D$35)*Params!$D$36/60*Teams!$C$42</f>
        <v>0</v>
      </c>
      <c r="BC22" s="44">
        <f>BC$5*BC12*MIN(1,Teams!$C$41*Params!$D$35)*Params!$D$36/60*Teams!$C$42</f>
        <v>0</v>
      </c>
      <c r="BD22" s="44">
        <f>BD$5*BD12*MIN(1,Teams!$C$41*Params!$D$35)*Params!$D$36/60*Teams!$C$42</f>
        <v>0</v>
      </c>
      <c r="BE22" s="44">
        <f>BE$5*BE12*MIN(1,Teams!$C$41*Params!$D$35)*Params!$D$36/60*Teams!$C$42</f>
        <v>0</v>
      </c>
      <c r="BF22" s="44">
        <f>BF$5*BF12*MIN(1,Teams!$C$41*Params!$D$35)*Params!$D$36/60*Teams!$C$42</f>
        <v>0</v>
      </c>
      <c r="BG22" s="44">
        <f>BG$5*BG12*MIN(1,Teams!$C$41*Params!$D$35)*Params!$D$36/60*Teams!$C$42</f>
        <v>0</v>
      </c>
      <c r="BH22" s="44">
        <f>BH$5*BH12*MIN(1,Teams!$C$41*Params!$D$35)*Params!$D$36/60*Teams!$C$42</f>
        <v>0</v>
      </c>
      <c r="BI22" s="44">
        <f>BI$5*BI12*MIN(1,Teams!$C$41*Params!$D$35)*Params!$D$36/60*Teams!$C$42</f>
        <v>0</v>
      </c>
      <c r="BJ22" s="44">
        <f>BJ$5*BJ12*MIN(1,Teams!$C$41*Params!$D$35)*Params!$D$36/60*Teams!$C$42</f>
        <v>0</v>
      </c>
      <c r="BK22" s="44">
        <f>BK$5*BK12*MIN(1,Teams!$C$41*Params!$D$35)*Params!$D$36/60*Teams!$C$42</f>
        <v>0</v>
      </c>
      <c r="BL22" s="44">
        <f>BL$5*BL12*MIN(1,Teams!$C$41*Params!$D$35)*Params!$D$36/60*Teams!$C$42</f>
        <v>0</v>
      </c>
    </row>
    <row r="23" spans="1:64" x14ac:dyDescent="0.3">
      <c r="A23" s="8" t="s">
        <v>675</v>
      </c>
      <c r="B23" s="18" t="s">
        <v>169</v>
      </c>
      <c r="C23" s="44">
        <f t="shared" si="2"/>
        <v>132000</v>
      </c>
      <c r="E23" s="44">
        <f>E$5*IF(E$4&gt;=Teams!$C$80,E10/1000*IF(E$4-Teams!$C$80&lt;6,Params!$D$37,Params!$D$38)*Org!$B$10*Org!$B$12/12,0)</f>
        <v>11000</v>
      </c>
      <c r="F23" s="44">
        <f>F$5*IF(F$4&gt;=Teams!$C$80,F10/1000*IF(F$4-Teams!$C$80&lt;6,Params!$D$37,Params!$D$38)*Org!$B$10*Org!$B$12/12,0)</f>
        <v>11000</v>
      </c>
      <c r="G23" s="44">
        <f>G$5*IF(G$4&gt;=Teams!$C$80,G10/1000*IF(G$4-Teams!$C$80&lt;6,Params!$D$37,Params!$D$38)*Org!$B$10*Org!$B$12/12,0)</f>
        <v>11000</v>
      </c>
      <c r="H23" s="44">
        <f>H$5*IF(H$4&gt;=Teams!$C$80,H10/1000*IF(H$4-Teams!$C$80&lt;6,Params!$D$37,Params!$D$38)*Org!$B$10*Org!$B$12/12,0)</f>
        <v>11000</v>
      </c>
      <c r="I23" s="44">
        <f>I$5*IF(I$4&gt;=Teams!$C$80,I10/1000*IF(I$4-Teams!$C$80&lt;6,Params!$D$37,Params!$D$38)*Org!$B$10*Org!$B$12/12,0)</f>
        <v>11000</v>
      </c>
      <c r="J23" s="44">
        <f>J$5*IF(J$4&gt;=Teams!$C$80,J10/1000*IF(J$4-Teams!$C$80&lt;6,Params!$D$37,Params!$D$38)*Org!$B$10*Org!$B$12/12,0)</f>
        <v>11000</v>
      </c>
      <c r="K23" s="44">
        <f>K$5*IF(K$4&gt;=Teams!$C$80,K10/1000*IF(K$4-Teams!$C$80&lt;6,Params!$D$37,Params!$D$38)*Org!$B$10*Org!$B$12/12,0)</f>
        <v>2200.0000000000005</v>
      </c>
      <c r="L23" s="44">
        <f>L$5*IF(L$4&gt;=Teams!$C$80,L10/1000*IF(L$4-Teams!$C$80&lt;6,Params!$D$37,Params!$D$38)*Org!$B$10*Org!$B$12/12,0)</f>
        <v>2200.0000000000005</v>
      </c>
      <c r="M23" s="44">
        <f>M$5*IF(M$4&gt;=Teams!$C$80,M10/1000*IF(M$4-Teams!$C$80&lt;6,Params!$D$37,Params!$D$38)*Org!$B$10*Org!$B$12/12,0)</f>
        <v>2200.0000000000005</v>
      </c>
      <c r="N23" s="44">
        <f>N$5*IF(N$4&gt;=Teams!$C$80,N10/1000*IF(N$4-Teams!$C$80&lt;6,Params!$D$37,Params!$D$38)*Org!$B$10*Org!$B$12/12,0)</f>
        <v>2200.0000000000005</v>
      </c>
      <c r="O23" s="44">
        <f>O$5*IF(O$4&gt;=Teams!$C$80,O10/1000*IF(O$4-Teams!$C$80&lt;6,Params!$D$37,Params!$D$38)*Org!$B$10*Org!$B$12/12,0)</f>
        <v>2200.0000000000005</v>
      </c>
      <c r="P23" s="44">
        <f>P$5*IF(P$4&gt;=Teams!$C$80,P10/1000*IF(P$4-Teams!$C$80&lt;6,Params!$D$37,Params!$D$38)*Org!$B$10*Org!$B$12/12,0)</f>
        <v>2200.0000000000005</v>
      </c>
      <c r="Q23" s="44">
        <f>Q$5*IF(Q$4&gt;=Teams!$C$80,Q10/1000*IF(Q$4-Teams!$C$80&lt;6,Params!$D$37,Params!$D$38)*Org!$B$10*Org!$B$12/12,0)</f>
        <v>2200.0000000000005</v>
      </c>
      <c r="R23" s="44">
        <f>R$5*IF(R$4&gt;=Teams!$C$80,R10/1000*IF(R$4-Teams!$C$80&lt;6,Params!$D$37,Params!$D$38)*Org!$B$10*Org!$B$12/12,0)</f>
        <v>2200.0000000000005</v>
      </c>
      <c r="S23" s="44">
        <f>S$5*IF(S$4&gt;=Teams!$C$80,S10/1000*IF(S$4-Teams!$C$80&lt;6,Params!$D$37,Params!$D$38)*Org!$B$10*Org!$B$12/12,0)</f>
        <v>2200.0000000000005</v>
      </c>
      <c r="T23" s="44">
        <f>T$5*IF(T$4&gt;=Teams!$C$80,T10/1000*IF(T$4-Teams!$C$80&lt;6,Params!$D$37,Params!$D$38)*Org!$B$10*Org!$B$12/12,0)</f>
        <v>2200.0000000000005</v>
      </c>
      <c r="U23" s="44">
        <f>U$5*IF(U$4&gt;=Teams!$C$80,U10/1000*IF(U$4-Teams!$C$80&lt;6,Params!$D$37,Params!$D$38)*Org!$B$10*Org!$B$12/12,0)</f>
        <v>2200.0000000000005</v>
      </c>
      <c r="V23" s="44">
        <f>V$5*IF(V$4&gt;=Teams!$C$80,V10/1000*IF(V$4-Teams!$C$80&lt;6,Params!$D$37,Params!$D$38)*Org!$B$10*Org!$B$12/12,0)</f>
        <v>2200.0000000000005</v>
      </c>
      <c r="W23" s="44">
        <f>W$5*IF(W$4&gt;=Teams!$C$80,W10/1000*IF(W$4-Teams!$C$80&lt;6,Params!$D$37,Params!$D$38)*Org!$B$10*Org!$B$12/12,0)</f>
        <v>2200.0000000000005</v>
      </c>
      <c r="X23" s="44">
        <f>X$5*IF(X$4&gt;=Teams!$C$80,X10/1000*IF(X$4-Teams!$C$80&lt;6,Params!$D$37,Params!$D$38)*Org!$B$10*Org!$B$12/12,0)</f>
        <v>2200.0000000000005</v>
      </c>
      <c r="Y23" s="44">
        <f>Y$5*IF(Y$4&gt;=Teams!$C$80,Y10/1000*IF(Y$4-Teams!$C$80&lt;6,Params!$D$37,Params!$D$38)*Org!$B$10*Org!$B$12/12,0)</f>
        <v>2200.0000000000005</v>
      </c>
      <c r="Z23" s="44">
        <f>Z$5*IF(Z$4&gt;=Teams!$C$80,Z10/1000*IF(Z$4-Teams!$C$80&lt;6,Params!$D$37,Params!$D$38)*Org!$B$10*Org!$B$12/12,0)</f>
        <v>2200.0000000000005</v>
      </c>
      <c r="AA23" s="44">
        <f>AA$5*IF(AA$4&gt;=Teams!$C$80,AA10/1000*IF(AA$4-Teams!$C$80&lt;6,Params!$D$37,Params!$D$38)*Org!$B$10*Org!$B$12/12,0)</f>
        <v>2200.0000000000005</v>
      </c>
      <c r="AB23" s="44">
        <f>AB$5*IF(AB$4&gt;=Teams!$C$80,AB10/1000*IF(AB$4-Teams!$C$80&lt;6,Params!$D$37,Params!$D$38)*Org!$B$10*Org!$B$12/12,0)</f>
        <v>2200.0000000000005</v>
      </c>
      <c r="AC23" s="44">
        <f>AC$5*IF(AC$4&gt;=Teams!$C$80,AC10/1000*IF(AC$4-Teams!$C$80&lt;6,Params!$D$37,Params!$D$38)*Org!$B$10*Org!$B$12/12,0)</f>
        <v>2200.0000000000005</v>
      </c>
      <c r="AD23" s="44">
        <f>AD$5*IF(AD$4&gt;=Teams!$C$80,AD10/1000*IF(AD$4-Teams!$C$80&lt;6,Params!$D$37,Params!$D$38)*Org!$B$10*Org!$B$12/12,0)</f>
        <v>2200.0000000000005</v>
      </c>
      <c r="AE23" s="44">
        <f>AE$5*IF(AE$4&gt;=Teams!$C$80,AE10/1000*IF(AE$4-Teams!$C$80&lt;6,Params!$D$37,Params!$D$38)*Org!$B$10*Org!$B$12/12,0)</f>
        <v>2200.0000000000005</v>
      </c>
      <c r="AF23" s="44">
        <f>AF$5*IF(AF$4&gt;=Teams!$C$80,AF10/1000*IF(AF$4-Teams!$C$80&lt;6,Params!$D$37,Params!$D$38)*Org!$B$10*Org!$B$12/12,0)</f>
        <v>2200.0000000000005</v>
      </c>
      <c r="AG23" s="44">
        <f>AG$5*IF(AG$4&gt;=Teams!$C$80,AG10/1000*IF(AG$4-Teams!$C$80&lt;6,Params!$D$37,Params!$D$38)*Org!$B$10*Org!$B$12/12,0)</f>
        <v>2200.0000000000005</v>
      </c>
      <c r="AH23" s="44">
        <f>AH$5*IF(AH$4&gt;=Teams!$C$80,AH10/1000*IF(AH$4-Teams!$C$80&lt;6,Params!$D$37,Params!$D$38)*Org!$B$10*Org!$B$12/12,0)</f>
        <v>2200.0000000000005</v>
      </c>
      <c r="AI23" s="44">
        <f>AI$5*IF(AI$4&gt;=Teams!$C$80,AI10/1000*IF(AI$4-Teams!$C$80&lt;6,Params!$D$37,Params!$D$38)*Org!$B$10*Org!$B$12/12,0)</f>
        <v>2200.0000000000005</v>
      </c>
      <c r="AJ23" s="44">
        <f>AJ$5*IF(AJ$4&gt;=Teams!$C$80,AJ10/1000*IF(AJ$4-Teams!$C$80&lt;6,Params!$D$37,Params!$D$38)*Org!$B$10*Org!$B$12/12,0)</f>
        <v>2200.0000000000005</v>
      </c>
      <c r="AK23" s="44">
        <f>AK$5*IF(AK$4&gt;=Teams!$C$80,AK10/1000*IF(AK$4-Teams!$C$80&lt;6,Params!$D$37,Params!$D$38)*Org!$B$10*Org!$B$12/12,0)</f>
        <v>2200.0000000000005</v>
      </c>
      <c r="AL23" s="44">
        <f>AL$5*IF(AL$4&gt;=Teams!$C$80,AL10/1000*IF(AL$4-Teams!$C$80&lt;6,Params!$D$37,Params!$D$38)*Org!$B$10*Org!$B$12/12,0)</f>
        <v>2200.0000000000005</v>
      </c>
      <c r="AM23" s="44">
        <f>AM$5*IF(AM$4&gt;=Teams!$C$80,AM10/1000*IF(AM$4-Teams!$C$80&lt;6,Params!$D$37,Params!$D$38)*Org!$B$10*Org!$B$12/12,0)</f>
        <v>2200.0000000000005</v>
      </c>
      <c r="AN23" s="44">
        <f>AN$5*IF(AN$4&gt;=Teams!$C$80,AN10/1000*IF(AN$4-Teams!$C$80&lt;6,Params!$D$37,Params!$D$38)*Org!$B$10*Org!$B$12/12,0)</f>
        <v>2200.0000000000005</v>
      </c>
      <c r="AO23" s="44">
        <f>AO$5*IF(AO$4&gt;=Teams!$C$80,AO10/1000*IF(AO$4-Teams!$C$80&lt;6,Params!$D$37,Params!$D$38)*Org!$B$10*Org!$B$12/12,0)</f>
        <v>0</v>
      </c>
      <c r="AP23" s="44">
        <f>AP$5*IF(AP$4&gt;=Teams!$C$80,AP10/1000*IF(AP$4-Teams!$C$80&lt;6,Params!$D$37,Params!$D$38)*Org!$B$10*Org!$B$12/12,0)</f>
        <v>0</v>
      </c>
      <c r="AQ23" s="44">
        <f>AQ$5*IF(AQ$4&gt;=Teams!$C$80,AQ10/1000*IF(AQ$4-Teams!$C$80&lt;6,Params!$D$37,Params!$D$38)*Org!$B$10*Org!$B$12/12,0)</f>
        <v>0</v>
      </c>
      <c r="AR23" s="44">
        <f>AR$5*IF(AR$4&gt;=Teams!$C$80,AR10/1000*IF(AR$4-Teams!$C$80&lt;6,Params!$D$37,Params!$D$38)*Org!$B$10*Org!$B$12/12,0)</f>
        <v>0</v>
      </c>
      <c r="AS23" s="44">
        <f>AS$5*IF(AS$4&gt;=Teams!$C$80,AS10/1000*IF(AS$4-Teams!$C$80&lt;6,Params!$D$37,Params!$D$38)*Org!$B$10*Org!$B$12/12,0)</f>
        <v>0</v>
      </c>
      <c r="AT23" s="44">
        <f>AT$5*IF(AT$4&gt;=Teams!$C$80,AT10/1000*IF(AT$4-Teams!$C$80&lt;6,Params!$D$37,Params!$D$38)*Org!$B$10*Org!$B$12/12,0)</f>
        <v>0</v>
      </c>
      <c r="AU23" s="44">
        <f>AU$5*IF(AU$4&gt;=Teams!$C$80,AU10/1000*IF(AU$4-Teams!$C$80&lt;6,Params!$D$37,Params!$D$38)*Org!$B$10*Org!$B$12/12,0)</f>
        <v>0</v>
      </c>
      <c r="AV23" s="44">
        <f>AV$5*IF(AV$4&gt;=Teams!$C$80,AV10/1000*IF(AV$4-Teams!$C$80&lt;6,Params!$D$37,Params!$D$38)*Org!$B$10*Org!$B$12/12,0)</f>
        <v>0</v>
      </c>
      <c r="AW23" s="44">
        <f>AW$5*IF(AW$4&gt;=Teams!$C$80,AW10/1000*IF(AW$4-Teams!$C$80&lt;6,Params!$D$37,Params!$D$38)*Org!$B$10*Org!$B$12/12,0)</f>
        <v>0</v>
      </c>
      <c r="AX23" s="44">
        <f>AX$5*IF(AX$4&gt;=Teams!$C$80,AX10/1000*IF(AX$4-Teams!$C$80&lt;6,Params!$D$37,Params!$D$38)*Org!$B$10*Org!$B$12/12,0)</f>
        <v>0</v>
      </c>
      <c r="AY23" s="44">
        <f>AY$5*IF(AY$4&gt;=Teams!$C$80,AY10/1000*IF(AY$4-Teams!$C$80&lt;6,Params!$D$37,Params!$D$38)*Org!$B$10*Org!$B$12/12,0)</f>
        <v>0</v>
      </c>
      <c r="AZ23" s="44">
        <f>AZ$5*IF(AZ$4&gt;=Teams!$C$80,AZ10/1000*IF(AZ$4-Teams!$C$80&lt;6,Params!$D$37,Params!$D$38)*Org!$B$10*Org!$B$12/12,0)</f>
        <v>0</v>
      </c>
      <c r="BA23" s="44">
        <f>BA$5*IF(BA$4&gt;=Teams!$C$80,BA10/1000*IF(BA$4-Teams!$C$80&lt;6,Params!$D$37,Params!$D$38)*Org!$B$10*Org!$B$12/12,0)</f>
        <v>0</v>
      </c>
      <c r="BB23" s="44">
        <f>BB$5*IF(BB$4&gt;=Teams!$C$80,BB10/1000*IF(BB$4-Teams!$C$80&lt;6,Params!$D$37,Params!$D$38)*Org!$B$10*Org!$B$12/12,0)</f>
        <v>0</v>
      </c>
      <c r="BC23" s="44">
        <f>BC$5*IF(BC$4&gt;=Teams!$C$80,BC10/1000*IF(BC$4-Teams!$C$80&lt;6,Params!$D$37,Params!$D$38)*Org!$B$10*Org!$B$12/12,0)</f>
        <v>0</v>
      </c>
      <c r="BD23" s="44">
        <f>BD$5*IF(BD$4&gt;=Teams!$C$80,BD10/1000*IF(BD$4-Teams!$C$80&lt;6,Params!$D$37,Params!$D$38)*Org!$B$10*Org!$B$12/12,0)</f>
        <v>0</v>
      </c>
      <c r="BE23" s="44">
        <f>BE$5*IF(BE$4&gt;=Teams!$C$80,BE10/1000*IF(BE$4-Teams!$C$80&lt;6,Params!$D$37,Params!$D$38)*Org!$B$10*Org!$B$12/12,0)</f>
        <v>0</v>
      </c>
      <c r="BF23" s="44">
        <f>BF$5*IF(BF$4&gt;=Teams!$C$80,BF10/1000*IF(BF$4-Teams!$C$80&lt;6,Params!$D$37,Params!$D$38)*Org!$B$10*Org!$B$12/12,0)</f>
        <v>0</v>
      </c>
      <c r="BG23" s="44">
        <f>BG$5*IF(BG$4&gt;=Teams!$C$80,BG10/1000*IF(BG$4-Teams!$C$80&lt;6,Params!$D$37,Params!$D$38)*Org!$B$10*Org!$B$12/12,0)</f>
        <v>0</v>
      </c>
      <c r="BH23" s="44">
        <f>BH$5*IF(BH$4&gt;=Teams!$C$80,BH10/1000*IF(BH$4-Teams!$C$80&lt;6,Params!$D$37,Params!$D$38)*Org!$B$10*Org!$B$12/12,0)</f>
        <v>0</v>
      </c>
      <c r="BI23" s="44">
        <f>BI$5*IF(BI$4&gt;=Teams!$C$80,BI10/1000*IF(BI$4-Teams!$C$80&lt;6,Params!$D$37,Params!$D$38)*Org!$B$10*Org!$B$12/12,0)</f>
        <v>0</v>
      </c>
      <c r="BJ23" s="44">
        <f>BJ$5*IF(BJ$4&gt;=Teams!$C$80,BJ10/1000*IF(BJ$4-Teams!$C$80&lt;6,Params!$D$37,Params!$D$38)*Org!$B$10*Org!$B$12/12,0)</f>
        <v>0</v>
      </c>
      <c r="BK23" s="44">
        <f>BK$5*IF(BK$4&gt;=Teams!$C$80,BK10/1000*IF(BK$4-Teams!$C$80&lt;6,Params!$D$37,Params!$D$38)*Org!$B$10*Org!$B$12/12,0)</f>
        <v>0</v>
      </c>
      <c r="BL23" s="44">
        <f>BL$5*IF(BL$4&gt;=Teams!$C$80,BL10/1000*IF(BL$4-Teams!$C$80&lt;6,Params!$D$37,Params!$D$38)*Org!$B$10*Org!$B$12/12,0)</f>
        <v>0</v>
      </c>
    </row>
    <row r="24" spans="1:64" x14ac:dyDescent="0.3">
      <c r="A24" s="8" t="s">
        <v>676</v>
      </c>
      <c r="B24" s="18" t="s">
        <v>169</v>
      </c>
      <c r="C24" s="44">
        <f t="shared" si="2"/>
        <v>15200</v>
      </c>
      <c r="D24" s="44">
        <f>Teams!$C$5*((Teams!$C$43*Params!$D$4+Teams!$C$44/100000*Params!$D$5+Teams!$C$43*Params!$D$6)*Org!$B$10)</f>
        <v>15200</v>
      </c>
    </row>
    <row r="25" spans="1:64" x14ac:dyDescent="0.3">
      <c r="A25" s="8" t="s">
        <v>677</v>
      </c>
      <c r="B25" s="18" t="s">
        <v>435</v>
      </c>
      <c r="C25" s="44">
        <f t="shared" si="2"/>
        <v>157.80000000000001</v>
      </c>
      <c r="D25" s="44">
        <f>Teams!$C$5*(Teams!$C$49*(Teams!$C$44*Teams!$C$45*Teams!$C$75+Teams!$C$44*Teams!$C$47*Teams!$C$76/1000000))</f>
        <v>157.80000000000001</v>
      </c>
    </row>
    <row r="26" spans="1:64" x14ac:dyDescent="0.3">
      <c r="A26" s="8" t="s">
        <v>678</v>
      </c>
      <c r="B26" s="18" t="s">
        <v>169</v>
      </c>
      <c r="C26" s="44">
        <f t="shared" si="2"/>
        <v>18400</v>
      </c>
      <c r="D26" s="44">
        <f>Teams!$C$5*((Params!$D$13+Params!$D$16)*Org!$B$10)</f>
        <v>18400</v>
      </c>
    </row>
    <row r="27" spans="1:64" x14ac:dyDescent="0.3">
      <c r="A27" s="8" t="s">
        <v>679</v>
      </c>
      <c r="B27" s="18" t="s">
        <v>169</v>
      </c>
      <c r="C27" s="44">
        <f t="shared" si="2"/>
        <v>360000</v>
      </c>
      <c r="D27" s="44">
        <f>Teams!$C$5*(Teams!$C$18*Teams!$C$19*Params!$D$34*(Org!$B$10/Org!$B$11))</f>
        <v>360000</v>
      </c>
    </row>
    <row r="28" spans="1:64" x14ac:dyDescent="0.3">
      <c r="A28" s="8" t="s">
        <v>11</v>
      </c>
      <c r="C28" s="44">
        <f t="shared" si="2"/>
        <v>2544720.2999999998</v>
      </c>
      <c r="E28" s="44">
        <f>E$5*E12*Teams!$C$55/60*Teams!$C$56*INDEX(Params!$D$41:$F$41,Org!$B$17)*Teams!$C$57</f>
        <v>5626.7999999999993</v>
      </c>
      <c r="F28" s="44">
        <f>F$5*F12*Teams!$C$55/60*Teams!$C$56*INDEX(Params!$D$41:$F$41,Org!$B$17)*Teams!$C$57</f>
        <v>19693.8</v>
      </c>
      <c r="G28" s="44">
        <f>G$5*G12*Teams!$C$55/60*Teams!$C$56*INDEX(Params!$D$41:$F$41,Org!$B$17)*Teams!$C$57</f>
        <v>37980.9</v>
      </c>
      <c r="H28" s="44">
        <f>H$5*H12*Teams!$C$55/60*Teams!$C$56*INDEX(Params!$D$41:$F$41,Org!$B$17)*Teams!$C$57</f>
        <v>56268</v>
      </c>
      <c r="I28" s="44">
        <f>I$5*I12*Teams!$C$55/60*Teams!$C$56*INDEX(Params!$D$41:$F$41,Org!$B$17)*Teams!$C$57</f>
        <v>70335.000000000015</v>
      </c>
      <c r="J28" s="44">
        <f>J$5*J12*Teams!$C$55/60*Teams!$C$56*INDEX(Params!$D$41:$F$41,Org!$B$17)*Teams!$C$57</f>
        <v>75961.8</v>
      </c>
      <c r="K28" s="44">
        <f>K$5*K12*Teams!$C$55/60*Teams!$C$56*INDEX(Params!$D$41:$F$41,Org!$B$17)*Teams!$C$57</f>
        <v>75961.8</v>
      </c>
      <c r="L28" s="44">
        <f>L$5*L12*Teams!$C$55/60*Teams!$C$56*INDEX(Params!$D$41:$F$41,Org!$B$17)*Teams!$C$57</f>
        <v>75961.8</v>
      </c>
      <c r="M28" s="44">
        <f>M$5*M12*Teams!$C$55/60*Teams!$C$56*INDEX(Params!$D$41:$F$41,Org!$B$17)*Teams!$C$57</f>
        <v>75961.8</v>
      </c>
      <c r="N28" s="44">
        <f>N$5*N12*Teams!$C$55/60*Teams!$C$56*INDEX(Params!$D$41:$F$41,Org!$B$17)*Teams!$C$57</f>
        <v>75961.8</v>
      </c>
      <c r="O28" s="44">
        <f>O$5*O12*Teams!$C$55/60*Teams!$C$56*INDEX(Params!$D$41:$F$41,Org!$B$17)*Teams!$C$57</f>
        <v>75961.8</v>
      </c>
      <c r="P28" s="44">
        <f>P$5*P12*Teams!$C$55/60*Teams!$C$56*INDEX(Params!$D$41:$F$41,Org!$B$17)*Teams!$C$57</f>
        <v>75961.8</v>
      </c>
      <c r="Q28" s="44">
        <f>Q$5*Q12*Teams!$C$55/60*Teams!$C$56*INDEX(Params!$D$41:$F$41,Org!$B$17)*Teams!$C$57</f>
        <v>75961.8</v>
      </c>
      <c r="R28" s="44">
        <f>R$5*R12*Teams!$C$55/60*Teams!$C$56*INDEX(Params!$D$41:$F$41,Org!$B$17)*Teams!$C$57</f>
        <v>75961.8</v>
      </c>
      <c r="S28" s="44">
        <f>S$5*S12*Teams!$C$55/60*Teams!$C$56*INDEX(Params!$D$41:$F$41,Org!$B$17)*Teams!$C$57</f>
        <v>75961.8</v>
      </c>
      <c r="T28" s="44">
        <f>T$5*T12*Teams!$C$55/60*Teams!$C$56*INDEX(Params!$D$41:$F$41,Org!$B$17)*Teams!$C$57</f>
        <v>75961.8</v>
      </c>
      <c r="U28" s="44">
        <f>U$5*U12*Teams!$C$55/60*Teams!$C$56*INDEX(Params!$D$41:$F$41,Org!$B$17)*Teams!$C$57</f>
        <v>75961.8</v>
      </c>
      <c r="V28" s="44">
        <f>V$5*V12*Teams!$C$55/60*Teams!$C$56*INDEX(Params!$D$41:$F$41,Org!$B$17)*Teams!$C$57</f>
        <v>75961.8</v>
      </c>
      <c r="W28" s="44">
        <f>W$5*W12*Teams!$C$55/60*Teams!$C$56*INDEX(Params!$D$41:$F$41,Org!$B$17)*Teams!$C$57</f>
        <v>75961.8</v>
      </c>
      <c r="X28" s="44">
        <f>X$5*X12*Teams!$C$55/60*Teams!$C$56*INDEX(Params!$D$41:$F$41,Org!$B$17)*Teams!$C$57</f>
        <v>75961.8</v>
      </c>
      <c r="Y28" s="44">
        <f>Y$5*Y12*Teams!$C$55/60*Teams!$C$56*INDEX(Params!$D$41:$F$41,Org!$B$17)*Teams!$C$57</f>
        <v>75961.8</v>
      </c>
      <c r="Z28" s="44">
        <f>Z$5*Z12*Teams!$C$55/60*Teams!$C$56*INDEX(Params!$D$41:$F$41,Org!$B$17)*Teams!$C$57</f>
        <v>75961.8</v>
      </c>
      <c r="AA28" s="44">
        <f>AA$5*AA12*Teams!$C$55/60*Teams!$C$56*INDEX(Params!$D$41:$F$41,Org!$B$17)*Teams!$C$57</f>
        <v>75961.8</v>
      </c>
      <c r="AB28" s="44">
        <f>AB$5*AB12*Teams!$C$55/60*Teams!$C$56*INDEX(Params!$D$41:$F$41,Org!$B$17)*Teams!$C$57</f>
        <v>75961.8</v>
      </c>
      <c r="AC28" s="44">
        <f>AC$5*AC12*Teams!$C$55/60*Teams!$C$56*INDEX(Params!$D$41:$F$41,Org!$B$17)*Teams!$C$57</f>
        <v>75961.8</v>
      </c>
      <c r="AD28" s="44">
        <f>AD$5*AD12*Teams!$C$55/60*Teams!$C$56*INDEX(Params!$D$41:$F$41,Org!$B$17)*Teams!$C$57</f>
        <v>75961.8</v>
      </c>
      <c r="AE28" s="44">
        <f>AE$5*AE12*Teams!$C$55/60*Teams!$C$56*INDEX(Params!$D$41:$F$41,Org!$B$17)*Teams!$C$57</f>
        <v>75961.8</v>
      </c>
      <c r="AF28" s="44">
        <f>AF$5*AF12*Teams!$C$55/60*Teams!$C$56*INDEX(Params!$D$41:$F$41,Org!$B$17)*Teams!$C$57</f>
        <v>75961.8</v>
      </c>
      <c r="AG28" s="44">
        <f>AG$5*AG12*Teams!$C$55/60*Teams!$C$56*INDEX(Params!$D$41:$F$41,Org!$B$17)*Teams!$C$57</f>
        <v>75961.8</v>
      </c>
      <c r="AH28" s="44">
        <f>AH$5*AH12*Teams!$C$55/60*Teams!$C$56*INDEX(Params!$D$41:$F$41,Org!$B$17)*Teams!$C$57</f>
        <v>75961.8</v>
      </c>
      <c r="AI28" s="44">
        <f>AI$5*AI12*Teams!$C$55/60*Teams!$C$56*INDEX(Params!$D$41:$F$41,Org!$B$17)*Teams!$C$57</f>
        <v>75961.8</v>
      </c>
      <c r="AJ28" s="44">
        <f>AJ$5*AJ12*Teams!$C$55/60*Teams!$C$56*INDEX(Params!$D$41:$F$41,Org!$B$17)*Teams!$C$57</f>
        <v>75961.8</v>
      </c>
      <c r="AK28" s="44">
        <f>AK$5*AK12*Teams!$C$55/60*Teams!$C$56*INDEX(Params!$D$41:$F$41,Org!$B$17)*Teams!$C$57</f>
        <v>75961.8</v>
      </c>
      <c r="AL28" s="44">
        <f>AL$5*AL12*Teams!$C$55/60*Teams!$C$56*INDEX(Params!$D$41:$F$41,Org!$B$17)*Teams!$C$57</f>
        <v>75961.8</v>
      </c>
      <c r="AM28" s="44">
        <f>AM$5*AM12*Teams!$C$55/60*Teams!$C$56*INDEX(Params!$D$41:$F$41,Org!$B$17)*Teams!$C$57</f>
        <v>75961.8</v>
      </c>
      <c r="AN28" s="44">
        <f>AN$5*AN12*Teams!$C$55/60*Teams!$C$56*INDEX(Params!$D$41:$F$41,Org!$B$17)*Teams!$C$57</f>
        <v>75961.8</v>
      </c>
      <c r="AO28" s="44">
        <f>AO$5*AO12*Teams!$C$55/60*Teams!$C$56*INDEX(Params!$D$41:$F$41,Org!$B$17)*Teams!$C$57</f>
        <v>0</v>
      </c>
      <c r="AP28" s="44">
        <f>AP$5*AP12*Teams!$C$55/60*Teams!$C$56*INDEX(Params!$D$41:$F$41,Org!$B$17)*Teams!$C$57</f>
        <v>0</v>
      </c>
      <c r="AQ28" s="44">
        <f>AQ$5*AQ12*Teams!$C$55/60*Teams!$C$56*INDEX(Params!$D$41:$F$41,Org!$B$17)*Teams!$C$57</f>
        <v>0</v>
      </c>
      <c r="AR28" s="44">
        <f>AR$5*AR12*Teams!$C$55/60*Teams!$C$56*INDEX(Params!$D$41:$F$41,Org!$B$17)*Teams!$C$57</f>
        <v>0</v>
      </c>
      <c r="AS28" s="44">
        <f>AS$5*AS12*Teams!$C$55/60*Teams!$C$56*INDEX(Params!$D$41:$F$41,Org!$B$17)*Teams!$C$57</f>
        <v>0</v>
      </c>
      <c r="AT28" s="44">
        <f>AT$5*AT12*Teams!$C$55/60*Teams!$C$56*INDEX(Params!$D$41:$F$41,Org!$B$17)*Teams!$C$57</f>
        <v>0</v>
      </c>
      <c r="AU28" s="44">
        <f>AU$5*AU12*Teams!$C$55/60*Teams!$C$56*INDEX(Params!$D$41:$F$41,Org!$B$17)*Teams!$C$57</f>
        <v>0</v>
      </c>
      <c r="AV28" s="44">
        <f>AV$5*AV12*Teams!$C$55/60*Teams!$C$56*INDEX(Params!$D$41:$F$41,Org!$B$17)*Teams!$C$57</f>
        <v>0</v>
      </c>
      <c r="AW28" s="44">
        <f>AW$5*AW12*Teams!$C$55/60*Teams!$C$56*INDEX(Params!$D$41:$F$41,Org!$B$17)*Teams!$C$57</f>
        <v>0</v>
      </c>
      <c r="AX28" s="44">
        <f>AX$5*AX12*Teams!$C$55/60*Teams!$C$56*INDEX(Params!$D$41:$F$41,Org!$B$17)*Teams!$C$57</f>
        <v>0</v>
      </c>
      <c r="AY28" s="44">
        <f>AY$5*AY12*Teams!$C$55/60*Teams!$C$56*INDEX(Params!$D$41:$F$41,Org!$B$17)*Teams!$C$57</f>
        <v>0</v>
      </c>
      <c r="AZ28" s="44">
        <f>AZ$5*AZ12*Teams!$C$55/60*Teams!$C$56*INDEX(Params!$D$41:$F$41,Org!$B$17)*Teams!$C$57</f>
        <v>0</v>
      </c>
      <c r="BA28" s="44">
        <f>BA$5*BA12*Teams!$C$55/60*Teams!$C$56*INDEX(Params!$D$41:$F$41,Org!$B$17)*Teams!$C$57</f>
        <v>0</v>
      </c>
      <c r="BB28" s="44">
        <f>BB$5*BB12*Teams!$C$55/60*Teams!$C$56*INDEX(Params!$D$41:$F$41,Org!$B$17)*Teams!$C$57</f>
        <v>0</v>
      </c>
      <c r="BC28" s="44">
        <f>BC$5*BC12*Teams!$C$55/60*Teams!$C$56*INDEX(Params!$D$41:$F$41,Org!$B$17)*Teams!$C$57</f>
        <v>0</v>
      </c>
      <c r="BD28" s="44">
        <f>BD$5*BD12*Teams!$C$55/60*Teams!$C$56*INDEX(Params!$D$41:$F$41,Org!$B$17)*Teams!$C$57</f>
        <v>0</v>
      </c>
      <c r="BE28" s="44">
        <f>BE$5*BE12*Teams!$C$55/60*Teams!$C$56*INDEX(Params!$D$41:$F$41,Org!$B$17)*Teams!$C$57</f>
        <v>0</v>
      </c>
      <c r="BF28" s="44">
        <f>BF$5*BF12*Teams!$C$55/60*Teams!$C$56*INDEX(Params!$D$41:$F$41,Org!$B$17)*Teams!$C$57</f>
        <v>0</v>
      </c>
      <c r="BG28" s="44">
        <f>BG$5*BG12*Teams!$C$55/60*Teams!$C$56*INDEX(Params!$D$41:$F$41,Org!$B$17)*Teams!$C$57</f>
        <v>0</v>
      </c>
      <c r="BH28" s="44">
        <f>BH$5*BH12*Teams!$C$55/60*Teams!$C$56*INDEX(Params!$D$41:$F$41,Org!$B$17)*Teams!$C$57</f>
        <v>0</v>
      </c>
      <c r="BI28" s="44">
        <f>BI$5*BI12*Teams!$C$55/60*Teams!$C$56*INDEX(Params!$D$41:$F$41,Org!$B$17)*Teams!$C$57</f>
        <v>0</v>
      </c>
      <c r="BJ28" s="44">
        <f>BJ$5*BJ12*Teams!$C$55/60*Teams!$C$56*INDEX(Params!$D$41:$F$41,Org!$B$17)*Teams!$C$57</f>
        <v>0</v>
      </c>
      <c r="BK28" s="44">
        <f>BK$5*BK12*Teams!$C$55/60*Teams!$C$56*INDEX(Params!$D$41:$F$41,Org!$B$17)*Teams!$C$57</f>
        <v>0</v>
      </c>
      <c r="BL28" s="44">
        <f>BL$5*BL12*Teams!$C$55/60*Teams!$C$56*INDEX(Params!$D$41:$F$41,Org!$B$17)*Teams!$C$57</f>
        <v>0</v>
      </c>
    </row>
    <row r="29" spans="1:64" x14ac:dyDescent="0.3">
      <c r="A29" s="8" t="s">
        <v>701</v>
      </c>
      <c r="C29" s="44">
        <f t="shared" si="2"/>
        <v>3730576.3340000003</v>
      </c>
      <c r="D29" s="44">
        <f t="shared" ref="D29:AI29" si="3">SUM(D13:D27)</f>
        <v>393757.8</v>
      </c>
      <c r="E29" s="44">
        <f t="shared" si="3"/>
        <v>95971.034</v>
      </c>
      <c r="F29" s="44">
        <f t="shared" si="3"/>
        <v>96836.507333333328</v>
      </c>
      <c r="G29" s="44">
        <f t="shared" si="3"/>
        <v>97961.622666666677</v>
      </c>
      <c r="H29" s="44">
        <f t="shared" si="3"/>
        <v>99086.737999999998</v>
      </c>
      <c r="I29" s="44">
        <f t="shared" si="3"/>
        <v>99952.211333333325</v>
      </c>
      <c r="J29" s="44">
        <f t="shared" si="3"/>
        <v>100298.40066666668</v>
      </c>
      <c r="K29" s="44">
        <f t="shared" si="3"/>
        <v>91498.400666666683</v>
      </c>
      <c r="L29" s="44">
        <f t="shared" si="3"/>
        <v>91498.400666666683</v>
      </c>
      <c r="M29" s="44">
        <f t="shared" si="3"/>
        <v>91498.400666666683</v>
      </c>
      <c r="N29" s="44">
        <f t="shared" si="3"/>
        <v>91498.400666666683</v>
      </c>
      <c r="O29" s="44">
        <f t="shared" si="3"/>
        <v>91498.400666666683</v>
      </c>
      <c r="P29" s="44">
        <f t="shared" si="3"/>
        <v>91498.400666666683</v>
      </c>
      <c r="Q29" s="44">
        <f t="shared" si="3"/>
        <v>91498.400666666683</v>
      </c>
      <c r="R29" s="44">
        <f t="shared" si="3"/>
        <v>91498.400666666683</v>
      </c>
      <c r="S29" s="44">
        <f t="shared" si="3"/>
        <v>91498.400666666683</v>
      </c>
      <c r="T29" s="44">
        <f t="shared" si="3"/>
        <v>91498.400666666683</v>
      </c>
      <c r="U29" s="44">
        <f t="shared" si="3"/>
        <v>91498.400666666683</v>
      </c>
      <c r="V29" s="44">
        <f t="shared" si="3"/>
        <v>91498.400666666683</v>
      </c>
      <c r="W29" s="44">
        <f t="shared" si="3"/>
        <v>91498.400666666683</v>
      </c>
      <c r="X29" s="44">
        <f t="shared" si="3"/>
        <v>91498.400666666683</v>
      </c>
      <c r="Y29" s="44">
        <f t="shared" si="3"/>
        <v>91498.400666666683</v>
      </c>
      <c r="Z29" s="44">
        <f t="shared" si="3"/>
        <v>91498.400666666683</v>
      </c>
      <c r="AA29" s="44">
        <f t="shared" si="3"/>
        <v>91498.400666666683</v>
      </c>
      <c r="AB29" s="44">
        <f t="shared" si="3"/>
        <v>91498.400666666683</v>
      </c>
      <c r="AC29" s="44">
        <f t="shared" si="3"/>
        <v>91498.400666666683</v>
      </c>
      <c r="AD29" s="44">
        <f t="shared" si="3"/>
        <v>93258.400666666683</v>
      </c>
      <c r="AE29" s="44">
        <f t="shared" si="3"/>
        <v>91498.400666666683</v>
      </c>
      <c r="AF29" s="44">
        <f t="shared" si="3"/>
        <v>91498.400666666683</v>
      </c>
      <c r="AG29" s="44">
        <f t="shared" si="3"/>
        <v>91498.400666666683</v>
      </c>
      <c r="AH29" s="44">
        <f t="shared" si="3"/>
        <v>91498.400666666683</v>
      </c>
      <c r="AI29" s="44">
        <f t="shared" si="3"/>
        <v>91498.400666666683</v>
      </c>
      <c r="AJ29" s="44">
        <f t="shared" ref="AJ29:BL29" si="4">SUM(AJ13:AJ27)</f>
        <v>91498.400666666683</v>
      </c>
      <c r="AK29" s="44">
        <f t="shared" si="4"/>
        <v>91498.400666666683</v>
      </c>
      <c r="AL29" s="44">
        <f t="shared" si="4"/>
        <v>91498.400666666683</v>
      </c>
      <c r="AM29" s="44">
        <f t="shared" si="4"/>
        <v>91498.400666666683</v>
      </c>
      <c r="AN29" s="44">
        <f t="shared" si="4"/>
        <v>91498.400666666683</v>
      </c>
      <c r="AO29" s="44">
        <f t="shared" si="4"/>
        <v>0</v>
      </c>
      <c r="AP29" s="44">
        <f t="shared" si="4"/>
        <v>0</v>
      </c>
      <c r="AQ29" s="44">
        <f t="shared" si="4"/>
        <v>0</v>
      </c>
      <c r="AR29" s="44">
        <f t="shared" si="4"/>
        <v>0</v>
      </c>
      <c r="AS29" s="44">
        <f t="shared" si="4"/>
        <v>0</v>
      </c>
      <c r="AT29" s="44">
        <f t="shared" si="4"/>
        <v>0</v>
      </c>
      <c r="AU29" s="44">
        <f t="shared" si="4"/>
        <v>0</v>
      </c>
      <c r="AV29" s="44">
        <f t="shared" si="4"/>
        <v>0</v>
      </c>
      <c r="AW29" s="44">
        <f t="shared" si="4"/>
        <v>0</v>
      </c>
      <c r="AX29" s="44">
        <f t="shared" si="4"/>
        <v>0</v>
      </c>
      <c r="AY29" s="44">
        <f t="shared" si="4"/>
        <v>0</v>
      </c>
      <c r="AZ29" s="44">
        <f t="shared" si="4"/>
        <v>0</v>
      </c>
      <c r="BA29" s="44">
        <f t="shared" si="4"/>
        <v>0</v>
      </c>
      <c r="BB29" s="44">
        <f t="shared" si="4"/>
        <v>0</v>
      </c>
      <c r="BC29" s="44">
        <f t="shared" si="4"/>
        <v>0</v>
      </c>
      <c r="BD29" s="44">
        <f t="shared" si="4"/>
        <v>0</v>
      </c>
      <c r="BE29" s="44">
        <f t="shared" si="4"/>
        <v>0</v>
      </c>
      <c r="BF29" s="44">
        <f t="shared" si="4"/>
        <v>0</v>
      </c>
      <c r="BG29" s="44">
        <f t="shared" si="4"/>
        <v>0</v>
      </c>
      <c r="BH29" s="44">
        <f t="shared" si="4"/>
        <v>0</v>
      </c>
      <c r="BI29" s="44">
        <f t="shared" si="4"/>
        <v>0</v>
      </c>
      <c r="BJ29" s="44">
        <f t="shared" si="4"/>
        <v>0</v>
      </c>
      <c r="BK29" s="44">
        <f t="shared" si="4"/>
        <v>0</v>
      </c>
      <c r="BL29" s="44">
        <f t="shared" si="4"/>
        <v>0</v>
      </c>
    </row>
    <row r="30" spans="1:64" x14ac:dyDescent="0.3">
      <c r="A30" s="8" t="s">
        <v>702</v>
      </c>
      <c r="C30" s="44">
        <f t="shared" si="2"/>
        <v>595861.5028347543</v>
      </c>
      <c r="D30" s="44">
        <f t="shared" ref="D30:AI30" si="5">$B$169*D158</f>
        <v>34068.020939650349</v>
      </c>
      <c r="E30" s="44">
        <f t="shared" si="5"/>
        <v>15570.574556349389</v>
      </c>
      <c r="F30" s="44">
        <f t="shared" si="5"/>
        <v>15578.70993974912</v>
      </c>
      <c r="G30" s="44">
        <f t="shared" si="5"/>
        <v>15588.722023744775</v>
      </c>
      <c r="H30" s="44">
        <f t="shared" si="5"/>
        <v>15599.214945958582</v>
      </c>
      <c r="I30" s="44">
        <f t="shared" si="5"/>
        <v>15604.776915233924</v>
      </c>
      <c r="J30" s="44">
        <f t="shared" si="5"/>
        <v>15607.61975349159</v>
      </c>
      <c r="K30" s="44">
        <f t="shared" si="5"/>
        <v>15608.128792019228</v>
      </c>
      <c r="L30" s="44">
        <f t="shared" si="5"/>
        <v>15608.128792019228</v>
      </c>
      <c r="M30" s="44">
        <f t="shared" si="5"/>
        <v>15608.128792019228</v>
      </c>
      <c r="N30" s="44">
        <f t="shared" si="5"/>
        <v>15608.128792019228</v>
      </c>
      <c r="O30" s="44">
        <f t="shared" si="5"/>
        <v>15608.128792019228</v>
      </c>
      <c r="P30" s="44">
        <f t="shared" si="5"/>
        <v>15608.128792019228</v>
      </c>
      <c r="Q30" s="44">
        <f t="shared" si="5"/>
        <v>15608.128792019228</v>
      </c>
      <c r="R30" s="44">
        <f t="shared" si="5"/>
        <v>15608.128792019228</v>
      </c>
      <c r="S30" s="44">
        <f t="shared" si="5"/>
        <v>15608.128792019228</v>
      </c>
      <c r="T30" s="44">
        <f t="shared" si="5"/>
        <v>15608.128792019228</v>
      </c>
      <c r="U30" s="44">
        <f t="shared" si="5"/>
        <v>15608.128792019228</v>
      </c>
      <c r="V30" s="44">
        <f t="shared" si="5"/>
        <v>15608.128792019228</v>
      </c>
      <c r="W30" s="44">
        <f t="shared" si="5"/>
        <v>15608.128792019228</v>
      </c>
      <c r="X30" s="44">
        <f t="shared" si="5"/>
        <v>15608.128792019228</v>
      </c>
      <c r="Y30" s="44">
        <f t="shared" si="5"/>
        <v>15608.128792019228</v>
      </c>
      <c r="Z30" s="44">
        <f t="shared" si="5"/>
        <v>15608.128792019228</v>
      </c>
      <c r="AA30" s="44">
        <f t="shared" si="5"/>
        <v>15608.128792019228</v>
      </c>
      <c r="AB30" s="44">
        <f t="shared" si="5"/>
        <v>15608.128792019228</v>
      </c>
      <c r="AC30" s="44">
        <f t="shared" si="5"/>
        <v>15608.128792019228</v>
      </c>
      <c r="AD30" s="44">
        <f t="shared" si="5"/>
        <v>15608.128792019228</v>
      </c>
      <c r="AE30" s="44">
        <f t="shared" si="5"/>
        <v>15608.128792019228</v>
      </c>
      <c r="AF30" s="44">
        <f t="shared" si="5"/>
        <v>15608.128792019228</v>
      </c>
      <c r="AG30" s="44">
        <f t="shared" si="5"/>
        <v>15608.128792019228</v>
      </c>
      <c r="AH30" s="44">
        <f t="shared" si="5"/>
        <v>15608.128792019228</v>
      </c>
      <c r="AI30" s="44">
        <f t="shared" si="5"/>
        <v>15608.128792019228</v>
      </c>
      <c r="AJ30" s="44">
        <f t="shared" ref="AJ30:BL30" si="6">$B$169*AJ158</f>
        <v>15608.128792019228</v>
      </c>
      <c r="AK30" s="44">
        <f t="shared" si="6"/>
        <v>15608.128792019228</v>
      </c>
      <c r="AL30" s="44">
        <f t="shared" si="6"/>
        <v>15608.128792019228</v>
      </c>
      <c r="AM30" s="44">
        <f t="shared" si="6"/>
        <v>15608.128792019228</v>
      </c>
      <c r="AN30" s="44">
        <f t="shared" si="6"/>
        <v>15608.128792019228</v>
      </c>
      <c r="AO30" s="44">
        <f t="shared" si="6"/>
        <v>0</v>
      </c>
      <c r="AP30" s="44">
        <f t="shared" si="6"/>
        <v>0</v>
      </c>
      <c r="AQ30" s="44">
        <f t="shared" si="6"/>
        <v>0</v>
      </c>
      <c r="AR30" s="44">
        <f t="shared" si="6"/>
        <v>0</v>
      </c>
      <c r="AS30" s="44">
        <f t="shared" si="6"/>
        <v>0</v>
      </c>
      <c r="AT30" s="44">
        <f t="shared" si="6"/>
        <v>0</v>
      </c>
      <c r="AU30" s="44">
        <f t="shared" si="6"/>
        <v>0</v>
      </c>
      <c r="AV30" s="44">
        <f t="shared" si="6"/>
        <v>0</v>
      </c>
      <c r="AW30" s="44">
        <f t="shared" si="6"/>
        <v>0</v>
      </c>
      <c r="AX30" s="44">
        <f t="shared" si="6"/>
        <v>0</v>
      </c>
      <c r="AY30" s="44">
        <f t="shared" si="6"/>
        <v>0</v>
      </c>
      <c r="AZ30" s="44">
        <f t="shared" si="6"/>
        <v>0</v>
      </c>
      <c r="BA30" s="44">
        <f t="shared" si="6"/>
        <v>0</v>
      </c>
      <c r="BB30" s="44">
        <f t="shared" si="6"/>
        <v>0</v>
      </c>
      <c r="BC30" s="44">
        <f t="shared" si="6"/>
        <v>0</v>
      </c>
      <c r="BD30" s="44">
        <f t="shared" si="6"/>
        <v>0</v>
      </c>
      <c r="BE30" s="44">
        <f t="shared" si="6"/>
        <v>0</v>
      </c>
      <c r="BF30" s="44">
        <f t="shared" si="6"/>
        <v>0</v>
      </c>
      <c r="BG30" s="44">
        <f t="shared" si="6"/>
        <v>0</v>
      </c>
      <c r="BH30" s="44">
        <f t="shared" si="6"/>
        <v>0</v>
      </c>
      <c r="BI30" s="44">
        <f t="shared" si="6"/>
        <v>0</v>
      </c>
      <c r="BJ30" s="44">
        <f t="shared" si="6"/>
        <v>0</v>
      </c>
      <c r="BK30" s="44">
        <f t="shared" si="6"/>
        <v>0</v>
      </c>
      <c r="BL30" s="44">
        <f t="shared" si="6"/>
        <v>0</v>
      </c>
    </row>
    <row r="31" spans="1:64" x14ac:dyDescent="0.3">
      <c r="A31" s="8" t="s">
        <v>1012</v>
      </c>
      <c r="C31" s="44">
        <f t="shared" si="2"/>
        <v>-1781717.5368347566</v>
      </c>
      <c r="D31" s="44">
        <f t="shared" ref="D31:AI31" si="7">D28-D29-D30</f>
        <v>-427825.82093965035</v>
      </c>
      <c r="E31" s="44">
        <f t="shared" si="7"/>
        <v>-105914.80855634938</v>
      </c>
      <c r="F31" s="44">
        <f t="shared" si="7"/>
        <v>-92721.41727308245</v>
      </c>
      <c r="G31" s="44">
        <f t="shared" si="7"/>
        <v>-75569.444690411445</v>
      </c>
      <c r="H31" s="44">
        <f t="shared" si="7"/>
        <v>-58417.952945958576</v>
      </c>
      <c r="I31" s="44">
        <f t="shared" si="7"/>
        <v>-45221.988248567235</v>
      </c>
      <c r="J31" s="44">
        <f t="shared" si="7"/>
        <v>-39944.220420158272</v>
      </c>
      <c r="K31" s="44">
        <f t="shared" si="7"/>
        <v>-31144.729458685906</v>
      </c>
      <c r="L31" s="44">
        <f t="shared" si="7"/>
        <v>-31144.729458685906</v>
      </c>
      <c r="M31" s="44">
        <f t="shared" si="7"/>
        <v>-31144.729458685906</v>
      </c>
      <c r="N31" s="44">
        <f t="shared" si="7"/>
        <v>-31144.729458685906</v>
      </c>
      <c r="O31" s="44">
        <f t="shared" si="7"/>
        <v>-31144.729458685906</v>
      </c>
      <c r="P31" s="44">
        <f t="shared" si="7"/>
        <v>-31144.729458685906</v>
      </c>
      <c r="Q31" s="44">
        <f t="shared" si="7"/>
        <v>-31144.729458685906</v>
      </c>
      <c r="R31" s="44">
        <f t="shared" si="7"/>
        <v>-31144.729458685906</v>
      </c>
      <c r="S31" s="44">
        <f t="shared" si="7"/>
        <v>-31144.729458685906</v>
      </c>
      <c r="T31" s="44">
        <f t="shared" si="7"/>
        <v>-31144.729458685906</v>
      </c>
      <c r="U31" s="44">
        <f t="shared" si="7"/>
        <v>-31144.729458685906</v>
      </c>
      <c r="V31" s="44">
        <f t="shared" si="7"/>
        <v>-31144.729458685906</v>
      </c>
      <c r="W31" s="44">
        <f t="shared" si="7"/>
        <v>-31144.729458685906</v>
      </c>
      <c r="X31" s="44">
        <f t="shared" si="7"/>
        <v>-31144.729458685906</v>
      </c>
      <c r="Y31" s="44">
        <f t="shared" si="7"/>
        <v>-31144.729458685906</v>
      </c>
      <c r="Z31" s="44">
        <f t="shared" si="7"/>
        <v>-31144.729458685906</v>
      </c>
      <c r="AA31" s="44">
        <f t="shared" si="7"/>
        <v>-31144.729458685906</v>
      </c>
      <c r="AB31" s="44">
        <f t="shared" si="7"/>
        <v>-31144.729458685906</v>
      </c>
      <c r="AC31" s="44">
        <f t="shared" si="7"/>
        <v>-31144.729458685906</v>
      </c>
      <c r="AD31" s="44">
        <f t="shared" si="7"/>
        <v>-32904.729458685906</v>
      </c>
      <c r="AE31" s="44">
        <f t="shared" si="7"/>
        <v>-31144.729458685906</v>
      </c>
      <c r="AF31" s="44">
        <f t="shared" si="7"/>
        <v>-31144.729458685906</v>
      </c>
      <c r="AG31" s="44">
        <f t="shared" si="7"/>
        <v>-31144.729458685906</v>
      </c>
      <c r="AH31" s="44">
        <f t="shared" si="7"/>
        <v>-31144.729458685906</v>
      </c>
      <c r="AI31" s="44">
        <f t="shared" si="7"/>
        <v>-31144.729458685906</v>
      </c>
      <c r="AJ31" s="44">
        <f t="shared" ref="AJ31:BO31" si="8">AJ28-AJ29-AJ30</f>
        <v>-31144.729458685906</v>
      </c>
      <c r="AK31" s="44">
        <f t="shared" si="8"/>
        <v>-31144.729458685906</v>
      </c>
      <c r="AL31" s="44">
        <f t="shared" si="8"/>
        <v>-31144.729458685906</v>
      </c>
      <c r="AM31" s="44">
        <f t="shared" si="8"/>
        <v>-31144.729458685906</v>
      </c>
      <c r="AN31" s="44">
        <f t="shared" si="8"/>
        <v>-31144.729458685906</v>
      </c>
      <c r="AO31" s="44">
        <f t="shared" si="8"/>
        <v>0</v>
      </c>
      <c r="AP31" s="44">
        <f t="shared" si="8"/>
        <v>0</v>
      </c>
      <c r="AQ31" s="44">
        <f t="shared" si="8"/>
        <v>0</v>
      </c>
      <c r="AR31" s="44">
        <f t="shared" si="8"/>
        <v>0</v>
      </c>
      <c r="AS31" s="44">
        <f t="shared" si="8"/>
        <v>0</v>
      </c>
      <c r="AT31" s="44">
        <f t="shared" si="8"/>
        <v>0</v>
      </c>
      <c r="AU31" s="44">
        <f t="shared" si="8"/>
        <v>0</v>
      </c>
      <c r="AV31" s="44">
        <f t="shared" si="8"/>
        <v>0</v>
      </c>
      <c r="AW31" s="44">
        <f t="shared" si="8"/>
        <v>0</v>
      </c>
      <c r="AX31" s="44">
        <f t="shared" si="8"/>
        <v>0</v>
      </c>
      <c r="AY31" s="44">
        <f t="shared" si="8"/>
        <v>0</v>
      </c>
      <c r="AZ31" s="44">
        <f t="shared" si="8"/>
        <v>0</v>
      </c>
      <c r="BA31" s="44">
        <f t="shared" si="8"/>
        <v>0</v>
      </c>
      <c r="BB31" s="44">
        <f t="shared" si="8"/>
        <v>0</v>
      </c>
      <c r="BC31" s="44">
        <f t="shared" si="8"/>
        <v>0</v>
      </c>
      <c r="BD31" s="44">
        <f t="shared" si="8"/>
        <v>0</v>
      </c>
      <c r="BE31" s="44">
        <f t="shared" si="8"/>
        <v>0</v>
      </c>
      <c r="BF31" s="44">
        <f t="shared" si="8"/>
        <v>0</v>
      </c>
      <c r="BG31" s="44">
        <f t="shared" si="8"/>
        <v>0</v>
      </c>
      <c r="BH31" s="44">
        <f t="shared" si="8"/>
        <v>0</v>
      </c>
      <c r="BI31" s="44">
        <f t="shared" si="8"/>
        <v>0</v>
      </c>
      <c r="BJ31" s="44">
        <f t="shared" si="8"/>
        <v>0</v>
      </c>
      <c r="BK31" s="44">
        <f t="shared" si="8"/>
        <v>0</v>
      </c>
      <c r="BL31" s="44">
        <f t="shared" si="8"/>
        <v>0</v>
      </c>
    </row>
    <row r="32" spans="1:64" x14ac:dyDescent="0.3">
      <c r="A32" s="8" t="s">
        <v>1013</v>
      </c>
      <c r="D32" s="44">
        <f>D31</f>
        <v>-427825.82093965035</v>
      </c>
      <c r="E32" s="44">
        <f t="shared" ref="E32:AJ32" si="9">D32+E31</f>
        <v>-533740.62949599978</v>
      </c>
      <c r="F32" s="44">
        <f t="shared" si="9"/>
        <v>-626462.0467690822</v>
      </c>
      <c r="G32" s="44">
        <f t="shared" si="9"/>
        <v>-702031.49145949364</v>
      </c>
      <c r="H32" s="44">
        <f t="shared" si="9"/>
        <v>-760449.44440545223</v>
      </c>
      <c r="I32" s="44">
        <f t="shared" si="9"/>
        <v>-805671.43265401945</v>
      </c>
      <c r="J32" s="44">
        <f t="shared" si="9"/>
        <v>-845615.65307417768</v>
      </c>
      <c r="K32" s="44">
        <f t="shared" si="9"/>
        <v>-876760.38253286364</v>
      </c>
      <c r="L32" s="44">
        <f t="shared" si="9"/>
        <v>-907905.11199154961</v>
      </c>
      <c r="M32" s="44">
        <f t="shared" si="9"/>
        <v>-939049.84145023557</v>
      </c>
      <c r="N32" s="44">
        <f t="shared" si="9"/>
        <v>-970194.57090892154</v>
      </c>
      <c r="O32" s="44">
        <f t="shared" si="9"/>
        <v>-1001339.3003676075</v>
      </c>
      <c r="P32" s="44">
        <f t="shared" si="9"/>
        <v>-1032484.0298262935</v>
      </c>
      <c r="Q32" s="44">
        <f t="shared" si="9"/>
        <v>-1063628.7592849794</v>
      </c>
      <c r="R32" s="44">
        <f t="shared" si="9"/>
        <v>-1094773.4887436654</v>
      </c>
      <c r="S32" s="44">
        <f t="shared" si="9"/>
        <v>-1125918.2182023514</v>
      </c>
      <c r="T32" s="44">
        <f t="shared" si="9"/>
        <v>-1157062.9476610373</v>
      </c>
      <c r="U32" s="44">
        <f t="shared" si="9"/>
        <v>-1188207.6771197233</v>
      </c>
      <c r="V32" s="44">
        <f t="shared" si="9"/>
        <v>-1219352.4065784093</v>
      </c>
      <c r="W32" s="44">
        <f t="shared" si="9"/>
        <v>-1250497.1360370952</v>
      </c>
      <c r="X32" s="44">
        <f t="shared" si="9"/>
        <v>-1281641.8654957812</v>
      </c>
      <c r="Y32" s="44">
        <f t="shared" si="9"/>
        <v>-1312786.5949544671</v>
      </c>
      <c r="Z32" s="44">
        <f t="shared" si="9"/>
        <v>-1343931.3244131531</v>
      </c>
      <c r="AA32" s="44">
        <f t="shared" si="9"/>
        <v>-1375076.0538718391</v>
      </c>
      <c r="AB32" s="44">
        <f t="shared" si="9"/>
        <v>-1406220.783330525</v>
      </c>
      <c r="AC32" s="44">
        <f t="shared" si="9"/>
        <v>-1437365.512789211</v>
      </c>
      <c r="AD32" s="44">
        <f t="shared" si="9"/>
        <v>-1470270.242247897</v>
      </c>
      <c r="AE32" s="44">
        <f t="shared" si="9"/>
        <v>-1501414.9717065829</v>
      </c>
      <c r="AF32" s="44">
        <f t="shared" si="9"/>
        <v>-1532559.7011652689</v>
      </c>
      <c r="AG32" s="44">
        <f t="shared" si="9"/>
        <v>-1563704.4306239549</v>
      </c>
      <c r="AH32" s="44">
        <f t="shared" si="9"/>
        <v>-1594849.1600826408</v>
      </c>
      <c r="AI32" s="44">
        <f t="shared" si="9"/>
        <v>-1625993.8895413268</v>
      </c>
      <c r="AJ32" s="44">
        <f t="shared" si="9"/>
        <v>-1657138.6190000128</v>
      </c>
      <c r="AK32" s="44">
        <f t="shared" ref="AK32:BP32" si="10">AJ32+AK31</f>
        <v>-1688283.3484586987</v>
      </c>
      <c r="AL32" s="44">
        <f t="shared" si="10"/>
        <v>-1719428.0779173847</v>
      </c>
      <c r="AM32" s="44">
        <f t="shared" si="10"/>
        <v>-1750572.8073760706</v>
      </c>
      <c r="AN32" s="44">
        <f t="shared" si="10"/>
        <v>-1781717.5368347566</v>
      </c>
      <c r="AO32" s="44">
        <f t="shared" si="10"/>
        <v>-1781717.5368347566</v>
      </c>
      <c r="AP32" s="44">
        <f t="shared" si="10"/>
        <v>-1781717.5368347566</v>
      </c>
      <c r="AQ32" s="44">
        <f t="shared" si="10"/>
        <v>-1781717.5368347566</v>
      </c>
      <c r="AR32" s="44">
        <f t="shared" si="10"/>
        <v>-1781717.5368347566</v>
      </c>
      <c r="AS32" s="44">
        <f t="shared" si="10"/>
        <v>-1781717.5368347566</v>
      </c>
      <c r="AT32" s="44">
        <f t="shared" si="10"/>
        <v>-1781717.5368347566</v>
      </c>
      <c r="AU32" s="44">
        <f t="shared" si="10"/>
        <v>-1781717.5368347566</v>
      </c>
      <c r="AV32" s="44">
        <f t="shared" si="10"/>
        <v>-1781717.5368347566</v>
      </c>
      <c r="AW32" s="44">
        <f t="shared" si="10"/>
        <v>-1781717.5368347566</v>
      </c>
      <c r="AX32" s="44">
        <f t="shared" si="10"/>
        <v>-1781717.5368347566</v>
      </c>
      <c r="AY32" s="44">
        <f t="shared" si="10"/>
        <v>-1781717.5368347566</v>
      </c>
      <c r="AZ32" s="44">
        <f t="shared" si="10"/>
        <v>-1781717.5368347566</v>
      </c>
      <c r="BA32" s="44">
        <f t="shared" si="10"/>
        <v>-1781717.5368347566</v>
      </c>
      <c r="BB32" s="44">
        <f t="shared" si="10"/>
        <v>-1781717.5368347566</v>
      </c>
      <c r="BC32" s="44">
        <f t="shared" si="10"/>
        <v>-1781717.5368347566</v>
      </c>
      <c r="BD32" s="44">
        <f t="shared" si="10"/>
        <v>-1781717.5368347566</v>
      </c>
      <c r="BE32" s="44">
        <f t="shared" si="10"/>
        <v>-1781717.5368347566</v>
      </c>
      <c r="BF32" s="44">
        <f t="shared" si="10"/>
        <v>-1781717.5368347566</v>
      </c>
      <c r="BG32" s="44">
        <f t="shared" si="10"/>
        <v>-1781717.5368347566</v>
      </c>
      <c r="BH32" s="44">
        <f t="shared" si="10"/>
        <v>-1781717.5368347566</v>
      </c>
      <c r="BI32" s="44">
        <f t="shared" si="10"/>
        <v>-1781717.5368347566</v>
      </c>
      <c r="BJ32" s="44">
        <f t="shared" si="10"/>
        <v>-1781717.5368347566</v>
      </c>
      <c r="BK32" s="44">
        <f t="shared" si="10"/>
        <v>-1781717.5368347566</v>
      </c>
      <c r="BL32" s="44">
        <f t="shared" si="10"/>
        <v>-1781717.5368347566</v>
      </c>
    </row>
    <row r="33" spans="1:64" x14ac:dyDescent="0.3">
      <c r="A33" s="8" t="s">
        <v>1014</v>
      </c>
      <c r="C33" s="22" t="str">
        <f>IF(COUNT(E33:BL33)=0,"None",MIN(E33:BL33))</f>
        <v>None</v>
      </c>
      <c r="E33" s="22" t="str">
        <f>IF(AND(E$4&lt;=Org!$B$5,E32&gt;=0),E$4,"")</f>
        <v/>
      </c>
      <c r="F33" s="22" t="str">
        <f>IF(AND(F$4&lt;=Org!$B$5,F32&gt;=0),F$4,"")</f>
        <v/>
      </c>
      <c r="G33" s="22" t="str">
        <f>IF(AND(G$4&lt;=Org!$B$5,G32&gt;=0),G$4,"")</f>
        <v/>
      </c>
      <c r="H33" s="22" t="str">
        <f>IF(AND(H$4&lt;=Org!$B$5,H32&gt;=0),H$4,"")</f>
        <v/>
      </c>
      <c r="I33" s="22" t="str">
        <f>IF(AND(I$4&lt;=Org!$B$5,I32&gt;=0),I$4,"")</f>
        <v/>
      </c>
      <c r="J33" s="22" t="str">
        <f>IF(AND(J$4&lt;=Org!$B$5,J32&gt;=0),J$4,"")</f>
        <v/>
      </c>
      <c r="K33" s="22" t="str">
        <f>IF(AND(K$4&lt;=Org!$B$5,K32&gt;=0),K$4,"")</f>
        <v/>
      </c>
      <c r="L33" s="22" t="str">
        <f>IF(AND(L$4&lt;=Org!$B$5,L32&gt;=0),L$4,"")</f>
        <v/>
      </c>
      <c r="M33" s="22" t="str">
        <f>IF(AND(M$4&lt;=Org!$B$5,M32&gt;=0),M$4,"")</f>
        <v/>
      </c>
      <c r="N33" s="22" t="str">
        <f>IF(AND(N$4&lt;=Org!$B$5,N32&gt;=0),N$4,"")</f>
        <v/>
      </c>
      <c r="O33" s="22" t="str">
        <f>IF(AND(O$4&lt;=Org!$B$5,O32&gt;=0),O$4,"")</f>
        <v/>
      </c>
      <c r="P33" s="22" t="str">
        <f>IF(AND(P$4&lt;=Org!$B$5,P32&gt;=0),P$4,"")</f>
        <v/>
      </c>
      <c r="Q33" s="22" t="str">
        <f>IF(AND(Q$4&lt;=Org!$B$5,Q32&gt;=0),Q$4,"")</f>
        <v/>
      </c>
      <c r="R33" s="22" t="str">
        <f>IF(AND(R$4&lt;=Org!$B$5,R32&gt;=0),R$4,"")</f>
        <v/>
      </c>
      <c r="S33" s="22" t="str">
        <f>IF(AND(S$4&lt;=Org!$B$5,S32&gt;=0),S$4,"")</f>
        <v/>
      </c>
      <c r="T33" s="22" t="str">
        <f>IF(AND(T$4&lt;=Org!$B$5,T32&gt;=0),T$4,"")</f>
        <v/>
      </c>
      <c r="U33" s="22" t="str">
        <f>IF(AND(U$4&lt;=Org!$B$5,U32&gt;=0),U$4,"")</f>
        <v/>
      </c>
      <c r="V33" s="22" t="str">
        <f>IF(AND(V$4&lt;=Org!$B$5,V32&gt;=0),V$4,"")</f>
        <v/>
      </c>
      <c r="W33" s="22" t="str">
        <f>IF(AND(W$4&lt;=Org!$B$5,W32&gt;=0),W$4,"")</f>
        <v/>
      </c>
      <c r="X33" s="22" t="str">
        <f>IF(AND(X$4&lt;=Org!$B$5,X32&gt;=0),X$4,"")</f>
        <v/>
      </c>
      <c r="Y33" s="22" t="str">
        <f>IF(AND(Y$4&lt;=Org!$B$5,Y32&gt;=0),Y$4,"")</f>
        <v/>
      </c>
      <c r="Z33" s="22" t="str">
        <f>IF(AND(Z$4&lt;=Org!$B$5,Z32&gt;=0),Z$4,"")</f>
        <v/>
      </c>
      <c r="AA33" s="22" t="str">
        <f>IF(AND(AA$4&lt;=Org!$B$5,AA32&gt;=0),AA$4,"")</f>
        <v/>
      </c>
      <c r="AB33" s="22" t="str">
        <f>IF(AND(AB$4&lt;=Org!$B$5,AB32&gt;=0),AB$4,"")</f>
        <v/>
      </c>
      <c r="AC33" s="22" t="str">
        <f>IF(AND(AC$4&lt;=Org!$B$5,AC32&gt;=0),AC$4,"")</f>
        <v/>
      </c>
      <c r="AD33" s="22" t="str">
        <f>IF(AND(AD$4&lt;=Org!$B$5,AD32&gt;=0),AD$4,"")</f>
        <v/>
      </c>
      <c r="AE33" s="22" t="str">
        <f>IF(AND(AE$4&lt;=Org!$B$5,AE32&gt;=0),AE$4,"")</f>
        <v/>
      </c>
      <c r="AF33" s="22" t="str">
        <f>IF(AND(AF$4&lt;=Org!$B$5,AF32&gt;=0),AF$4,"")</f>
        <v/>
      </c>
      <c r="AG33" s="22" t="str">
        <f>IF(AND(AG$4&lt;=Org!$B$5,AG32&gt;=0),AG$4,"")</f>
        <v/>
      </c>
      <c r="AH33" s="22" t="str">
        <f>IF(AND(AH$4&lt;=Org!$B$5,AH32&gt;=0),AH$4,"")</f>
        <v/>
      </c>
      <c r="AI33" s="22" t="str">
        <f>IF(AND(AI$4&lt;=Org!$B$5,AI32&gt;=0),AI$4,"")</f>
        <v/>
      </c>
      <c r="AJ33" s="22" t="str">
        <f>IF(AND(AJ$4&lt;=Org!$B$5,AJ32&gt;=0),AJ$4,"")</f>
        <v/>
      </c>
      <c r="AK33" s="22" t="str">
        <f>IF(AND(AK$4&lt;=Org!$B$5,AK32&gt;=0),AK$4,"")</f>
        <v/>
      </c>
      <c r="AL33" s="22" t="str">
        <f>IF(AND(AL$4&lt;=Org!$B$5,AL32&gt;=0),AL$4,"")</f>
        <v/>
      </c>
      <c r="AM33" s="22" t="str">
        <f>IF(AND(AM$4&lt;=Org!$B$5,AM32&gt;=0),AM$4,"")</f>
        <v/>
      </c>
      <c r="AN33" s="22" t="str">
        <f>IF(AND(AN$4&lt;=Org!$B$5,AN32&gt;=0),AN$4,"")</f>
        <v/>
      </c>
      <c r="AO33" s="22" t="str">
        <f>IF(AND(AO$4&lt;=Org!$B$5,AO32&gt;=0),AO$4,"")</f>
        <v/>
      </c>
      <c r="AP33" s="22" t="str">
        <f>IF(AND(AP$4&lt;=Org!$B$5,AP32&gt;=0),AP$4,"")</f>
        <v/>
      </c>
      <c r="AQ33" s="22" t="str">
        <f>IF(AND(AQ$4&lt;=Org!$B$5,AQ32&gt;=0),AQ$4,"")</f>
        <v/>
      </c>
      <c r="AR33" s="22" t="str">
        <f>IF(AND(AR$4&lt;=Org!$B$5,AR32&gt;=0),AR$4,"")</f>
        <v/>
      </c>
      <c r="AS33" s="22" t="str">
        <f>IF(AND(AS$4&lt;=Org!$B$5,AS32&gt;=0),AS$4,"")</f>
        <v/>
      </c>
      <c r="AT33" s="22" t="str">
        <f>IF(AND(AT$4&lt;=Org!$B$5,AT32&gt;=0),AT$4,"")</f>
        <v/>
      </c>
      <c r="AU33" s="22" t="str">
        <f>IF(AND(AU$4&lt;=Org!$B$5,AU32&gt;=0),AU$4,"")</f>
        <v/>
      </c>
      <c r="AV33" s="22" t="str">
        <f>IF(AND(AV$4&lt;=Org!$B$5,AV32&gt;=0),AV$4,"")</f>
        <v/>
      </c>
      <c r="AW33" s="22" t="str">
        <f>IF(AND(AW$4&lt;=Org!$B$5,AW32&gt;=0),AW$4,"")</f>
        <v/>
      </c>
      <c r="AX33" s="22" t="str">
        <f>IF(AND(AX$4&lt;=Org!$B$5,AX32&gt;=0),AX$4,"")</f>
        <v/>
      </c>
      <c r="AY33" s="22" t="str">
        <f>IF(AND(AY$4&lt;=Org!$B$5,AY32&gt;=0),AY$4,"")</f>
        <v/>
      </c>
      <c r="AZ33" s="22" t="str">
        <f>IF(AND(AZ$4&lt;=Org!$B$5,AZ32&gt;=0),AZ$4,"")</f>
        <v/>
      </c>
      <c r="BA33" s="22" t="str">
        <f>IF(AND(BA$4&lt;=Org!$B$5,BA32&gt;=0),BA$4,"")</f>
        <v/>
      </c>
      <c r="BB33" s="22" t="str">
        <f>IF(AND(BB$4&lt;=Org!$B$5,BB32&gt;=0),BB$4,"")</f>
        <v/>
      </c>
      <c r="BC33" s="22" t="str">
        <f>IF(AND(BC$4&lt;=Org!$B$5,BC32&gt;=0),BC$4,"")</f>
        <v/>
      </c>
      <c r="BD33" s="22" t="str">
        <f>IF(AND(BD$4&lt;=Org!$B$5,BD32&gt;=0),BD$4,"")</f>
        <v/>
      </c>
      <c r="BE33" s="22" t="str">
        <f>IF(AND(BE$4&lt;=Org!$B$5,BE32&gt;=0),BE$4,"")</f>
        <v/>
      </c>
      <c r="BF33" s="22" t="str">
        <f>IF(AND(BF$4&lt;=Org!$B$5,BF32&gt;=0),BF$4,"")</f>
        <v/>
      </c>
      <c r="BG33" s="22" t="str">
        <f>IF(AND(BG$4&lt;=Org!$B$5,BG32&gt;=0),BG$4,"")</f>
        <v/>
      </c>
      <c r="BH33" s="22" t="str">
        <f>IF(AND(BH$4&lt;=Org!$B$5,BH32&gt;=0),BH$4,"")</f>
        <v/>
      </c>
      <c r="BI33" s="22" t="str">
        <f>IF(AND(BI$4&lt;=Org!$B$5,BI32&gt;=0),BI$4,"")</f>
        <v/>
      </c>
      <c r="BJ33" s="22" t="str">
        <f>IF(AND(BJ$4&lt;=Org!$B$5,BJ32&gt;=0),BJ$4,"")</f>
        <v/>
      </c>
      <c r="BK33" s="22" t="str">
        <f>IF(AND(BK$4&lt;=Org!$B$5,BK32&gt;=0),BK$4,"")</f>
        <v/>
      </c>
      <c r="BL33" s="22" t="str">
        <f>IF(AND(BL$4&lt;=Org!$B$5,BL32&gt;=0),BL$4,"")</f>
        <v/>
      </c>
    </row>
    <row r="35" spans="1:64" x14ac:dyDescent="0.3">
      <c r="A35" s="17" t="str">
        <f>Teams!$D$4</f>
        <v>Engineering assistant</v>
      </c>
      <c r="B35" s="18" t="s">
        <v>1009</v>
      </c>
      <c r="C35" s="50">
        <f>(Teams!$D$29*(1-Teams!$D$31)*Params!$D$39*Params!$D$21*IF(Teams!$D$36="Yes",Params!$D$22,1)*Teams!$D$68*Teams!$D$70+Teams!$D$30*(1-Teams!$D$31)*Params!$D$39*Params!$D$21*IF(Teams!$D$36="Yes",Params!$D$22,1)*Teams!$D$69)/1000000*Teams!$D$71*Teams!$D$35</f>
        <v>5.4692820000000003E-2</v>
      </c>
    </row>
    <row r="36" spans="1:64" x14ac:dyDescent="0.3">
      <c r="A36" s="8" t="s">
        <v>1010</v>
      </c>
      <c r="E36" s="26">
        <f>IF(E$4&lt;Teams!$D$80,0,IF(Teams!$D$22="S",MIN(1,(E$4-Teams!$D$80+1)/Teams!$D$21)^2*(3-2*MIN(1,(E$4-Teams!$D$80+1)/Teams!$D$21)),MIN(1,(E$4-Teams!$D$80+1)/Teams!$D$21)))</f>
        <v>0.25</v>
      </c>
      <c r="F36" s="26">
        <f>IF(F$4&lt;Teams!$D$80,0,IF(Teams!$D$22="S",MIN(1,(F$4-Teams!$D$80+1)/Teams!$D$21)^2*(3-2*MIN(1,(F$4-Teams!$D$80+1)/Teams!$D$21)),MIN(1,(F$4-Teams!$D$80+1)/Teams!$D$21)))</f>
        <v>0.5</v>
      </c>
      <c r="G36" s="26">
        <f>IF(G$4&lt;Teams!$D$80,0,IF(Teams!$D$22="S",MIN(1,(G$4-Teams!$D$80+1)/Teams!$D$21)^2*(3-2*MIN(1,(G$4-Teams!$D$80+1)/Teams!$D$21)),MIN(1,(G$4-Teams!$D$80+1)/Teams!$D$21)))</f>
        <v>0.75</v>
      </c>
      <c r="H36" s="26">
        <f>IF(H$4&lt;Teams!$D$80,0,IF(Teams!$D$22="S",MIN(1,(H$4-Teams!$D$80+1)/Teams!$D$21)^2*(3-2*MIN(1,(H$4-Teams!$D$80+1)/Teams!$D$21)),MIN(1,(H$4-Teams!$D$80+1)/Teams!$D$21)))</f>
        <v>1</v>
      </c>
      <c r="I36" s="26">
        <f>IF(I$4&lt;Teams!$D$80,0,IF(Teams!$D$22="S",MIN(1,(I$4-Teams!$D$80+1)/Teams!$D$21)^2*(3-2*MIN(1,(I$4-Teams!$D$80+1)/Teams!$D$21)),MIN(1,(I$4-Teams!$D$80+1)/Teams!$D$21)))</f>
        <v>1</v>
      </c>
      <c r="J36" s="26">
        <f>IF(J$4&lt;Teams!$D$80,0,IF(Teams!$D$22="S",MIN(1,(J$4-Teams!$D$80+1)/Teams!$D$21)^2*(3-2*MIN(1,(J$4-Teams!$D$80+1)/Teams!$D$21)),MIN(1,(J$4-Teams!$D$80+1)/Teams!$D$21)))</f>
        <v>1</v>
      </c>
      <c r="K36" s="26">
        <f>IF(K$4&lt;Teams!$D$80,0,IF(Teams!$D$22="S",MIN(1,(K$4-Teams!$D$80+1)/Teams!$D$21)^2*(3-2*MIN(1,(K$4-Teams!$D$80+1)/Teams!$D$21)),MIN(1,(K$4-Teams!$D$80+1)/Teams!$D$21)))</f>
        <v>1</v>
      </c>
      <c r="L36" s="26">
        <f>IF(L$4&lt;Teams!$D$80,0,IF(Teams!$D$22="S",MIN(1,(L$4-Teams!$D$80+1)/Teams!$D$21)^2*(3-2*MIN(1,(L$4-Teams!$D$80+1)/Teams!$D$21)),MIN(1,(L$4-Teams!$D$80+1)/Teams!$D$21)))</f>
        <v>1</v>
      </c>
      <c r="M36" s="26">
        <f>IF(M$4&lt;Teams!$D$80,0,IF(Teams!$D$22="S",MIN(1,(M$4-Teams!$D$80+1)/Teams!$D$21)^2*(3-2*MIN(1,(M$4-Teams!$D$80+1)/Teams!$D$21)),MIN(1,(M$4-Teams!$D$80+1)/Teams!$D$21)))</f>
        <v>1</v>
      </c>
      <c r="N36" s="26">
        <f>IF(N$4&lt;Teams!$D$80,0,IF(Teams!$D$22="S",MIN(1,(N$4-Teams!$D$80+1)/Teams!$D$21)^2*(3-2*MIN(1,(N$4-Teams!$D$80+1)/Teams!$D$21)),MIN(1,(N$4-Teams!$D$80+1)/Teams!$D$21)))</f>
        <v>1</v>
      </c>
      <c r="O36" s="26">
        <f>IF(O$4&lt;Teams!$D$80,0,IF(Teams!$D$22="S",MIN(1,(O$4-Teams!$D$80+1)/Teams!$D$21)^2*(3-2*MIN(1,(O$4-Teams!$D$80+1)/Teams!$D$21)),MIN(1,(O$4-Teams!$D$80+1)/Teams!$D$21)))</f>
        <v>1</v>
      </c>
      <c r="P36" s="26">
        <f>IF(P$4&lt;Teams!$D$80,0,IF(Teams!$D$22="S",MIN(1,(P$4-Teams!$D$80+1)/Teams!$D$21)^2*(3-2*MIN(1,(P$4-Teams!$D$80+1)/Teams!$D$21)),MIN(1,(P$4-Teams!$D$80+1)/Teams!$D$21)))</f>
        <v>1</v>
      </c>
      <c r="Q36" s="26">
        <f>IF(Q$4&lt;Teams!$D$80,0,IF(Teams!$D$22="S",MIN(1,(Q$4-Teams!$D$80+1)/Teams!$D$21)^2*(3-2*MIN(1,(Q$4-Teams!$D$80+1)/Teams!$D$21)),MIN(1,(Q$4-Teams!$D$80+1)/Teams!$D$21)))</f>
        <v>1</v>
      </c>
      <c r="R36" s="26">
        <f>IF(R$4&lt;Teams!$D$80,0,IF(Teams!$D$22="S",MIN(1,(R$4-Teams!$D$80+1)/Teams!$D$21)^2*(3-2*MIN(1,(R$4-Teams!$D$80+1)/Teams!$D$21)),MIN(1,(R$4-Teams!$D$80+1)/Teams!$D$21)))</f>
        <v>1</v>
      </c>
      <c r="S36" s="26">
        <f>IF(S$4&lt;Teams!$D$80,0,IF(Teams!$D$22="S",MIN(1,(S$4-Teams!$D$80+1)/Teams!$D$21)^2*(3-2*MIN(1,(S$4-Teams!$D$80+1)/Teams!$D$21)),MIN(1,(S$4-Teams!$D$80+1)/Teams!$D$21)))</f>
        <v>1</v>
      </c>
      <c r="T36" s="26">
        <f>IF(T$4&lt;Teams!$D$80,0,IF(Teams!$D$22="S",MIN(1,(T$4-Teams!$D$80+1)/Teams!$D$21)^2*(3-2*MIN(1,(T$4-Teams!$D$80+1)/Teams!$D$21)),MIN(1,(T$4-Teams!$D$80+1)/Teams!$D$21)))</f>
        <v>1</v>
      </c>
      <c r="U36" s="26">
        <f>IF(U$4&lt;Teams!$D$80,0,IF(Teams!$D$22="S",MIN(1,(U$4-Teams!$D$80+1)/Teams!$D$21)^2*(3-2*MIN(1,(U$4-Teams!$D$80+1)/Teams!$D$21)),MIN(1,(U$4-Teams!$D$80+1)/Teams!$D$21)))</f>
        <v>1</v>
      </c>
      <c r="V36" s="26">
        <f>IF(V$4&lt;Teams!$D$80,0,IF(Teams!$D$22="S",MIN(1,(V$4-Teams!$D$80+1)/Teams!$D$21)^2*(3-2*MIN(1,(V$4-Teams!$D$80+1)/Teams!$D$21)),MIN(1,(V$4-Teams!$D$80+1)/Teams!$D$21)))</f>
        <v>1</v>
      </c>
      <c r="W36" s="26">
        <f>IF(W$4&lt;Teams!$D$80,0,IF(Teams!$D$22="S",MIN(1,(W$4-Teams!$D$80+1)/Teams!$D$21)^2*(3-2*MIN(1,(W$4-Teams!$D$80+1)/Teams!$D$21)),MIN(1,(W$4-Teams!$D$80+1)/Teams!$D$21)))</f>
        <v>1</v>
      </c>
      <c r="X36" s="26">
        <f>IF(X$4&lt;Teams!$D$80,0,IF(Teams!$D$22="S",MIN(1,(X$4-Teams!$D$80+1)/Teams!$D$21)^2*(3-2*MIN(1,(X$4-Teams!$D$80+1)/Teams!$D$21)),MIN(1,(X$4-Teams!$D$80+1)/Teams!$D$21)))</f>
        <v>1</v>
      </c>
      <c r="Y36" s="26">
        <f>IF(Y$4&lt;Teams!$D$80,0,IF(Teams!$D$22="S",MIN(1,(Y$4-Teams!$D$80+1)/Teams!$D$21)^2*(3-2*MIN(1,(Y$4-Teams!$D$80+1)/Teams!$D$21)),MIN(1,(Y$4-Teams!$D$80+1)/Teams!$D$21)))</f>
        <v>1</v>
      </c>
      <c r="Z36" s="26">
        <f>IF(Z$4&lt;Teams!$D$80,0,IF(Teams!$D$22="S",MIN(1,(Z$4-Teams!$D$80+1)/Teams!$D$21)^2*(3-2*MIN(1,(Z$4-Teams!$D$80+1)/Teams!$D$21)),MIN(1,(Z$4-Teams!$D$80+1)/Teams!$D$21)))</f>
        <v>1</v>
      </c>
      <c r="AA36" s="26">
        <f>IF(AA$4&lt;Teams!$D$80,0,IF(Teams!$D$22="S",MIN(1,(AA$4-Teams!$D$80+1)/Teams!$D$21)^2*(3-2*MIN(1,(AA$4-Teams!$D$80+1)/Teams!$D$21)),MIN(1,(AA$4-Teams!$D$80+1)/Teams!$D$21)))</f>
        <v>1</v>
      </c>
      <c r="AB36" s="26">
        <f>IF(AB$4&lt;Teams!$D$80,0,IF(Teams!$D$22="S",MIN(1,(AB$4-Teams!$D$80+1)/Teams!$D$21)^2*(3-2*MIN(1,(AB$4-Teams!$D$80+1)/Teams!$D$21)),MIN(1,(AB$4-Teams!$D$80+1)/Teams!$D$21)))</f>
        <v>1</v>
      </c>
      <c r="AC36" s="26">
        <f>IF(AC$4&lt;Teams!$D$80,0,IF(Teams!$D$22="S",MIN(1,(AC$4-Teams!$D$80+1)/Teams!$D$21)^2*(3-2*MIN(1,(AC$4-Teams!$D$80+1)/Teams!$D$21)),MIN(1,(AC$4-Teams!$D$80+1)/Teams!$D$21)))</f>
        <v>1</v>
      </c>
      <c r="AD36" s="26">
        <f>IF(AD$4&lt;Teams!$D$80,0,IF(Teams!$D$22="S",MIN(1,(AD$4-Teams!$D$80+1)/Teams!$D$21)^2*(3-2*MIN(1,(AD$4-Teams!$D$80+1)/Teams!$D$21)),MIN(1,(AD$4-Teams!$D$80+1)/Teams!$D$21)))</f>
        <v>1</v>
      </c>
      <c r="AE36" s="26">
        <f>IF(AE$4&lt;Teams!$D$80,0,IF(Teams!$D$22="S",MIN(1,(AE$4-Teams!$D$80+1)/Teams!$D$21)^2*(3-2*MIN(1,(AE$4-Teams!$D$80+1)/Teams!$D$21)),MIN(1,(AE$4-Teams!$D$80+1)/Teams!$D$21)))</f>
        <v>1</v>
      </c>
      <c r="AF36" s="26">
        <f>IF(AF$4&lt;Teams!$D$80,0,IF(Teams!$D$22="S",MIN(1,(AF$4-Teams!$D$80+1)/Teams!$D$21)^2*(3-2*MIN(1,(AF$4-Teams!$D$80+1)/Teams!$D$21)),MIN(1,(AF$4-Teams!$D$80+1)/Teams!$D$21)))</f>
        <v>1</v>
      </c>
      <c r="AG36" s="26">
        <f>IF(AG$4&lt;Teams!$D$80,0,IF(Teams!$D$22="S",MIN(1,(AG$4-Teams!$D$80+1)/Teams!$D$21)^2*(3-2*MIN(1,(AG$4-Teams!$D$80+1)/Teams!$D$21)),MIN(1,(AG$4-Teams!$D$80+1)/Teams!$D$21)))</f>
        <v>1</v>
      </c>
      <c r="AH36" s="26">
        <f>IF(AH$4&lt;Teams!$D$80,0,IF(Teams!$D$22="S",MIN(1,(AH$4-Teams!$D$80+1)/Teams!$D$21)^2*(3-2*MIN(1,(AH$4-Teams!$D$80+1)/Teams!$D$21)),MIN(1,(AH$4-Teams!$D$80+1)/Teams!$D$21)))</f>
        <v>1</v>
      </c>
      <c r="AI36" s="26">
        <f>IF(AI$4&lt;Teams!$D$80,0,IF(Teams!$D$22="S",MIN(1,(AI$4-Teams!$D$80+1)/Teams!$D$21)^2*(3-2*MIN(1,(AI$4-Teams!$D$80+1)/Teams!$D$21)),MIN(1,(AI$4-Teams!$D$80+1)/Teams!$D$21)))</f>
        <v>1</v>
      </c>
      <c r="AJ36" s="26">
        <f>IF(AJ$4&lt;Teams!$D$80,0,IF(Teams!$D$22="S",MIN(1,(AJ$4-Teams!$D$80+1)/Teams!$D$21)^2*(3-2*MIN(1,(AJ$4-Teams!$D$80+1)/Teams!$D$21)),MIN(1,(AJ$4-Teams!$D$80+1)/Teams!$D$21)))</f>
        <v>1</v>
      </c>
      <c r="AK36" s="26">
        <f>IF(AK$4&lt;Teams!$D$80,0,IF(Teams!$D$22="S",MIN(1,(AK$4-Teams!$D$80+1)/Teams!$D$21)^2*(3-2*MIN(1,(AK$4-Teams!$D$80+1)/Teams!$D$21)),MIN(1,(AK$4-Teams!$D$80+1)/Teams!$D$21)))</f>
        <v>1</v>
      </c>
      <c r="AL36" s="26">
        <f>IF(AL$4&lt;Teams!$D$80,0,IF(Teams!$D$22="S",MIN(1,(AL$4-Teams!$D$80+1)/Teams!$D$21)^2*(3-2*MIN(1,(AL$4-Teams!$D$80+1)/Teams!$D$21)),MIN(1,(AL$4-Teams!$D$80+1)/Teams!$D$21)))</f>
        <v>1</v>
      </c>
      <c r="AM36" s="26">
        <f>IF(AM$4&lt;Teams!$D$80,0,IF(Teams!$D$22="S",MIN(1,(AM$4-Teams!$D$80+1)/Teams!$D$21)^2*(3-2*MIN(1,(AM$4-Teams!$D$80+1)/Teams!$D$21)),MIN(1,(AM$4-Teams!$D$80+1)/Teams!$D$21)))</f>
        <v>1</v>
      </c>
      <c r="AN36" s="26">
        <f>IF(AN$4&lt;Teams!$D$80,0,IF(Teams!$D$22="S",MIN(1,(AN$4-Teams!$D$80+1)/Teams!$D$21)^2*(3-2*MIN(1,(AN$4-Teams!$D$80+1)/Teams!$D$21)),MIN(1,(AN$4-Teams!$D$80+1)/Teams!$D$21)))</f>
        <v>1</v>
      </c>
      <c r="AO36" s="26">
        <f>IF(AO$4&lt;Teams!$D$80,0,IF(Teams!$D$22="S",MIN(1,(AO$4-Teams!$D$80+1)/Teams!$D$21)^2*(3-2*MIN(1,(AO$4-Teams!$D$80+1)/Teams!$D$21)),MIN(1,(AO$4-Teams!$D$80+1)/Teams!$D$21)))</f>
        <v>1</v>
      </c>
      <c r="AP36" s="26">
        <f>IF(AP$4&lt;Teams!$D$80,0,IF(Teams!$D$22="S",MIN(1,(AP$4-Teams!$D$80+1)/Teams!$D$21)^2*(3-2*MIN(1,(AP$4-Teams!$D$80+1)/Teams!$D$21)),MIN(1,(AP$4-Teams!$D$80+1)/Teams!$D$21)))</f>
        <v>1</v>
      </c>
      <c r="AQ36" s="26">
        <f>IF(AQ$4&lt;Teams!$D$80,0,IF(Teams!$D$22="S",MIN(1,(AQ$4-Teams!$D$80+1)/Teams!$D$21)^2*(3-2*MIN(1,(AQ$4-Teams!$D$80+1)/Teams!$D$21)),MIN(1,(AQ$4-Teams!$D$80+1)/Teams!$D$21)))</f>
        <v>1</v>
      </c>
      <c r="AR36" s="26">
        <f>IF(AR$4&lt;Teams!$D$80,0,IF(Teams!$D$22="S",MIN(1,(AR$4-Teams!$D$80+1)/Teams!$D$21)^2*(3-2*MIN(1,(AR$4-Teams!$D$80+1)/Teams!$D$21)),MIN(1,(AR$4-Teams!$D$80+1)/Teams!$D$21)))</f>
        <v>1</v>
      </c>
      <c r="AS36" s="26">
        <f>IF(AS$4&lt;Teams!$D$80,0,IF(Teams!$D$22="S",MIN(1,(AS$4-Teams!$D$80+1)/Teams!$D$21)^2*(3-2*MIN(1,(AS$4-Teams!$D$80+1)/Teams!$D$21)),MIN(1,(AS$4-Teams!$D$80+1)/Teams!$D$21)))</f>
        <v>1</v>
      </c>
      <c r="AT36" s="26">
        <f>IF(AT$4&lt;Teams!$D$80,0,IF(Teams!$D$22="S",MIN(1,(AT$4-Teams!$D$80+1)/Teams!$D$21)^2*(3-2*MIN(1,(AT$4-Teams!$D$80+1)/Teams!$D$21)),MIN(1,(AT$4-Teams!$D$80+1)/Teams!$D$21)))</f>
        <v>1</v>
      </c>
      <c r="AU36" s="26">
        <f>IF(AU$4&lt;Teams!$D$80,0,IF(Teams!$D$22="S",MIN(1,(AU$4-Teams!$D$80+1)/Teams!$D$21)^2*(3-2*MIN(1,(AU$4-Teams!$D$80+1)/Teams!$D$21)),MIN(1,(AU$4-Teams!$D$80+1)/Teams!$D$21)))</f>
        <v>1</v>
      </c>
      <c r="AV36" s="26">
        <f>IF(AV$4&lt;Teams!$D$80,0,IF(Teams!$D$22="S",MIN(1,(AV$4-Teams!$D$80+1)/Teams!$D$21)^2*(3-2*MIN(1,(AV$4-Teams!$D$80+1)/Teams!$D$21)),MIN(1,(AV$4-Teams!$D$80+1)/Teams!$D$21)))</f>
        <v>1</v>
      </c>
      <c r="AW36" s="26">
        <f>IF(AW$4&lt;Teams!$D$80,0,IF(Teams!$D$22="S",MIN(1,(AW$4-Teams!$D$80+1)/Teams!$D$21)^2*(3-2*MIN(1,(AW$4-Teams!$D$80+1)/Teams!$D$21)),MIN(1,(AW$4-Teams!$D$80+1)/Teams!$D$21)))</f>
        <v>1</v>
      </c>
      <c r="AX36" s="26">
        <f>IF(AX$4&lt;Teams!$D$80,0,IF(Teams!$D$22="S",MIN(1,(AX$4-Teams!$D$80+1)/Teams!$D$21)^2*(3-2*MIN(1,(AX$4-Teams!$D$80+1)/Teams!$D$21)),MIN(1,(AX$4-Teams!$D$80+1)/Teams!$D$21)))</f>
        <v>1</v>
      </c>
      <c r="AY36" s="26">
        <f>IF(AY$4&lt;Teams!$D$80,0,IF(Teams!$D$22="S",MIN(1,(AY$4-Teams!$D$80+1)/Teams!$D$21)^2*(3-2*MIN(1,(AY$4-Teams!$D$80+1)/Teams!$D$21)),MIN(1,(AY$4-Teams!$D$80+1)/Teams!$D$21)))</f>
        <v>1</v>
      </c>
      <c r="AZ36" s="26">
        <f>IF(AZ$4&lt;Teams!$D$80,0,IF(Teams!$D$22="S",MIN(1,(AZ$4-Teams!$D$80+1)/Teams!$D$21)^2*(3-2*MIN(1,(AZ$4-Teams!$D$80+1)/Teams!$D$21)),MIN(1,(AZ$4-Teams!$D$80+1)/Teams!$D$21)))</f>
        <v>1</v>
      </c>
      <c r="BA36" s="26">
        <f>IF(BA$4&lt;Teams!$D$80,0,IF(Teams!$D$22="S",MIN(1,(BA$4-Teams!$D$80+1)/Teams!$D$21)^2*(3-2*MIN(1,(BA$4-Teams!$D$80+1)/Teams!$D$21)),MIN(1,(BA$4-Teams!$D$80+1)/Teams!$D$21)))</f>
        <v>1</v>
      </c>
      <c r="BB36" s="26">
        <f>IF(BB$4&lt;Teams!$D$80,0,IF(Teams!$D$22="S",MIN(1,(BB$4-Teams!$D$80+1)/Teams!$D$21)^2*(3-2*MIN(1,(BB$4-Teams!$D$80+1)/Teams!$D$21)),MIN(1,(BB$4-Teams!$D$80+1)/Teams!$D$21)))</f>
        <v>1</v>
      </c>
      <c r="BC36" s="26">
        <f>IF(BC$4&lt;Teams!$D$80,0,IF(Teams!$D$22="S",MIN(1,(BC$4-Teams!$D$80+1)/Teams!$D$21)^2*(3-2*MIN(1,(BC$4-Teams!$D$80+1)/Teams!$D$21)),MIN(1,(BC$4-Teams!$D$80+1)/Teams!$D$21)))</f>
        <v>1</v>
      </c>
      <c r="BD36" s="26">
        <f>IF(BD$4&lt;Teams!$D$80,0,IF(Teams!$D$22="S",MIN(1,(BD$4-Teams!$D$80+1)/Teams!$D$21)^2*(3-2*MIN(1,(BD$4-Teams!$D$80+1)/Teams!$D$21)),MIN(1,(BD$4-Teams!$D$80+1)/Teams!$D$21)))</f>
        <v>1</v>
      </c>
      <c r="BE36" s="26">
        <f>IF(BE$4&lt;Teams!$D$80,0,IF(Teams!$D$22="S",MIN(1,(BE$4-Teams!$D$80+1)/Teams!$D$21)^2*(3-2*MIN(1,(BE$4-Teams!$D$80+1)/Teams!$D$21)),MIN(1,(BE$4-Teams!$D$80+1)/Teams!$D$21)))</f>
        <v>1</v>
      </c>
      <c r="BF36" s="26">
        <f>IF(BF$4&lt;Teams!$D$80,0,IF(Teams!$D$22="S",MIN(1,(BF$4-Teams!$D$80+1)/Teams!$D$21)^2*(3-2*MIN(1,(BF$4-Teams!$D$80+1)/Teams!$D$21)),MIN(1,(BF$4-Teams!$D$80+1)/Teams!$D$21)))</f>
        <v>1</v>
      </c>
      <c r="BG36" s="26">
        <f>IF(BG$4&lt;Teams!$D$80,0,IF(Teams!$D$22="S",MIN(1,(BG$4-Teams!$D$80+1)/Teams!$D$21)^2*(3-2*MIN(1,(BG$4-Teams!$D$80+1)/Teams!$D$21)),MIN(1,(BG$4-Teams!$D$80+1)/Teams!$D$21)))</f>
        <v>1</v>
      </c>
      <c r="BH36" s="26">
        <f>IF(BH$4&lt;Teams!$D$80,0,IF(Teams!$D$22="S",MIN(1,(BH$4-Teams!$D$80+1)/Teams!$D$21)^2*(3-2*MIN(1,(BH$4-Teams!$D$80+1)/Teams!$D$21)),MIN(1,(BH$4-Teams!$D$80+1)/Teams!$D$21)))</f>
        <v>1</v>
      </c>
      <c r="BI36" s="26">
        <f>IF(BI$4&lt;Teams!$D$80,0,IF(Teams!$D$22="S",MIN(1,(BI$4-Teams!$D$80+1)/Teams!$D$21)^2*(3-2*MIN(1,(BI$4-Teams!$D$80+1)/Teams!$D$21)),MIN(1,(BI$4-Teams!$D$80+1)/Teams!$D$21)))</f>
        <v>1</v>
      </c>
      <c r="BJ36" s="26">
        <f>IF(BJ$4&lt;Teams!$D$80,0,IF(Teams!$D$22="S",MIN(1,(BJ$4-Teams!$D$80+1)/Teams!$D$21)^2*(3-2*MIN(1,(BJ$4-Teams!$D$80+1)/Teams!$D$21)),MIN(1,(BJ$4-Teams!$D$80+1)/Teams!$D$21)))</f>
        <v>1</v>
      </c>
      <c r="BK36" s="26">
        <f>IF(BK$4&lt;Teams!$D$80,0,IF(Teams!$D$22="S",MIN(1,(BK$4-Teams!$D$80+1)/Teams!$D$21)^2*(3-2*MIN(1,(BK$4-Teams!$D$80+1)/Teams!$D$21)),MIN(1,(BK$4-Teams!$D$80+1)/Teams!$D$21)))</f>
        <v>1</v>
      </c>
      <c r="BL36" s="26">
        <f>IF(BL$4&lt;Teams!$D$80,0,IF(Teams!$D$22="S",MIN(1,(BL$4-Teams!$D$80+1)/Teams!$D$21)^2*(3-2*MIN(1,(BL$4-Teams!$D$80+1)/Teams!$D$21)),MIN(1,(BL$4-Teams!$D$80+1)/Teams!$D$21)))</f>
        <v>1</v>
      </c>
    </row>
    <row r="37" spans="1:64" x14ac:dyDescent="0.3">
      <c r="A37" s="8" t="s">
        <v>160</v>
      </c>
      <c r="E37" s="22">
        <f>IF(E$4&gt;=Teams!$D$80,Teams!$D$18,0)</f>
        <v>400</v>
      </c>
      <c r="F37" s="22">
        <f>IF(F$4&gt;=Teams!$D$80,Teams!$D$18,0)</f>
        <v>400</v>
      </c>
      <c r="G37" s="22">
        <f>IF(G$4&gt;=Teams!$D$80,Teams!$D$18,0)</f>
        <v>400</v>
      </c>
      <c r="H37" s="22">
        <f>IF(H$4&gt;=Teams!$D$80,Teams!$D$18,0)</f>
        <v>400</v>
      </c>
      <c r="I37" s="22">
        <f>IF(I$4&gt;=Teams!$D$80,Teams!$D$18,0)</f>
        <v>400</v>
      </c>
      <c r="J37" s="22">
        <f>IF(J$4&gt;=Teams!$D$80,Teams!$D$18,0)</f>
        <v>400</v>
      </c>
      <c r="K37" s="22">
        <f>IF(K$4&gt;=Teams!$D$80,Teams!$D$18,0)</f>
        <v>400</v>
      </c>
      <c r="L37" s="22">
        <f>IF(L$4&gt;=Teams!$D$80,Teams!$D$18,0)</f>
        <v>400</v>
      </c>
      <c r="M37" s="22">
        <f>IF(M$4&gt;=Teams!$D$80,Teams!$D$18,0)</f>
        <v>400</v>
      </c>
      <c r="N37" s="22">
        <f>IF(N$4&gt;=Teams!$D$80,Teams!$D$18,0)</f>
        <v>400</v>
      </c>
      <c r="O37" s="22">
        <f>IF(O$4&gt;=Teams!$D$80,Teams!$D$18,0)</f>
        <v>400</v>
      </c>
      <c r="P37" s="22">
        <f>IF(P$4&gt;=Teams!$D$80,Teams!$D$18,0)</f>
        <v>400</v>
      </c>
      <c r="Q37" s="22">
        <f>IF(Q$4&gt;=Teams!$D$80,Teams!$D$18,0)</f>
        <v>400</v>
      </c>
      <c r="R37" s="22">
        <f>IF(R$4&gt;=Teams!$D$80,Teams!$D$18,0)</f>
        <v>400</v>
      </c>
      <c r="S37" s="22">
        <f>IF(S$4&gt;=Teams!$D$80,Teams!$D$18,0)</f>
        <v>400</v>
      </c>
      <c r="T37" s="22">
        <f>IF(T$4&gt;=Teams!$D$80,Teams!$D$18,0)</f>
        <v>400</v>
      </c>
      <c r="U37" s="22">
        <f>IF(U$4&gt;=Teams!$D$80,Teams!$D$18,0)</f>
        <v>400</v>
      </c>
      <c r="V37" s="22">
        <f>IF(V$4&gt;=Teams!$D$80,Teams!$D$18,0)</f>
        <v>400</v>
      </c>
      <c r="W37" s="22">
        <f>IF(W$4&gt;=Teams!$D$80,Teams!$D$18,0)</f>
        <v>400</v>
      </c>
      <c r="X37" s="22">
        <f>IF(X$4&gt;=Teams!$D$80,Teams!$D$18,0)</f>
        <v>400</v>
      </c>
      <c r="Y37" s="22">
        <f>IF(Y$4&gt;=Teams!$D$80,Teams!$D$18,0)</f>
        <v>400</v>
      </c>
      <c r="Z37" s="22">
        <f>IF(Z$4&gt;=Teams!$D$80,Teams!$D$18,0)</f>
        <v>400</v>
      </c>
      <c r="AA37" s="22">
        <f>IF(AA$4&gt;=Teams!$D$80,Teams!$D$18,0)</f>
        <v>400</v>
      </c>
      <c r="AB37" s="22">
        <f>IF(AB$4&gt;=Teams!$D$80,Teams!$D$18,0)</f>
        <v>400</v>
      </c>
      <c r="AC37" s="22">
        <f>IF(AC$4&gt;=Teams!$D$80,Teams!$D$18,0)</f>
        <v>400</v>
      </c>
      <c r="AD37" s="22">
        <f>IF(AD$4&gt;=Teams!$D$80,Teams!$D$18,0)</f>
        <v>400</v>
      </c>
      <c r="AE37" s="22">
        <f>IF(AE$4&gt;=Teams!$D$80,Teams!$D$18,0)</f>
        <v>400</v>
      </c>
      <c r="AF37" s="22">
        <f>IF(AF$4&gt;=Teams!$D$80,Teams!$D$18,0)</f>
        <v>400</v>
      </c>
      <c r="AG37" s="22">
        <f>IF(AG$4&gt;=Teams!$D$80,Teams!$D$18,0)</f>
        <v>400</v>
      </c>
      <c r="AH37" s="22">
        <f>IF(AH$4&gt;=Teams!$D$80,Teams!$D$18,0)</f>
        <v>400</v>
      </c>
      <c r="AI37" s="22">
        <f>IF(AI$4&gt;=Teams!$D$80,Teams!$D$18,0)</f>
        <v>400</v>
      </c>
      <c r="AJ37" s="22">
        <f>IF(AJ$4&gt;=Teams!$D$80,Teams!$D$18,0)</f>
        <v>400</v>
      </c>
      <c r="AK37" s="22">
        <f>IF(AK$4&gt;=Teams!$D$80,Teams!$D$18,0)</f>
        <v>400</v>
      </c>
      <c r="AL37" s="22">
        <f>IF(AL$4&gt;=Teams!$D$80,Teams!$D$18,0)</f>
        <v>400</v>
      </c>
      <c r="AM37" s="22">
        <f>IF(AM$4&gt;=Teams!$D$80,Teams!$D$18,0)</f>
        <v>400</v>
      </c>
      <c r="AN37" s="22">
        <f>IF(AN$4&gt;=Teams!$D$80,Teams!$D$18,0)</f>
        <v>400</v>
      </c>
      <c r="AO37" s="22">
        <f>IF(AO$4&gt;=Teams!$D$80,Teams!$D$18,0)</f>
        <v>400</v>
      </c>
      <c r="AP37" s="22">
        <f>IF(AP$4&gt;=Teams!$D$80,Teams!$D$18,0)</f>
        <v>400</v>
      </c>
      <c r="AQ37" s="22">
        <f>IF(AQ$4&gt;=Teams!$D$80,Teams!$D$18,0)</f>
        <v>400</v>
      </c>
      <c r="AR37" s="22">
        <f>IF(AR$4&gt;=Teams!$D$80,Teams!$D$18,0)</f>
        <v>400</v>
      </c>
      <c r="AS37" s="22">
        <f>IF(AS$4&gt;=Teams!$D$80,Teams!$D$18,0)</f>
        <v>400</v>
      </c>
      <c r="AT37" s="22">
        <f>IF(AT$4&gt;=Teams!$D$80,Teams!$D$18,0)</f>
        <v>400</v>
      </c>
      <c r="AU37" s="22">
        <f>IF(AU$4&gt;=Teams!$D$80,Teams!$D$18,0)</f>
        <v>400</v>
      </c>
      <c r="AV37" s="22">
        <f>IF(AV$4&gt;=Teams!$D$80,Teams!$D$18,0)</f>
        <v>400</v>
      </c>
      <c r="AW37" s="22">
        <f>IF(AW$4&gt;=Teams!$D$80,Teams!$D$18,0)</f>
        <v>400</v>
      </c>
      <c r="AX37" s="22">
        <f>IF(AX$4&gt;=Teams!$D$80,Teams!$D$18,0)</f>
        <v>400</v>
      </c>
      <c r="AY37" s="22">
        <f>IF(AY$4&gt;=Teams!$D$80,Teams!$D$18,0)</f>
        <v>400</v>
      </c>
      <c r="AZ37" s="22">
        <f>IF(AZ$4&gt;=Teams!$D$80,Teams!$D$18,0)</f>
        <v>400</v>
      </c>
      <c r="BA37" s="22">
        <f>IF(BA$4&gt;=Teams!$D$80,Teams!$D$18,0)</f>
        <v>400</v>
      </c>
      <c r="BB37" s="22">
        <f>IF(BB$4&gt;=Teams!$D$80,Teams!$D$18,0)</f>
        <v>400</v>
      </c>
      <c r="BC37" s="22">
        <f>IF(BC$4&gt;=Teams!$D$80,Teams!$D$18,0)</f>
        <v>400</v>
      </c>
      <c r="BD37" s="22">
        <f>IF(BD$4&gt;=Teams!$D$80,Teams!$D$18,0)</f>
        <v>400</v>
      </c>
      <c r="BE37" s="22">
        <f>IF(BE$4&gt;=Teams!$D$80,Teams!$D$18,0)</f>
        <v>400</v>
      </c>
      <c r="BF37" s="22">
        <f>IF(BF$4&gt;=Teams!$D$80,Teams!$D$18,0)</f>
        <v>400</v>
      </c>
      <c r="BG37" s="22">
        <f>IF(BG$4&gt;=Teams!$D$80,Teams!$D$18,0)</f>
        <v>400</v>
      </c>
      <c r="BH37" s="22">
        <f>IF(BH$4&gt;=Teams!$D$80,Teams!$D$18,0)</f>
        <v>400</v>
      </c>
      <c r="BI37" s="22">
        <f>IF(BI$4&gt;=Teams!$D$80,Teams!$D$18,0)</f>
        <v>400</v>
      </c>
      <c r="BJ37" s="22">
        <f>IF(BJ$4&gt;=Teams!$D$80,Teams!$D$18,0)</f>
        <v>400</v>
      </c>
      <c r="BK37" s="22">
        <f>IF(BK$4&gt;=Teams!$D$80,Teams!$D$18,0)</f>
        <v>400</v>
      </c>
      <c r="BL37" s="22">
        <f>IF(BL$4&gt;=Teams!$D$80,Teams!$D$18,0)</f>
        <v>400</v>
      </c>
    </row>
    <row r="38" spans="1:64" x14ac:dyDescent="0.3">
      <c r="A38" s="8" t="s">
        <v>1011</v>
      </c>
      <c r="C38" s="22">
        <f>SUMPRODUCT(E38:BL38,E$5:BL$5)</f>
        <v>11040</v>
      </c>
      <c r="E38" s="22">
        <f>E37*Teams!$D$19*E36</f>
        <v>80</v>
      </c>
      <c r="F38" s="22">
        <f>F37*Teams!$D$19*F36</f>
        <v>160</v>
      </c>
      <c r="G38" s="22">
        <f>G37*Teams!$D$19*G36</f>
        <v>240</v>
      </c>
      <c r="H38" s="22">
        <f>H37*Teams!$D$19*H36</f>
        <v>320</v>
      </c>
      <c r="I38" s="22">
        <f>I37*Teams!$D$19*I36</f>
        <v>320</v>
      </c>
      <c r="J38" s="22">
        <f>J37*Teams!$D$19*J36</f>
        <v>320</v>
      </c>
      <c r="K38" s="22">
        <f>K37*Teams!$D$19*K36</f>
        <v>320</v>
      </c>
      <c r="L38" s="22">
        <f>L37*Teams!$D$19*L36</f>
        <v>320</v>
      </c>
      <c r="M38" s="22">
        <f>M37*Teams!$D$19*M36</f>
        <v>320</v>
      </c>
      <c r="N38" s="22">
        <f>N37*Teams!$D$19*N36</f>
        <v>320</v>
      </c>
      <c r="O38" s="22">
        <f>O37*Teams!$D$19*O36</f>
        <v>320</v>
      </c>
      <c r="P38" s="22">
        <f>P37*Teams!$D$19*P36</f>
        <v>320</v>
      </c>
      <c r="Q38" s="22">
        <f>Q37*Teams!$D$19*Q36</f>
        <v>320</v>
      </c>
      <c r="R38" s="22">
        <f>R37*Teams!$D$19*R36</f>
        <v>320</v>
      </c>
      <c r="S38" s="22">
        <f>S37*Teams!$D$19*S36</f>
        <v>320</v>
      </c>
      <c r="T38" s="22">
        <f>T37*Teams!$D$19*T36</f>
        <v>320</v>
      </c>
      <c r="U38" s="22">
        <f>U37*Teams!$D$19*U36</f>
        <v>320</v>
      </c>
      <c r="V38" s="22">
        <f>V37*Teams!$D$19*V36</f>
        <v>320</v>
      </c>
      <c r="W38" s="22">
        <f>W37*Teams!$D$19*W36</f>
        <v>320</v>
      </c>
      <c r="X38" s="22">
        <f>X37*Teams!$D$19*X36</f>
        <v>320</v>
      </c>
      <c r="Y38" s="22">
        <f>Y37*Teams!$D$19*Y36</f>
        <v>320</v>
      </c>
      <c r="Z38" s="22">
        <f>Z37*Teams!$D$19*Z36</f>
        <v>320</v>
      </c>
      <c r="AA38" s="22">
        <f>AA37*Teams!$D$19*AA36</f>
        <v>320</v>
      </c>
      <c r="AB38" s="22">
        <f>AB37*Teams!$D$19*AB36</f>
        <v>320</v>
      </c>
      <c r="AC38" s="22">
        <f>AC37*Teams!$D$19*AC36</f>
        <v>320</v>
      </c>
      <c r="AD38" s="22">
        <f>AD37*Teams!$D$19*AD36</f>
        <v>320</v>
      </c>
      <c r="AE38" s="22">
        <f>AE37*Teams!$D$19*AE36</f>
        <v>320</v>
      </c>
      <c r="AF38" s="22">
        <f>AF37*Teams!$D$19*AF36</f>
        <v>320</v>
      </c>
      <c r="AG38" s="22">
        <f>AG37*Teams!$D$19*AG36</f>
        <v>320</v>
      </c>
      <c r="AH38" s="22">
        <f>AH37*Teams!$D$19*AH36</f>
        <v>320</v>
      </c>
      <c r="AI38" s="22">
        <f>AI37*Teams!$D$19*AI36</f>
        <v>320</v>
      </c>
      <c r="AJ38" s="22">
        <f>AJ37*Teams!$D$19*AJ36</f>
        <v>320</v>
      </c>
      <c r="AK38" s="22">
        <f>AK37*Teams!$D$19*AK36</f>
        <v>320</v>
      </c>
      <c r="AL38" s="22">
        <f>AL37*Teams!$D$19*AL36</f>
        <v>320</v>
      </c>
      <c r="AM38" s="22">
        <f>AM37*Teams!$D$19*AM36</f>
        <v>320</v>
      </c>
      <c r="AN38" s="22">
        <f>AN37*Teams!$D$19*AN36</f>
        <v>320</v>
      </c>
      <c r="AO38" s="22">
        <f>AO37*Teams!$D$19*AO36</f>
        <v>320</v>
      </c>
      <c r="AP38" s="22">
        <f>AP37*Teams!$D$19*AP36</f>
        <v>320</v>
      </c>
      <c r="AQ38" s="22">
        <f>AQ37*Teams!$D$19*AQ36</f>
        <v>320</v>
      </c>
      <c r="AR38" s="22">
        <f>AR37*Teams!$D$19*AR36</f>
        <v>320</v>
      </c>
      <c r="AS38" s="22">
        <f>AS37*Teams!$D$19*AS36</f>
        <v>320</v>
      </c>
      <c r="AT38" s="22">
        <f>AT37*Teams!$D$19*AT36</f>
        <v>320</v>
      </c>
      <c r="AU38" s="22">
        <f>AU37*Teams!$D$19*AU36</f>
        <v>320</v>
      </c>
      <c r="AV38" s="22">
        <f>AV37*Teams!$D$19*AV36</f>
        <v>320</v>
      </c>
      <c r="AW38" s="22">
        <f>AW37*Teams!$D$19*AW36</f>
        <v>320</v>
      </c>
      <c r="AX38" s="22">
        <f>AX37*Teams!$D$19*AX36</f>
        <v>320</v>
      </c>
      <c r="AY38" s="22">
        <f>AY37*Teams!$D$19*AY36</f>
        <v>320</v>
      </c>
      <c r="AZ38" s="22">
        <f>AZ37*Teams!$D$19*AZ36</f>
        <v>320</v>
      </c>
      <c r="BA38" s="22">
        <f>BA37*Teams!$D$19*BA36</f>
        <v>320</v>
      </c>
      <c r="BB38" s="22">
        <f>BB37*Teams!$D$19*BB36</f>
        <v>320</v>
      </c>
      <c r="BC38" s="22">
        <f>BC37*Teams!$D$19*BC36</f>
        <v>320</v>
      </c>
      <c r="BD38" s="22">
        <f>BD37*Teams!$D$19*BD36</f>
        <v>320</v>
      </c>
      <c r="BE38" s="22">
        <f>BE37*Teams!$D$19*BE36</f>
        <v>320</v>
      </c>
      <c r="BF38" s="22">
        <f>BF37*Teams!$D$19*BF36</f>
        <v>320</v>
      </c>
      <c r="BG38" s="22">
        <f>BG37*Teams!$D$19*BG36</f>
        <v>320</v>
      </c>
      <c r="BH38" s="22">
        <f>BH37*Teams!$D$19*BH36</f>
        <v>320</v>
      </c>
      <c r="BI38" s="22">
        <f>BI37*Teams!$D$19*BI36</f>
        <v>320</v>
      </c>
      <c r="BJ38" s="22">
        <f>BJ37*Teams!$D$19*BJ36</f>
        <v>320</v>
      </c>
      <c r="BK38" s="22">
        <f>BK37*Teams!$D$19*BK36</f>
        <v>320</v>
      </c>
      <c r="BL38" s="22">
        <f>BL37*Teams!$D$19*BL36</f>
        <v>320</v>
      </c>
    </row>
    <row r="39" spans="1:64" x14ac:dyDescent="0.3">
      <c r="A39" s="8" t="s">
        <v>28</v>
      </c>
      <c r="C39" s="22">
        <f>SUMPRODUCT(E39:BL39,E$5:BL$5)</f>
        <v>4416000</v>
      </c>
      <c r="E39" s="22">
        <f>IF(Teams!$D$23="per user",E38*Teams!$D$24,Teams!$D$25*E36)</f>
        <v>32000</v>
      </c>
      <c r="F39" s="22">
        <f>IF(Teams!$D$23="per user",F38*Teams!$D$24,Teams!$D$25*F36)</f>
        <v>64000</v>
      </c>
      <c r="G39" s="22">
        <f>IF(Teams!$D$23="per user",G38*Teams!$D$24,Teams!$D$25*G36)</f>
        <v>96000</v>
      </c>
      <c r="H39" s="22">
        <f>IF(Teams!$D$23="per user",H38*Teams!$D$24,Teams!$D$25*H36)</f>
        <v>128000</v>
      </c>
      <c r="I39" s="22">
        <f>IF(Teams!$D$23="per user",I38*Teams!$D$24,Teams!$D$25*I36)</f>
        <v>128000</v>
      </c>
      <c r="J39" s="22">
        <f>IF(Teams!$D$23="per user",J38*Teams!$D$24,Teams!$D$25*J36)</f>
        <v>128000</v>
      </c>
      <c r="K39" s="22">
        <f>IF(Teams!$D$23="per user",K38*Teams!$D$24,Teams!$D$25*K36)</f>
        <v>128000</v>
      </c>
      <c r="L39" s="22">
        <f>IF(Teams!$D$23="per user",L38*Teams!$D$24,Teams!$D$25*L36)</f>
        <v>128000</v>
      </c>
      <c r="M39" s="22">
        <f>IF(Teams!$D$23="per user",M38*Teams!$D$24,Teams!$D$25*M36)</f>
        <v>128000</v>
      </c>
      <c r="N39" s="22">
        <f>IF(Teams!$D$23="per user",N38*Teams!$D$24,Teams!$D$25*N36)</f>
        <v>128000</v>
      </c>
      <c r="O39" s="22">
        <f>IF(Teams!$D$23="per user",O38*Teams!$D$24,Teams!$D$25*O36)</f>
        <v>128000</v>
      </c>
      <c r="P39" s="22">
        <f>IF(Teams!$D$23="per user",P38*Teams!$D$24,Teams!$D$25*P36)</f>
        <v>128000</v>
      </c>
      <c r="Q39" s="22">
        <f>IF(Teams!$D$23="per user",Q38*Teams!$D$24,Teams!$D$25*Q36)</f>
        <v>128000</v>
      </c>
      <c r="R39" s="22">
        <f>IF(Teams!$D$23="per user",R38*Teams!$D$24,Teams!$D$25*R36)</f>
        <v>128000</v>
      </c>
      <c r="S39" s="22">
        <f>IF(Teams!$D$23="per user",S38*Teams!$D$24,Teams!$D$25*S36)</f>
        <v>128000</v>
      </c>
      <c r="T39" s="22">
        <f>IF(Teams!$D$23="per user",T38*Teams!$D$24,Teams!$D$25*T36)</f>
        <v>128000</v>
      </c>
      <c r="U39" s="22">
        <f>IF(Teams!$D$23="per user",U38*Teams!$D$24,Teams!$D$25*U36)</f>
        <v>128000</v>
      </c>
      <c r="V39" s="22">
        <f>IF(Teams!$D$23="per user",V38*Teams!$D$24,Teams!$D$25*V36)</f>
        <v>128000</v>
      </c>
      <c r="W39" s="22">
        <f>IF(Teams!$D$23="per user",W38*Teams!$D$24,Teams!$D$25*W36)</f>
        <v>128000</v>
      </c>
      <c r="X39" s="22">
        <f>IF(Teams!$D$23="per user",X38*Teams!$D$24,Teams!$D$25*X36)</f>
        <v>128000</v>
      </c>
      <c r="Y39" s="22">
        <f>IF(Teams!$D$23="per user",Y38*Teams!$D$24,Teams!$D$25*Y36)</f>
        <v>128000</v>
      </c>
      <c r="Z39" s="22">
        <f>IF(Teams!$D$23="per user",Z38*Teams!$D$24,Teams!$D$25*Z36)</f>
        <v>128000</v>
      </c>
      <c r="AA39" s="22">
        <f>IF(Teams!$D$23="per user",AA38*Teams!$D$24,Teams!$D$25*AA36)</f>
        <v>128000</v>
      </c>
      <c r="AB39" s="22">
        <f>IF(Teams!$D$23="per user",AB38*Teams!$D$24,Teams!$D$25*AB36)</f>
        <v>128000</v>
      </c>
      <c r="AC39" s="22">
        <f>IF(Teams!$D$23="per user",AC38*Teams!$D$24,Teams!$D$25*AC36)</f>
        <v>128000</v>
      </c>
      <c r="AD39" s="22">
        <f>IF(Teams!$D$23="per user",AD38*Teams!$D$24,Teams!$D$25*AD36)</f>
        <v>128000</v>
      </c>
      <c r="AE39" s="22">
        <f>IF(Teams!$D$23="per user",AE38*Teams!$D$24,Teams!$D$25*AE36)</f>
        <v>128000</v>
      </c>
      <c r="AF39" s="22">
        <f>IF(Teams!$D$23="per user",AF38*Teams!$D$24,Teams!$D$25*AF36)</f>
        <v>128000</v>
      </c>
      <c r="AG39" s="22">
        <f>IF(Teams!$D$23="per user",AG38*Teams!$D$24,Teams!$D$25*AG36)</f>
        <v>128000</v>
      </c>
      <c r="AH39" s="22">
        <f>IF(Teams!$D$23="per user",AH38*Teams!$D$24,Teams!$D$25*AH36)</f>
        <v>128000</v>
      </c>
      <c r="AI39" s="22">
        <f>IF(Teams!$D$23="per user",AI38*Teams!$D$24,Teams!$D$25*AI36)</f>
        <v>128000</v>
      </c>
      <c r="AJ39" s="22">
        <f>IF(Teams!$D$23="per user",AJ38*Teams!$D$24,Teams!$D$25*AJ36)</f>
        <v>128000</v>
      </c>
      <c r="AK39" s="22">
        <f>IF(Teams!$D$23="per user",AK38*Teams!$D$24,Teams!$D$25*AK36)</f>
        <v>128000</v>
      </c>
      <c r="AL39" s="22">
        <f>IF(Teams!$D$23="per user",AL38*Teams!$D$24,Teams!$D$25*AL36)</f>
        <v>128000</v>
      </c>
      <c r="AM39" s="22">
        <f>IF(Teams!$D$23="per user",AM38*Teams!$D$24,Teams!$D$25*AM36)</f>
        <v>128000</v>
      </c>
      <c r="AN39" s="22">
        <f>IF(Teams!$D$23="per user",AN38*Teams!$D$24,Teams!$D$25*AN36)</f>
        <v>128000</v>
      </c>
      <c r="AO39" s="22">
        <f>IF(Teams!$D$23="per user",AO38*Teams!$D$24,Teams!$D$25*AO36)</f>
        <v>128000</v>
      </c>
      <c r="AP39" s="22">
        <f>IF(Teams!$D$23="per user",AP38*Teams!$D$24,Teams!$D$25*AP36)</f>
        <v>128000</v>
      </c>
      <c r="AQ39" s="22">
        <f>IF(Teams!$D$23="per user",AQ38*Teams!$D$24,Teams!$D$25*AQ36)</f>
        <v>128000</v>
      </c>
      <c r="AR39" s="22">
        <f>IF(Teams!$D$23="per user",AR38*Teams!$D$24,Teams!$D$25*AR36)</f>
        <v>128000</v>
      </c>
      <c r="AS39" s="22">
        <f>IF(Teams!$D$23="per user",AS38*Teams!$D$24,Teams!$D$25*AS36)</f>
        <v>128000</v>
      </c>
      <c r="AT39" s="22">
        <f>IF(Teams!$D$23="per user",AT38*Teams!$D$24,Teams!$D$25*AT36)</f>
        <v>128000</v>
      </c>
      <c r="AU39" s="22">
        <f>IF(Teams!$D$23="per user",AU38*Teams!$D$24,Teams!$D$25*AU36)</f>
        <v>128000</v>
      </c>
      <c r="AV39" s="22">
        <f>IF(Teams!$D$23="per user",AV38*Teams!$D$24,Teams!$D$25*AV36)</f>
        <v>128000</v>
      </c>
      <c r="AW39" s="22">
        <f>IF(Teams!$D$23="per user",AW38*Teams!$D$24,Teams!$D$25*AW36)</f>
        <v>128000</v>
      </c>
      <c r="AX39" s="22">
        <f>IF(Teams!$D$23="per user",AX38*Teams!$D$24,Teams!$D$25*AX36)</f>
        <v>128000</v>
      </c>
      <c r="AY39" s="22">
        <f>IF(Teams!$D$23="per user",AY38*Teams!$D$24,Teams!$D$25*AY36)</f>
        <v>128000</v>
      </c>
      <c r="AZ39" s="22">
        <f>IF(Teams!$D$23="per user",AZ38*Teams!$D$24,Teams!$D$25*AZ36)</f>
        <v>128000</v>
      </c>
      <c r="BA39" s="22">
        <f>IF(Teams!$D$23="per user",BA38*Teams!$D$24,Teams!$D$25*BA36)</f>
        <v>128000</v>
      </c>
      <c r="BB39" s="22">
        <f>IF(Teams!$D$23="per user",BB38*Teams!$D$24,Teams!$D$25*BB36)</f>
        <v>128000</v>
      </c>
      <c r="BC39" s="22">
        <f>IF(Teams!$D$23="per user",BC38*Teams!$D$24,Teams!$D$25*BC36)</f>
        <v>128000</v>
      </c>
      <c r="BD39" s="22">
        <f>IF(Teams!$D$23="per user",BD38*Teams!$D$24,Teams!$D$25*BD36)</f>
        <v>128000</v>
      </c>
      <c r="BE39" s="22">
        <f>IF(Teams!$D$23="per user",BE38*Teams!$D$24,Teams!$D$25*BE36)</f>
        <v>128000</v>
      </c>
      <c r="BF39" s="22">
        <f>IF(Teams!$D$23="per user",BF38*Teams!$D$24,Teams!$D$25*BF36)</f>
        <v>128000</v>
      </c>
      <c r="BG39" s="22">
        <f>IF(Teams!$D$23="per user",BG38*Teams!$D$24,Teams!$D$25*BG36)</f>
        <v>128000</v>
      </c>
      <c r="BH39" s="22">
        <f>IF(Teams!$D$23="per user",BH38*Teams!$D$24,Teams!$D$25*BH36)</f>
        <v>128000</v>
      </c>
      <c r="BI39" s="22">
        <f>IF(Teams!$D$23="per user",BI38*Teams!$D$24,Teams!$D$25*BI36)</f>
        <v>128000</v>
      </c>
      <c r="BJ39" s="22">
        <f>IF(Teams!$D$23="per user",BJ38*Teams!$D$24,Teams!$D$25*BJ36)</f>
        <v>128000</v>
      </c>
      <c r="BK39" s="22">
        <f>IF(Teams!$D$23="per user",BK38*Teams!$D$24,Teams!$D$25*BK36)</f>
        <v>128000</v>
      </c>
      <c r="BL39" s="22">
        <f>IF(Teams!$D$23="per user",BL38*Teams!$D$24,Teams!$D$25*BL36)</f>
        <v>128000</v>
      </c>
    </row>
    <row r="40" spans="1:64" x14ac:dyDescent="0.3">
      <c r="A40" s="8" t="s">
        <v>665</v>
      </c>
      <c r="B40" s="18" t="s">
        <v>435</v>
      </c>
      <c r="C40" s="44">
        <f t="shared" ref="C40:C58" si="11">SUM(D40:BL40)</f>
        <v>288000</v>
      </c>
      <c r="E40" s="44">
        <f>E$5*Teams!$D$60*E37*Teams!$D$66</f>
        <v>8000</v>
      </c>
      <c r="F40" s="44">
        <f>F$5*Teams!$D$60*F37*Teams!$D$66</f>
        <v>8000</v>
      </c>
      <c r="G40" s="44">
        <f>G$5*Teams!$D$60*G37*Teams!$D$66</f>
        <v>8000</v>
      </c>
      <c r="H40" s="44">
        <f>H$5*Teams!$D$60*H37*Teams!$D$66</f>
        <v>8000</v>
      </c>
      <c r="I40" s="44">
        <f>I$5*Teams!$D$60*I37*Teams!$D$66</f>
        <v>8000</v>
      </c>
      <c r="J40" s="44">
        <f>J$5*Teams!$D$60*J37*Teams!$D$66</f>
        <v>8000</v>
      </c>
      <c r="K40" s="44">
        <f>K$5*Teams!$D$60*K37*Teams!$D$66</f>
        <v>8000</v>
      </c>
      <c r="L40" s="44">
        <f>L$5*Teams!$D$60*L37*Teams!$D$66</f>
        <v>8000</v>
      </c>
      <c r="M40" s="44">
        <f>M$5*Teams!$D$60*M37*Teams!$D$66</f>
        <v>8000</v>
      </c>
      <c r="N40" s="44">
        <f>N$5*Teams!$D$60*N37*Teams!$D$66</f>
        <v>8000</v>
      </c>
      <c r="O40" s="44">
        <f>O$5*Teams!$D$60*O37*Teams!$D$66</f>
        <v>8000</v>
      </c>
      <c r="P40" s="44">
        <f>P$5*Teams!$D$60*P37*Teams!$D$66</f>
        <v>8000</v>
      </c>
      <c r="Q40" s="44">
        <f>Q$5*Teams!$D$60*Q37*Teams!$D$66</f>
        <v>8000</v>
      </c>
      <c r="R40" s="44">
        <f>R$5*Teams!$D$60*R37*Teams!$D$66</f>
        <v>8000</v>
      </c>
      <c r="S40" s="44">
        <f>S$5*Teams!$D$60*S37*Teams!$D$66</f>
        <v>8000</v>
      </c>
      <c r="T40" s="44">
        <f>T$5*Teams!$D$60*T37*Teams!$D$66</f>
        <v>8000</v>
      </c>
      <c r="U40" s="44">
        <f>U$5*Teams!$D$60*U37*Teams!$D$66</f>
        <v>8000</v>
      </c>
      <c r="V40" s="44">
        <f>V$5*Teams!$D$60*V37*Teams!$D$66</f>
        <v>8000</v>
      </c>
      <c r="W40" s="44">
        <f>W$5*Teams!$D$60*W37*Teams!$D$66</f>
        <v>8000</v>
      </c>
      <c r="X40" s="44">
        <f>X$5*Teams!$D$60*X37*Teams!$D$66</f>
        <v>8000</v>
      </c>
      <c r="Y40" s="44">
        <f>Y$5*Teams!$D$60*Y37*Teams!$D$66</f>
        <v>8000</v>
      </c>
      <c r="Z40" s="44">
        <f>Z$5*Teams!$D$60*Z37*Teams!$D$66</f>
        <v>8000</v>
      </c>
      <c r="AA40" s="44">
        <f>AA$5*Teams!$D$60*AA37*Teams!$D$66</f>
        <v>8000</v>
      </c>
      <c r="AB40" s="44">
        <f>AB$5*Teams!$D$60*AB37*Teams!$D$66</f>
        <v>8000</v>
      </c>
      <c r="AC40" s="44">
        <f>AC$5*Teams!$D$60*AC37*Teams!$D$66</f>
        <v>8000</v>
      </c>
      <c r="AD40" s="44">
        <f>AD$5*Teams!$D$60*AD37*Teams!$D$66</f>
        <v>8000</v>
      </c>
      <c r="AE40" s="44">
        <f>AE$5*Teams!$D$60*AE37*Teams!$D$66</f>
        <v>8000</v>
      </c>
      <c r="AF40" s="44">
        <f>AF$5*Teams!$D$60*AF37*Teams!$D$66</f>
        <v>8000</v>
      </c>
      <c r="AG40" s="44">
        <f>AG$5*Teams!$D$60*AG37*Teams!$D$66</f>
        <v>8000</v>
      </c>
      <c r="AH40" s="44">
        <f>AH$5*Teams!$D$60*AH37*Teams!$D$66</f>
        <v>8000</v>
      </c>
      <c r="AI40" s="44">
        <f>AI$5*Teams!$D$60*AI37*Teams!$D$66</f>
        <v>8000</v>
      </c>
      <c r="AJ40" s="44">
        <f>AJ$5*Teams!$D$60*AJ37*Teams!$D$66</f>
        <v>8000</v>
      </c>
      <c r="AK40" s="44">
        <f>AK$5*Teams!$D$60*AK37*Teams!$D$66</f>
        <v>8000</v>
      </c>
      <c r="AL40" s="44">
        <f>AL$5*Teams!$D$60*AL37*Teams!$D$66</f>
        <v>8000</v>
      </c>
      <c r="AM40" s="44">
        <f>AM$5*Teams!$D$60*AM37*Teams!$D$66</f>
        <v>8000</v>
      </c>
      <c r="AN40" s="44">
        <f>AN$5*Teams!$D$60*AN37*Teams!$D$66</f>
        <v>8000</v>
      </c>
      <c r="AO40" s="44">
        <f>AO$5*Teams!$D$60*AO37*Teams!$D$66</f>
        <v>0</v>
      </c>
      <c r="AP40" s="44">
        <f>AP$5*Teams!$D$60*AP37*Teams!$D$66</f>
        <v>0</v>
      </c>
      <c r="AQ40" s="44">
        <f>AQ$5*Teams!$D$60*AQ37*Teams!$D$66</f>
        <v>0</v>
      </c>
      <c r="AR40" s="44">
        <f>AR$5*Teams!$D$60*AR37*Teams!$D$66</f>
        <v>0</v>
      </c>
      <c r="AS40" s="44">
        <f>AS$5*Teams!$D$60*AS37*Teams!$D$66</f>
        <v>0</v>
      </c>
      <c r="AT40" s="44">
        <f>AT$5*Teams!$D$60*AT37*Teams!$D$66</f>
        <v>0</v>
      </c>
      <c r="AU40" s="44">
        <f>AU$5*Teams!$D$60*AU37*Teams!$D$66</f>
        <v>0</v>
      </c>
      <c r="AV40" s="44">
        <f>AV$5*Teams!$D$60*AV37*Teams!$D$66</f>
        <v>0</v>
      </c>
      <c r="AW40" s="44">
        <f>AW$5*Teams!$D$60*AW37*Teams!$D$66</f>
        <v>0</v>
      </c>
      <c r="AX40" s="44">
        <f>AX$5*Teams!$D$60*AX37*Teams!$D$66</f>
        <v>0</v>
      </c>
      <c r="AY40" s="44">
        <f>AY$5*Teams!$D$60*AY37*Teams!$D$66</f>
        <v>0</v>
      </c>
      <c r="AZ40" s="44">
        <f>AZ$5*Teams!$D$60*AZ37*Teams!$D$66</f>
        <v>0</v>
      </c>
      <c r="BA40" s="44">
        <f>BA$5*Teams!$D$60*BA37*Teams!$D$66</f>
        <v>0</v>
      </c>
      <c r="BB40" s="44">
        <f>BB$5*Teams!$D$60*BB37*Teams!$D$66</f>
        <v>0</v>
      </c>
      <c r="BC40" s="44">
        <f>BC$5*Teams!$D$60*BC37*Teams!$D$66</f>
        <v>0</v>
      </c>
      <c r="BD40" s="44">
        <f>BD$5*Teams!$D$60*BD37*Teams!$D$66</f>
        <v>0</v>
      </c>
      <c r="BE40" s="44">
        <f>BE$5*Teams!$D$60*BE37*Teams!$D$66</f>
        <v>0</v>
      </c>
      <c r="BF40" s="44">
        <f>BF$5*Teams!$D$60*BF37*Teams!$D$66</f>
        <v>0</v>
      </c>
      <c r="BG40" s="44">
        <f>BG$5*Teams!$D$60*BG37*Teams!$D$66</f>
        <v>0</v>
      </c>
      <c r="BH40" s="44">
        <f>BH$5*Teams!$D$60*BH37*Teams!$D$66</f>
        <v>0</v>
      </c>
      <c r="BI40" s="44">
        <f>BI$5*Teams!$D$60*BI37*Teams!$D$66</f>
        <v>0</v>
      </c>
      <c r="BJ40" s="44">
        <f>BJ$5*Teams!$D$60*BJ37*Teams!$D$66</f>
        <v>0</v>
      </c>
      <c r="BK40" s="44">
        <f>BK$5*Teams!$D$60*BK37*Teams!$D$66</f>
        <v>0</v>
      </c>
      <c r="BL40" s="44">
        <f>BL$5*Teams!$D$60*BL37*Teams!$D$66</f>
        <v>0</v>
      </c>
    </row>
    <row r="41" spans="1:64" x14ac:dyDescent="0.3">
      <c r="A41" s="8" t="s">
        <v>666</v>
      </c>
      <c r="B41" s="18" t="s">
        <v>435</v>
      </c>
      <c r="C41" s="44">
        <f t="shared" si="11"/>
        <v>241523.49311999994</v>
      </c>
      <c r="E41" s="44">
        <f>E$5*IF(Teams!$D$61=1,E38*((1-Teams!$D$13)*MAX(0,Teams!$D$72*$C$35-Teams!$D$12)+Teams!$D$13*MAX(0,Teams!$D$73*$C$35-Teams!$D$12)),IF(Teams!$D$62=1,E39*$C$35,0))</f>
        <v>1750.1702400000001</v>
      </c>
      <c r="F41" s="44">
        <f>F$5*IF(Teams!$D$61=1,F38*((1-Teams!$D$13)*MAX(0,Teams!$D$72*$C$35-Teams!$D$12)+Teams!$D$13*MAX(0,Teams!$D$73*$C$35-Teams!$D$12)),IF(Teams!$D$62=1,F39*$C$35,0))</f>
        <v>3500.3404800000003</v>
      </c>
      <c r="G41" s="44">
        <f>G$5*IF(Teams!$D$61=1,G38*((1-Teams!$D$13)*MAX(0,Teams!$D$72*$C$35-Teams!$D$12)+Teams!$D$13*MAX(0,Teams!$D$73*$C$35-Teams!$D$12)),IF(Teams!$D$62=1,G39*$C$35,0))</f>
        <v>5250.5107200000002</v>
      </c>
      <c r="H41" s="44">
        <f>H$5*IF(Teams!$D$61=1,H38*((1-Teams!$D$13)*MAX(0,Teams!$D$72*$C$35-Teams!$D$12)+Teams!$D$13*MAX(0,Teams!$D$73*$C$35-Teams!$D$12)),IF(Teams!$D$62=1,H39*$C$35,0))</f>
        <v>7000.6809600000006</v>
      </c>
      <c r="I41" s="44">
        <f>I$5*IF(Teams!$D$61=1,I38*((1-Teams!$D$13)*MAX(0,Teams!$D$72*$C$35-Teams!$D$12)+Teams!$D$13*MAX(0,Teams!$D$73*$C$35-Teams!$D$12)),IF(Teams!$D$62=1,I39*$C$35,0))</f>
        <v>7000.6809600000006</v>
      </c>
      <c r="J41" s="44">
        <f>J$5*IF(Teams!$D$61=1,J38*((1-Teams!$D$13)*MAX(0,Teams!$D$72*$C$35-Teams!$D$12)+Teams!$D$13*MAX(0,Teams!$D$73*$C$35-Teams!$D$12)),IF(Teams!$D$62=1,J39*$C$35,0))</f>
        <v>7000.6809600000006</v>
      </c>
      <c r="K41" s="44">
        <f>K$5*IF(Teams!$D$61=1,K38*((1-Teams!$D$13)*MAX(0,Teams!$D$72*$C$35-Teams!$D$12)+Teams!$D$13*MAX(0,Teams!$D$73*$C$35-Teams!$D$12)),IF(Teams!$D$62=1,K39*$C$35,0))</f>
        <v>7000.6809600000006</v>
      </c>
      <c r="L41" s="44">
        <f>L$5*IF(Teams!$D$61=1,L38*((1-Teams!$D$13)*MAX(0,Teams!$D$72*$C$35-Teams!$D$12)+Teams!$D$13*MAX(0,Teams!$D$73*$C$35-Teams!$D$12)),IF(Teams!$D$62=1,L39*$C$35,0))</f>
        <v>7000.6809600000006</v>
      </c>
      <c r="M41" s="44">
        <f>M$5*IF(Teams!$D$61=1,M38*((1-Teams!$D$13)*MAX(0,Teams!$D$72*$C$35-Teams!$D$12)+Teams!$D$13*MAX(0,Teams!$D$73*$C$35-Teams!$D$12)),IF(Teams!$D$62=1,M39*$C$35,0))</f>
        <v>7000.6809600000006</v>
      </c>
      <c r="N41" s="44">
        <f>N$5*IF(Teams!$D$61=1,N38*((1-Teams!$D$13)*MAX(0,Teams!$D$72*$C$35-Teams!$D$12)+Teams!$D$13*MAX(0,Teams!$D$73*$C$35-Teams!$D$12)),IF(Teams!$D$62=1,N39*$C$35,0))</f>
        <v>7000.6809600000006</v>
      </c>
      <c r="O41" s="44">
        <f>O$5*IF(Teams!$D$61=1,O38*((1-Teams!$D$13)*MAX(0,Teams!$D$72*$C$35-Teams!$D$12)+Teams!$D$13*MAX(0,Teams!$D$73*$C$35-Teams!$D$12)),IF(Teams!$D$62=1,O39*$C$35,0))</f>
        <v>7000.6809600000006</v>
      </c>
      <c r="P41" s="44">
        <f>P$5*IF(Teams!$D$61=1,P38*((1-Teams!$D$13)*MAX(0,Teams!$D$72*$C$35-Teams!$D$12)+Teams!$D$13*MAX(0,Teams!$D$73*$C$35-Teams!$D$12)),IF(Teams!$D$62=1,P39*$C$35,0))</f>
        <v>7000.6809600000006</v>
      </c>
      <c r="Q41" s="44">
        <f>Q$5*IF(Teams!$D$61=1,Q38*((1-Teams!$D$13)*MAX(0,Teams!$D$72*$C$35-Teams!$D$12)+Teams!$D$13*MAX(0,Teams!$D$73*$C$35-Teams!$D$12)),IF(Teams!$D$62=1,Q39*$C$35,0))</f>
        <v>7000.6809600000006</v>
      </c>
      <c r="R41" s="44">
        <f>R$5*IF(Teams!$D$61=1,R38*((1-Teams!$D$13)*MAX(0,Teams!$D$72*$C$35-Teams!$D$12)+Teams!$D$13*MAX(0,Teams!$D$73*$C$35-Teams!$D$12)),IF(Teams!$D$62=1,R39*$C$35,0))</f>
        <v>7000.6809600000006</v>
      </c>
      <c r="S41" s="44">
        <f>S$5*IF(Teams!$D$61=1,S38*((1-Teams!$D$13)*MAX(0,Teams!$D$72*$C$35-Teams!$D$12)+Teams!$D$13*MAX(0,Teams!$D$73*$C$35-Teams!$D$12)),IF(Teams!$D$62=1,S39*$C$35,0))</f>
        <v>7000.6809600000006</v>
      </c>
      <c r="T41" s="44">
        <f>T$5*IF(Teams!$D$61=1,T38*((1-Teams!$D$13)*MAX(0,Teams!$D$72*$C$35-Teams!$D$12)+Teams!$D$13*MAX(0,Teams!$D$73*$C$35-Teams!$D$12)),IF(Teams!$D$62=1,T39*$C$35,0))</f>
        <v>7000.6809600000006</v>
      </c>
      <c r="U41" s="44">
        <f>U$5*IF(Teams!$D$61=1,U38*((1-Teams!$D$13)*MAX(0,Teams!$D$72*$C$35-Teams!$D$12)+Teams!$D$13*MAX(0,Teams!$D$73*$C$35-Teams!$D$12)),IF(Teams!$D$62=1,U39*$C$35,0))</f>
        <v>7000.6809600000006</v>
      </c>
      <c r="V41" s="44">
        <f>V$5*IF(Teams!$D$61=1,V38*((1-Teams!$D$13)*MAX(0,Teams!$D$72*$C$35-Teams!$D$12)+Teams!$D$13*MAX(0,Teams!$D$73*$C$35-Teams!$D$12)),IF(Teams!$D$62=1,V39*$C$35,0))</f>
        <v>7000.6809600000006</v>
      </c>
      <c r="W41" s="44">
        <f>W$5*IF(Teams!$D$61=1,W38*((1-Teams!$D$13)*MAX(0,Teams!$D$72*$C$35-Teams!$D$12)+Teams!$D$13*MAX(0,Teams!$D$73*$C$35-Teams!$D$12)),IF(Teams!$D$62=1,W39*$C$35,0))</f>
        <v>7000.6809600000006</v>
      </c>
      <c r="X41" s="44">
        <f>X$5*IF(Teams!$D$61=1,X38*((1-Teams!$D$13)*MAX(0,Teams!$D$72*$C$35-Teams!$D$12)+Teams!$D$13*MAX(0,Teams!$D$73*$C$35-Teams!$D$12)),IF(Teams!$D$62=1,X39*$C$35,0))</f>
        <v>7000.6809600000006</v>
      </c>
      <c r="Y41" s="44">
        <f>Y$5*IF(Teams!$D$61=1,Y38*((1-Teams!$D$13)*MAX(0,Teams!$D$72*$C$35-Teams!$D$12)+Teams!$D$13*MAX(0,Teams!$D$73*$C$35-Teams!$D$12)),IF(Teams!$D$62=1,Y39*$C$35,0))</f>
        <v>7000.6809600000006</v>
      </c>
      <c r="Z41" s="44">
        <f>Z$5*IF(Teams!$D$61=1,Z38*((1-Teams!$D$13)*MAX(0,Teams!$D$72*$C$35-Teams!$D$12)+Teams!$D$13*MAX(0,Teams!$D$73*$C$35-Teams!$D$12)),IF(Teams!$D$62=1,Z39*$C$35,0))</f>
        <v>7000.6809600000006</v>
      </c>
      <c r="AA41" s="44">
        <f>AA$5*IF(Teams!$D$61=1,AA38*((1-Teams!$D$13)*MAX(0,Teams!$D$72*$C$35-Teams!$D$12)+Teams!$D$13*MAX(0,Teams!$D$73*$C$35-Teams!$D$12)),IF(Teams!$D$62=1,AA39*$C$35,0))</f>
        <v>7000.6809600000006</v>
      </c>
      <c r="AB41" s="44">
        <f>AB$5*IF(Teams!$D$61=1,AB38*((1-Teams!$D$13)*MAX(0,Teams!$D$72*$C$35-Teams!$D$12)+Teams!$D$13*MAX(0,Teams!$D$73*$C$35-Teams!$D$12)),IF(Teams!$D$62=1,AB39*$C$35,0))</f>
        <v>7000.6809600000006</v>
      </c>
      <c r="AC41" s="44">
        <f>AC$5*IF(Teams!$D$61=1,AC38*((1-Teams!$D$13)*MAX(0,Teams!$D$72*$C$35-Teams!$D$12)+Teams!$D$13*MAX(0,Teams!$D$73*$C$35-Teams!$D$12)),IF(Teams!$D$62=1,AC39*$C$35,0))</f>
        <v>7000.6809600000006</v>
      </c>
      <c r="AD41" s="44">
        <f>AD$5*IF(Teams!$D$61=1,AD38*((1-Teams!$D$13)*MAX(0,Teams!$D$72*$C$35-Teams!$D$12)+Teams!$D$13*MAX(0,Teams!$D$73*$C$35-Teams!$D$12)),IF(Teams!$D$62=1,AD39*$C$35,0))</f>
        <v>7000.6809600000006</v>
      </c>
      <c r="AE41" s="44">
        <f>AE$5*IF(Teams!$D$61=1,AE38*((1-Teams!$D$13)*MAX(0,Teams!$D$72*$C$35-Teams!$D$12)+Teams!$D$13*MAX(0,Teams!$D$73*$C$35-Teams!$D$12)),IF(Teams!$D$62=1,AE39*$C$35,0))</f>
        <v>7000.6809600000006</v>
      </c>
      <c r="AF41" s="44">
        <f>AF$5*IF(Teams!$D$61=1,AF38*((1-Teams!$D$13)*MAX(0,Teams!$D$72*$C$35-Teams!$D$12)+Teams!$D$13*MAX(0,Teams!$D$73*$C$35-Teams!$D$12)),IF(Teams!$D$62=1,AF39*$C$35,0))</f>
        <v>7000.6809600000006</v>
      </c>
      <c r="AG41" s="44">
        <f>AG$5*IF(Teams!$D$61=1,AG38*((1-Teams!$D$13)*MAX(0,Teams!$D$72*$C$35-Teams!$D$12)+Teams!$D$13*MAX(0,Teams!$D$73*$C$35-Teams!$D$12)),IF(Teams!$D$62=1,AG39*$C$35,0))</f>
        <v>7000.6809600000006</v>
      </c>
      <c r="AH41" s="44">
        <f>AH$5*IF(Teams!$D$61=1,AH38*((1-Teams!$D$13)*MAX(0,Teams!$D$72*$C$35-Teams!$D$12)+Teams!$D$13*MAX(0,Teams!$D$73*$C$35-Teams!$D$12)),IF(Teams!$D$62=1,AH39*$C$35,0))</f>
        <v>7000.6809600000006</v>
      </c>
      <c r="AI41" s="44">
        <f>AI$5*IF(Teams!$D$61=1,AI38*((1-Teams!$D$13)*MAX(0,Teams!$D$72*$C$35-Teams!$D$12)+Teams!$D$13*MAX(0,Teams!$D$73*$C$35-Teams!$D$12)),IF(Teams!$D$62=1,AI39*$C$35,0))</f>
        <v>7000.6809600000006</v>
      </c>
      <c r="AJ41" s="44">
        <f>AJ$5*IF(Teams!$D$61=1,AJ38*((1-Teams!$D$13)*MAX(0,Teams!$D$72*$C$35-Teams!$D$12)+Teams!$D$13*MAX(0,Teams!$D$73*$C$35-Teams!$D$12)),IF(Teams!$D$62=1,AJ39*$C$35,0))</f>
        <v>7000.6809600000006</v>
      </c>
      <c r="AK41" s="44">
        <f>AK$5*IF(Teams!$D$61=1,AK38*((1-Teams!$D$13)*MAX(0,Teams!$D$72*$C$35-Teams!$D$12)+Teams!$D$13*MAX(0,Teams!$D$73*$C$35-Teams!$D$12)),IF(Teams!$D$62=1,AK39*$C$35,0))</f>
        <v>7000.6809600000006</v>
      </c>
      <c r="AL41" s="44">
        <f>AL$5*IF(Teams!$D$61=1,AL38*((1-Teams!$D$13)*MAX(0,Teams!$D$72*$C$35-Teams!$D$12)+Teams!$D$13*MAX(0,Teams!$D$73*$C$35-Teams!$D$12)),IF(Teams!$D$62=1,AL39*$C$35,0))</f>
        <v>7000.6809600000006</v>
      </c>
      <c r="AM41" s="44">
        <f>AM$5*IF(Teams!$D$61=1,AM38*((1-Teams!$D$13)*MAX(0,Teams!$D$72*$C$35-Teams!$D$12)+Teams!$D$13*MAX(0,Teams!$D$73*$C$35-Teams!$D$12)),IF(Teams!$D$62=1,AM39*$C$35,0))</f>
        <v>7000.6809600000006</v>
      </c>
      <c r="AN41" s="44">
        <f>AN$5*IF(Teams!$D$61=1,AN38*((1-Teams!$D$13)*MAX(0,Teams!$D$72*$C$35-Teams!$D$12)+Teams!$D$13*MAX(0,Teams!$D$73*$C$35-Teams!$D$12)),IF(Teams!$D$62=1,AN39*$C$35,0))</f>
        <v>7000.6809600000006</v>
      </c>
      <c r="AO41" s="44">
        <f>AO$5*IF(Teams!$D$61=1,AO38*((1-Teams!$D$13)*MAX(0,Teams!$D$72*$C$35-Teams!$D$12)+Teams!$D$13*MAX(0,Teams!$D$73*$C$35-Teams!$D$12)),IF(Teams!$D$62=1,AO39*$C$35,0))</f>
        <v>0</v>
      </c>
      <c r="AP41" s="44">
        <f>AP$5*IF(Teams!$D$61=1,AP38*((1-Teams!$D$13)*MAX(0,Teams!$D$72*$C$35-Teams!$D$12)+Teams!$D$13*MAX(0,Teams!$D$73*$C$35-Teams!$D$12)),IF(Teams!$D$62=1,AP39*$C$35,0))</f>
        <v>0</v>
      </c>
      <c r="AQ41" s="44">
        <f>AQ$5*IF(Teams!$D$61=1,AQ38*((1-Teams!$D$13)*MAX(0,Teams!$D$72*$C$35-Teams!$D$12)+Teams!$D$13*MAX(0,Teams!$D$73*$C$35-Teams!$D$12)),IF(Teams!$D$62=1,AQ39*$C$35,0))</f>
        <v>0</v>
      </c>
      <c r="AR41" s="44">
        <f>AR$5*IF(Teams!$D$61=1,AR38*((1-Teams!$D$13)*MAX(0,Teams!$D$72*$C$35-Teams!$D$12)+Teams!$D$13*MAX(0,Teams!$D$73*$C$35-Teams!$D$12)),IF(Teams!$D$62=1,AR39*$C$35,0))</f>
        <v>0</v>
      </c>
      <c r="AS41" s="44">
        <f>AS$5*IF(Teams!$D$61=1,AS38*((1-Teams!$D$13)*MAX(0,Teams!$D$72*$C$35-Teams!$D$12)+Teams!$D$13*MAX(0,Teams!$D$73*$C$35-Teams!$D$12)),IF(Teams!$D$62=1,AS39*$C$35,0))</f>
        <v>0</v>
      </c>
      <c r="AT41" s="44">
        <f>AT$5*IF(Teams!$D$61=1,AT38*((1-Teams!$D$13)*MAX(0,Teams!$D$72*$C$35-Teams!$D$12)+Teams!$D$13*MAX(0,Teams!$D$73*$C$35-Teams!$D$12)),IF(Teams!$D$62=1,AT39*$C$35,0))</f>
        <v>0</v>
      </c>
      <c r="AU41" s="44">
        <f>AU$5*IF(Teams!$D$61=1,AU38*((1-Teams!$D$13)*MAX(0,Teams!$D$72*$C$35-Teams!$D$12)+Teams!$D$13*MAX(0,Teams!$D$73*$C$35-Teams!$D$12)),IF(Teams!$D$62=1,AU39*$C$35,0))</f>
        <v>0</v>
      </c>
      <c r="AV41" s="44">
        <f>AV$5*IF(Teams!$D$61=1,AV38*((1-Teams!$D$13)*MAX(0,Teams!$D$72*$C$35-Teams!$D$12)+Teams!$D$13*MAX(0,Teams!$D$73*$C$35-Teams!$D$12)),IF(Teams!$D$62=1,AV39*$C$35,0))</f>
        <v>0</v>
      </c>
      <c r="AW41" s="44">
        <f>AW$5*IF(Teams!$D$61=1,AW38*((1-Teams!$D$13)*MAX(0,Teams!$D$72*$C$35-Teams!$D$12)+Teams!$D$13*MAX(0,Teams!$D$73*$C$35-Teams!$D$12)),IF(Teams!$D$62=1,AW39*$C$35,0))</f>
        <v>0</v>
      </c>
      <c r="AX41" s="44">
        <f>AX$5*IF(Teams!$D$61=1,AX38*((1-Teams!$D$13)*MAX(0,Teams!$D$72*$C$35-Teams!$D$12)+Teams!$D$13*MAX(0,Teams!$D$73*$C$35-Teams!$D$12)),IF(Teams!$D$62=1,AX39*$C$35,0))</f>
        <v>0</v>
      </c>
      <c r="AY41" s="44">
        <f>AY$5*IF(Teams!$D$61=1,AY38*((1-Teams!$D$13)*MAX(0,Teams!$D$72*$C$35-Teams!$D$12)+Teams!$D$13*MAX(0,Teams!$D$73*$C$35-Teams!$D$12)),IF(Teams!$D$62=1,AY39*$C$35,0))</f>
        <v>0</v>
      </c>
      <c r="AZ41" s="44">
        <f>AZ$5*IF(Teams!$D$61=1,AZ38*((1-Teams!$D$13)*MAX(0,Teams!$D$72*$C$35-Teams!$D$12)+Teams!$D$13*MAX(0,Teams!$D$73*$C$35-Teams!$D$12)),IF(Teams!$D$62=1,AZ39*$C$35,0))</f>
        <v>0</v>
      </c>
      <c r="BA41" s="44">
        <f>BA$5*IF(Teams!$D$61=1,BA38*((1-Teams!$D$13)*MAX(0,Teams!$D$72*$C$35-Teams!$D$12)+Teams!$D$13*MAX(0,Teams!$D$73*$C$35-Teams!$D$12)),IF(Teams!$D$62=1,BA39*$C$35,0))</f>
        <v>0</v>
      </c>
      <c r="BB41" s="44">
        <f>BB$5*IF(Teams!$D$61=1,BB38*((1-Teams!$D$13)*MAX(0,Teams!$D$72*$C$35-Teams!$D$12)+Teams!$D$13*MAX(0,Teams!$D$73*$C$35-Teams!$D$12)),IF(Teams!$D$62=1,BB39*$C$35,0))</f>
        <v>0</v>
      </c>
      <c r="BC41" s="44">
        <f>BC$5*IF(Teams!$D$61=1,BC38*((1-Teams!$D$13)*MAX(0,Teams!$D$72*$C$35-Teams!$D$12)+Teams!$D$13*MAX(0,Teams!$D$73*$C$35-Teams!$D$12)),IF(Teams!$D$62=1,BC39*$C$35,0))</f>
        <v>0</v>
      </c>
      <c r="BD41" s="44">
        <f>BD$5*IF(Teams!$D$61=1,BD38*((1-Teams!$D$13)*MAX(0,Teams!$D$72*$C$35-Teams!$D$12)+Teams!$D$13*MAX(0,Teams!$D$73*$C$35-Teams!$D$12)),IF(Teams!$D$62=1,BD39*$C$35,0))</f>
        <v>0</v>
      </c>
      <c r="BE41" s="44">
        <f>BE$5*IF(Teams!$D$61=1,BE38*((1-Teams!$D$13)*MAX(0,Teams!$D$72*$C$35-Teams!$D$12)+Teams!$D$13*MAX(0,Teams!$D$73*$C$35-Teams!$D$12)),IF(Teams!$D$62=1,BE39*$C$35,0))</f>
        <v>0</v>
      </c>
      <c r="BF41" s="44">
        <f>BF$5*IF(Teams!$D$61=1,BF38*((1-Teams!$D$13)*MAX(0,Teams!$D$72*$C$35-Teams!$D$12)+Teams!$D$13*MAX(0,Teams!$D$73*$C$35-Teams!$D$12)),IF(Teams!$D$62=1,BF39*$C$35,0))</f>
        <v>0</v>
      </c>
      <c r="BG41" s="44">
        <f>BG$5*IF(Teams!$D$61=1,BG38*((1-Teams!$D$13)*MAX(0,Teams!$D$72*$C$35-Teams!$D$12)+Teams!$D$13*MAX(0,Teams!$D$73*$C$35-Teams!$D$12)),IF(Teams!$D$62=1,BG39*$C$35,0))</f>
        <v>0</v>
      </c>
      <c r="BH41" s="44">
        <f>BH$5*IF(Teams!$D$61=1,BH38*((1-Teams!$D$13)*MAX(0,Teams!$D$72*$C$35-Teams!$D$12)+Teams!$D$13*MAX(0,Teams!$D$73*$C$35-Teams!$D$12)),IF(Teams!$D$62=1,BH39*$C$35,0))</f>
        <v>0</v>
      </c>
      <c r="BI41" s="44">
        <f>BI$5*IF(Teams!$D$61=1,BI38*((1-Teams!$D$13)*MAX(0,Teams!$D$72*$C$35-Teams!$D$12)+Teams!$D$13*MAX(0,Teams!$D$73*$C$35-Teams!$D$12)),IF(Teams!$D$62=1,BI39*$C$35,0))</f>
        <v>0</v>
      </c>
      <c r="BJ41" s="44">
        <f>BJ$5*IF(Teams!$D$61=1,BJ38*((1-Teams!$D$13)*MAX(0,Teams!$D$72*$C$35-Teams!$D$12)+Teams!$D$13*MAX(0,Teams!$D$73*$C$35-Teams!$D$12)),IF(Teams!$D$62=1,BJ39*$C$35,0))</f>
        <v>0</v>
      </c>
      <c r="BK41" s="44">
        <f>BK$5*IF(Teams!$D$61=1,BK38*((1-Teams!$D$13)*MAX(0,Teams!$D$72*$C$35-Teams!$D$12)+Teams!$D$13*MAX(0,Teams!$D$73*$C$35-Teams!$D$12)),IF(Teams!$D$62=1,BK39*$C$35,0))</f>
        <v>0</v>
      </c>
      <c r="BL41" s="44">
        <f>BL$5*IF(Teams!$D$61=1,BL38*((1-Teams!$D$13)*MAX(0,Teams!$D$72*$C$35-Teams!$D$12)+Teams!$D$13*MAX(0,Teams!$D$73*$C$35-Teams!$D$12)),IF(Teams!$D$62=1,BL39*$C$35,0))</f>
        <v>0</v>
      </c>
    </row>
    <row r="42" spans="1:64" x14ac:dyDescent="0.3">
      <c r="A42" s="8" t="s">
        <v>667</v>
      </c>
      <c r="B42" s="18" t="s">
        <v>435</v>
      </c>
      <c r="C42" s="44">
        <f t="shared" si="11"/>
        <v>0</v>
      </c>
      <c r="E42" s="44">
        <f>E$5*Teams!$D$63*E39*Teams!$D$67</f>
        <v>0</v>
      </c>
      <c r="F42" s="44">
        <f>F$5*Teams!$D$63*F39*Teams!$D$67</f>
        <v>0</v>
      </c>
      <c r="G42" s="44">
        <f>G$5*Teams!$D$63*G39*Teams!$D$67</f>
        <v>0</v>
      </c>
      <c r="H42" s="44">
        <f>H$5*Teams!$D$63*H39*Teams!$D$67</f>
        <v>0</v>
      </c>
      <c r="I42" s="44">
        <f>I$5*Teams!$D$63*I39*Teams!$D$67</f>
        <v>0</v>
      </c>
      <c r="J42" s="44">
        <f>J$5*Teams!$D$63*J39*Teams!$D$67</f>
        <v>0</v>
      </c>
      <c r="K42" s="44">
        <f>K$5*Teams!$D$63*K39*Teams!$D$67</f>
        <v>0</v>
      </c>
      <c r="L42" s="44">
        <f>L$5*Teams!$D$63*L39*Teams!$D$67</f>
        <v>0</v>
      </c>
      <c r="M42" s="44">
        <f>M$5*Teams!$D$63*M39*Teams!$D$67</f>
        <v>0</v>
      </c>
      <c r="N42" s="44">
        <f>N$5*Teams!$D$63*N39*Teams!$D$67</f>
        <v>0</v>
      </c>
      <c r="O42" s="44">
        <f>O$5*Teams!$D$63*O39*Teams!$D$67</f>
        <v>0</v>
      </c>
      <c r="P42" s="44">
        <f>P$5*Teams!$D$63*P39*Teams!$D$67</f>
        <v>0</v>
      </c>
      <c r="Q42" s="44">
        <f>Q$5*Teams!$D$63*Q39*Teams!$D$67</f>
        <v>0</v>
      </c>
      <c r="R42" s="44">
        <f>R$5*Teams!$D$63*R39*Teams!$D$67</f>
        <v>0</v>
      </c>
      <c r="S42" s="44">
        <f>S$5*Teams!$D$63*S39*Teams!$D$67</f>
        <v>0</v>
      </c>
      <c r="T42" s="44">
        <f>T$5*Teams!$D$63*T39*Teams!$D$67</f>
        <v>0</v>
      </c>
      <c r="U42" s="44">
        <f>U$5*Teams!$D$63*U39*Teams!$D$67</f>
        <v>0</v>
      </c>
      <c r="V42" s="44">
        <f>V$5*Teams!$D$63*V39*Teams!$D$67</f>
        <v>0</v>
      </c>
      <c r="W42" s="44">
        <f>W$5*Teams!$D$63*W39*Teams!$D$67</f>
        <v>0</v>
      </c>
      <c r="X42" s="44">
        <f>X$5*Teams!$D$63*X39*Teams!$D$67</f>
        <v>0</v>
      </c>
      <c r="Y42" s="44">
        <f>Y$5*Teams!$D$63*Y39*Teams!$D$67</f>
        <v>0</v>
      </c>
      <c r="Z42" s="44">
        <f>Z$5*Teams!$D$63*Z39*Teams!$D$67</f>
        <v>0</v>
      </c>
      <c r="AA42" s="44">
        <f>AA$5*Teams!$D$63*AA39*Teams!$D$67</f>
        <v>0</v>
      </c>
      <c r="AB42" s="44">
        <f>AB$5*Teams!$D$63*AB39*Teams!$D$67</f>
        <v>0</v>
      </c>
      <c r="AC42" s="44">
        <f>AC$5*Teams!$D$63*AC39*Teams!$D$67</f>
        <v>0</v>
      </c>
      <c r="AD42" s="44">
        <f>AD$5*Teams!$D$63*AD39*Teams!$D$67</f>
        <v>0</v>
      </c>
      <c r="AE42" s="44">
        <f>AE$5*Teams!$D$63*AE39*Teams!$D$67</f>
        <v>0</v>
      </c>
      <c r="AF42" s="44">
        <f>AF$5*Teams!$D$63*AF39*Teams!$D$67</f>
        <v>0</v>
      </c>
      <c r="AG42" s="44">
        <f>AG$5*Teams!$D$63*AG39*Teams!$D$67</f>
        <v>0</v>
      </c>
      <c r="AH42" s="44">
        <f>AH$5*Teams!$D$63*AH39*Teams!$D$67</f>
        <v>0</v>
      </c>
      <c r="AI42" s="44">
        <f>AI$5*Teams!$D$63*AI39*Teams!$D$67</f>
        <v>0</v>
      </c>
      <c r="AJ42" s="44">
        <f>AJ$5*Teams!$D$63*AJ39*Teams!$D$67</f>
        <v>0</v>
      </c>
      <c r="AK42" s="44">
        <f>AK$5*Teams!$D$63*AK39*Teams!$D$67</f>
        <v>0</v>
      </c>
      <c r="AL42" s="44">
        <f>AL$5*Teams!$D$63*AL39*Teams!$D$67</f>
        <v>0</v>
      </c>
      <c r="AM42" s="44">
        <f>AM$5*Teams!$D$63*AM39*Teams!$D$67</f>
        <v>0</v>
      </c>
      <c r="AN42" s="44">
        <f>AN$5*Teams!$D$63*AN39*Teams!$D$67</f>
        <v>0</v>
      </c>
      <c r="AO42" s="44">
        <f>AO$5*Teams!$D$63*AO39*Teams!$D$67</f>
        <v>0</v>
      </c>
      <c r="AP42" s="44">
        <f>AP$5*Teams!$D$63*AP39*Teams!$D$67</f>
        <v>0</v>
      </c>
      <c r="AQ42" s="44">
        <f>AQ$5*Teams!$D$63*AQ39*Teams!$D$67</f>
        <v>0</v>
      </c>
      <c r="AR42" s="44">
        <f>AR$5*Teams!$D$63*AR39*Teams!$D$67</f>
        <v>0</v>
      </c>
      <c r="AS42" s="44">
        <f>AS$5*Teams!$D$63*AS39*Teams!$D$67</f>
        <v>0</v>
      </c>
      <c r="AT42" s="44">
        <f>AT$5*Teams!$D$63*AT39*Teams!$D$67</f>
        <v>0</v>
      </c>
      <c r="AU42" s="44">
        <f>AU$5*Teams!$D$63*AU39*Teams!$D$67</f>
        <v>0</v>
      </c>
      <c r="AV42" s="44">
        <f>AV$5*Teams!$D$63*AV39*Teams!$D$67</f>
        <v>0</v>
      </c>
      <c r="AW42" s="44">
        <f>AW$5*Teams!$D$63*AW39*Teams!$D$67</f>
        <v>0</v>
      </c>
      <c r="AX42" s="44">
        <f>AX$5*Teams!$D$63*AX39*Teams!$D$67</f>
        <v>0</v>
      </c>
      <c r="AY42" s="44">
        <f>AY$5*Teams!$D$63*AY39*Teams!$D$67</f>
        <v>0</v>
      </c>
      <c r="AZ42" s="44">
        <f>AZ$5*Teams!$D$63*AZ39*Teams!$D$67</f>
        <v>0</v>
      </c>
      <c r="BA42" s="44">
        <f>BA$5*Teams!$D$63*BA39*Teams!$D$67</f>
        <v>0</v>
      </c>
      <c r="BB42" s="44">
        <f>BB$5*Teams!$D$63*BB39*Teams!$D$67</f>
        <v>0</v>
      </c>
      <c r="BC42" s="44">
        <f>BC$5*Teams!$D$63*BC39*Teams!$D$67</f>
        <v>0</v>
      </c>
      <c r="BD42" s="44">
        <f>BD$5*Teams!$D$63*BD39*Teams!$D$67</f>
        <v>0</v>
      </c>
      <c r="BE42" s="44">
        <f>BE$5*Teams!$D$63*BE39*Teams!$D$67</f>
        <v>0</v>
      </c>
      <c r="BF42" s="44">
        <f>BF$5*Teams!$D$63*BF39*Teams!$D$67</f>
        <v>0</v>
      </c>
      <c r="BG42" s="44">
        <f>BG$5*Teams!$D$63*BG39*Teams!$D$67</f>
        <v>0</v>
      </c>
      <c r="BH42" s="44">
        <f>BH$5*Teams!$D$63*BH39*Teams!$D$67</f>
        <v>0</v>
      </c>
      <c r="BI42" s="44">
        <f>BI$5*Teams!$D$63*BI39*Teams!$D$67</f>
        <v>0</v>
      </c>
      <c r="BJ42" s="44">
        <f>BJ$5*Teams!$D$63*BJ39*Teams!$D$67</f>
        <v>0</v>
      </c>
      <c r="BK42" s="44">
        <f>BK$5*Teams!$D$63*BK39*Teams!$D$67</f>
        <v>0</v>
      </c>
      <c r="BL42" s="44">
        <f>BL$5*Teams!$D$63*BL39*Teams!$D$67</f>
        <v>0</v>
      </c>
    </row>
    <row r="43" spans="1:64" x14ac:dyDescent="0.3">
      <c r="A43" s="8" t="s">
        <v>668</v>
      </c>
      <c r="B43" s="18" t="s">
        <v>435</v>
      </c>
      <c r="C43" s="44">
        <f t="shared" si="11"/>
        <v>0</v>
      </c>
      <c r="E43" s="44">
        <f>E$5*Teams!$D$65*E39*Teams!$D$74</f>
        <v>0</v>
      </c>
      <c r="F43" s="44">
        <f>F$5*Teams!$D$65*F39*Teams!$D$74</f>
        <v>0</v>
      </c>
      <c r="G43" s="44">
        <f>G$5*Teams!$D$65*G39*Teams!$D$74</f>
        <v>0</v>
      </c>
      <c r="H43" s="44">
        <f>H$5*Teams!$D$65*H39*Teams!$D$74</f>
        <v>0</v>
      </c>
      <c r="I43" s="44">
        <f>I$5*Teams!$D$65*I39*Teams!$D$74</f>
        <v>0</v>
      </c>
      <c r="J43" s="44">
        <f>J$5*Teams!$D$65*J39*Teams!$D$74</f>
        <v>0</v>
      </c>
      <c r="K43" s="44">
        <f>K$5*Teams!$D$65*K39*Teams!$D$74</f>
        <v>0</v>
      </c>
      <c r="L43" s="44">
        <f>L$5*Teams!$D$65*L39*Teams!$D$74</f>
        <v>0</v>
      </c>
      <c r="M43" s="44">
        <f>M$5*Teams!$D$65*M39*Teams!$D$74</f>
        <v>0</v>
      </c>
      <c r="N43" s="44">
        <f>N$5*Teams!$D$65*N39*Teams!$D$74</f>
        <v>0</v>
      </c>
      <c r="O43" s="44">
        <f>O$5*Teams!$D$65*O39*Teams!$D$74</f>
        <v>0</v>
      </c>
      <c r="P43" s="44">
        <f>P$5*Teams!$D$65*P39*Teams!$D$74</f>
        <v>0</v>
      </c>
      <c r="Q43" s="44">
        <f>Q$5*Teams!$D$65*Q39*Teams!$D$74</f>
        <v>0</v>
      </c>
      <c r="R43" s="44">
        <f>R$5*Teams!$D$65*R39*Teams!$D$74</f>
        <v>0</v>
      </c>
      <c r="S43" s="44">
        <f>S$5*Teams!$D$65*S39*Teams!$D$74</f>
        <v>0</v>
      </c>
      <c r="T43" s="44">
        <f>T$5*Teams!$D$65*T39*Teams!$D$74</f>
        <v>0</v>
      </c>
      <c r="U43" s="44">
        <f>U$5*Teams!$D$65*U39*Teams!$D$74</f>
        <v>0</v>
      </c>
      <c r="V43" s="44">
        <f>V$5*Teams!$D$65*V39*Teams!$D$74</f>
        <v>0</v>
      </c>
      <c r="W43" s="44">
        <f>W$5*Teams!$D$65*W39*Teams!$D$74</f>
        <v>0</v>
      </c>
      <c r="X43" s="44">
        <f>X$5*Teams!$D$65*X39*Teams!$D$74</f>
        <v>0</v>
      </c>
      <c r="Y43" s="44">
        <f>Y$5*Teams!$D$65*Y39*Teams!$D$74</f>
        <v>0</v>
      </c>
      <c r="Z43" s="44">
        <f>Z$5*Teams!$D$65*Z39*Teams!$D$74</f>
        <v>0</v>
      </c>
      <c r="AA43" s="44">
        <f>AA$5*Teams!$D$65*AA39*Teams!$D$74</f>
        <v>0</v>
      </c>
      <c r="AB43" s="44">
        <f>AB$5*Teams!$D$65*AB39*Teams!$D$74</f>
        <v>0</v>
      </c>
      <c r="AC43" s="44">
        <f>AC$5*Teams!$D$65*AC39*Teams!$D$74</f>
        <v>0</v>
      </c>
      <c r="AD43" s="44">
        <f>AD$5*Teams!$D$65*AD39*Teams!$D$74</f>
        <v>0</v>
      </c>
      <c r="AE43" s="44">
        <f>AE$5*Teams!$D$65*AE39*Teams!$D$74</f>
        <v>0</v>
      </c>
      <c r="AF43" s="44">
        <f>AF$5*Teams!$D$65*AF39*Teams!$D$74</f>
        <v>0</v>
      </c>
      <c r="AG43" s="44">
        <f>AG$5*Teams!$D$65*AG39*Teams!$D$74</f>
        <v>0</v>
      </c>
      <c r="AH43" s="44">
        <f>AH$5*Teams!$D$65*AH39*Teams!$D$74</f>
        <v>0</v>
      </c>
      <c r="AI43" s="44">
        <f>AI$5*Teams!$D$65*AI39*Teams!$D$74</f>
        <v>0</v>
      </c>
      <c r="AJ43" s="44">
        <f>AJ$5*Teams!$D$65*AJ39*Teams!$D$74</f>
        <v>0</v>
      </c>
      <c r="AK43" s="44">
        <f>AK$5*Teams!$D$65*AK39*Teams!$D$74</f>
        <v>0</v>
      </c>
      <c r="AL43" s="44">
        <f>AL$5*Teams!$D$65*AL39*Teams!$D$74</f>
        <v>0</v>
      </c>
      <c r="AM43" s="44">
        <f>AM$5*Teams!$D$65*AM39*Teams!$D$74</f>
        <v>0</v>
      </c>
      <c r="AN43" s="44">
        <f>AN$5*Teams!$D$65*AN39*Teams!$D$74</f>
        <v>0</v>
      </c>
      <c r="AO43" s="44">
        <f>AO$5*Teams!$D$65*AO39*Teams!$D$74</f>
        <v>0</v>
      </c>
      <c r="AP43" s="44">
        <f>AP$5*Teams!$D$65*AP39*Teams!$D$74</f>
        <v>0</v>
      </c>
      <c r="AQ43" s="44">
        <f>AQ$5*Teams!$D$65*AQ39*Teams!$D$74</f>
        <v>0</v>
      </c>
      <c r="AR43" s="44">
        <f>AR$5*Teams!$D$65*AR39*Teams!$D$74</f>
        <v>0</v>
      </c>
      <c r="AS43" s="44">
        <f>AS$5*Teams!$D$65*AS39*Teams!$D$74</f>
        <v>0</v>
      </c>
      <c r="AT43" s="44">
        <f>AT$5*Teams!$D$65*AT39*Teams!$D$74</f>
        <v>0</v>
      </c>
      <c r="AU43" s="44">
        <f>AU$5*Teams!$D$65*AU39*Teams!$D$74</f>
        <v>0</v>
      </c>
      <c r="AV43" s="44">
        <f>AV$5*Teams!$D$65*AV39*Teams!$D$74</f>
        <v>0</v>
      </c>
      <c r="AW43" s="44">
        <f>AW$5*Teams!$D$65*AW39*Teams!$D$74</f>
        <v>0</v>
      </c>
      <c r="AX43" s="44">
        <f>AX$5*Teams!$D$65*AX39*Teams!$D$74</f>
        <v>0</v>
      </c>
      <c r="AY43" s="44">
        <f>AY$5*Teams!$D$65*AY39*Teams!$D$74</f>
        <v>0</v>
      </c>
      <c r="AZ43" s="44">
        <f>AZ$5*Teams!$D$65*AZ39*Teams!$D$74</f>
        <v>0</v>
      </c>
      <c r="BA43" s="44">
        <f>BA$5*Teams!$D$65*BA39*Teams!$D$74</f>
        <v>0</v>
      </c>
      <c r="BB43" s="44">
        <f>BB$5*Teams!$D$65*BB39*Teams!$D$74</f>
        <v>0</v>
      </c>
      <c r="BC43" s="44">
        <f>BC$5*Teams!$D$65*BC39*Teams!$D$74</f>
        <v>0</v>
      </c>
      <c r="BD43" s="44">
        <f>BD$5*Teams!$D$65*BD39*Teams!$D$74</f>
        <v>0</v>
      </c>
      <c r="BE43" s="44">
        <f>BE$5*Teams!$D$65*BE39*Teams!$D$74</f>
        <v>0</v>
      </c>
      <c r="BF43" s="44">
        <f>BF$5*Teams!$D$65*BF39*Teams!$D$74</f>
        <v>0</v>
      </c>
      <c r="BG43" s="44">
        <f>BG$5*Teams!$D$65*BG39*Teams!$D$74</f>
        <v>0</v>
      </c>
      <c r="BH43" s="44">
        <f>BH$5*Teams!$D$65*BH39*Teams!$D$74</f>
        <v>0</v>
      </c>
      <c r="BI43" s="44">
        <f>BI$5*Teams!$D$65*BI39*Teams!$D$74</f>
        <v>0</v>
      </c>
      <c r="BJ43" s="44">
        <f>BJ$5*Teams!$D$65*BJ39*Teams!$D$74</f>
        <v>0</v>
      </c>
      <c r="BK43" s="44">
        <f>BK$5*Teams!$D$65*BK39*Teams!$D$74</f>
        <v>0</v>
      </c>
      <c r="BL43" s="44">
        <f>BL$5*Teams!$D$65*BL39*Teams!$D$74</f>
        <v>0</v>
      </c>
    </row>
    <row r="44" spans="1:64" x14ac:dyDescent="0.3">
      <c r="A44" s="8" t="s">
        <v>669</v>
      </c>
      <c r="B44" s="18" t="s">
        <v>505</v>
      </c>
      <c r="C44" s="44">
        <f t="shared" si="11"/>
        <v>0</v>
      </c>
      <c r="E44" s="44">
        <f>E$5*Teams!$D$64*Teams!$D$16*IF(E$4&gt;=Teams!$D$80,1,0)</f>
        <v>0</v>
      </c>
      <c r="F44" s="44">
        <f>F$5*Teams!$D$64*Teams!$D$16*IF(F$4&gt;=Teams!$D$80,1,0)</f>
        <v>0</v>
      </c>
      <c r="G44" s="44">
        <f>G$5*Teams!$D$64*Teams!$D$16*IF(G$4&gt;=Teams!$D$80,1,0)</f>
        <v>0</v>
      </c>
      <c r="H44" s="44">
        <f>H$5*Teams!$D$64*Teams!$D$16*IF(H$4&gt;=Teams!$D$80,1,0)</f>
        <v>0</v>
      </c>
      <c r="I44" s="44">
        <f>I$5*Teams!$D$64*Teams!$D$16*IF(I$4&gt;=Teams!$D$80,1,0)</f>
        <v>0</v>
      </c>
      <c r="J44" s="44">
        <f>J$5*Teams!$D$64*Teams!$D$16*IF(J$4&gt;=Teams!$D$80,1,0)</f>
        <v>0</v>
      </c>
      <c r="K44" s="44">
        <f>K$5*Teams!$D$64*Teams!$D$16*IF(K$4&gt;=Teams!$D$80,1,0)</f>
        <v>0</v>
      </c>
      <c r="L44" s="44">
        <f>L$5*Teams!$D$64*Teams!$D$16*IF(L$4&gt;=Teams!$D$80,1,0)</f>
        <v>0</v>
      </c>
      <c r="M44" s="44">
        <f>M$5*Teams!$D$64*Teams!$D$16*IF(M$4&gt;=Teams!$D$80,1,0)</f>
        <v>0</v>
      </c>
      <c r="N44" s="44">
        <f>N$5*Teams!$D$64*Teams!$D$16*IF(N$4&gt;=Teams!$D$80,1,0)</f>
        <v>0</v>
      </c>
      <c r="O44" s="44">
        <f>O$5*Teams!$D$64*Teams!$D$16*IF(O$4&gt;=Teams!$D$80,1,0)</f>
        <v>0</v>
      </c>
      <c r="P44" s="44">
        <f>P$5*Teams!$D$64*Teams!$D$16*IF(P$4&gt;=Teams!$D$80,1,0)</f>
        <v>0</v>
      </c>
      <c r="Q44" s="44">
        <f>Q$5*Teams!$D$64*Teams!$D$16*IF(Q$4&gt;=Teams!$D$80,1,0)</f>
        <v>0</v>
      </c>
      <c r="R44" s="44">
        <f>R$5*Teams!$D$64*Teams!$D$16*IF(R$4&gt;=Teams!$D$80,1,0)</f>
        <v>0</v>
      </c>
      <c r="S44" s="44">
        <f>S$5*Teams!$D$64*Teams!$D$16*IF(S$4&gt;=Teams!$D$80,1,0)</f>
        <v>0</v>
      </c>
      <c r="T44" s="44">
        <f>T$5*Teams!$D$64*Teams!$D$16*IF(T$4&gt;=Teams!$D$80,1,0)</f>
        <v>0</v>
      </c>
      <c r="U44" s="44">
        <f>U$5*Teams!$D$64*Teams!$D$16*IF(U$4&gt;=Teams!$D$80,1,0)</f>
        <v>0</v>
      </c>
      <c r="V44" s="44">
        <f>V$5*Teams!$D$64*Teams!$D$16*IF(V$4&gt;=Teams!$D$80,1,0)</f>
        <v>0</v>
      </c>
      <c r="W44" s="44">
        <f>W$5*Teams!$D$64*Teams!$D$16*IF(W$4&gt;=Teams!$D$80,1,0)</f>
        <v>0</v>
      </c>
      <c r="X44" s="44">
        <f>X$5*Teams!$D$64*Teams!$D$16*IF(X$4&gt;=Teams!$D$80,1,0)</f>
        <v>0</v>
      </c>
      <c r="Y44" s="44">
        <f>Y$5*Teams!$D$64*Teams!$D$16*IF(Y$4&gt;=Teams!$D$80,1,0)</f>
        <v>0</v>
      </c>
      <c r="Z44" s="44">
        <f>Z$5*Teams!$D$64*Teams!$D$16*IF(Z$4&gt;=Teams!$D$80,1,0)</f>
        <v>0</v>
      </c>
      <c r="AA44" s="44">
        <f>AA$5*Teams!$D$64*Teams!$D$16*IF(AA$4&gt;=Teams!$D$80,1,0)</f>
        <v>0</v>
      </c>
      <c r="AB44" s="44">
        <f>AB$5*Teams!$D$64*Teams!$D$16*IF(AB$4&gt;=Teams!$D$80,1,0)</f>
        <v>0</v>
      </c>
      <c r="AC44" s="44">
        <f>AC$5*Teams!$D$64*Teams!$D$16*IF(AC$4&gt;=Teams!$D$80,1,0)</f>
        <v>0</v>
      </c>
      <c r="AD44" s="44">
        <f>AD$5*Teams!$D$64*Teams!$D$16*IF(AD$4&gt;=Teams!$D$80,1,0)</f>
        <v>0</v>
      </c>
      <c r="AE44" s="44">
        <f>AE$5*Teams!$D$64*Teams!$D$16*IF(AE$4&gt;=Teams!$D$80,1,0)</f>
        <v>0</v>
      </c>
      <c r="AF44" s="44">
        <f>AF$5*Teams!$D$64*Teams!$D$16*IF(AF$4&gt;=Teams!$D$80,1,0)</f>
        <v>0</v>
      </c>
      <c r="AG44" s="44">
        <f>AG$5*Teams!$D$64*Teams!$D$16*IF(AG$4&gt;=Teams!$D$80,1,0)</f>
        <v>0</v>
      </c>
      <c r="AH44" s="44">
        <f>AH$5*Teams!$D$64*Teams!$D$16*IF(AH$4&gt;=Teams!$D$80,1,0)</f>
        <v>0</v>
      </c>
      <c r="AI44" s="44">
        <f>AI$5*Teams!$D$64*Teams!$D$16*IF(AI$4&gt;=Teams!$D$80,1,0)</f>
        <v>0</v>
      </c>
      <c r="AJ44" s="44">
        <f>AJ$5*Teams!$D$64*Teams!$D$16*IF(AJ$4&gt;=Teams!$D$80,1,0)</f>
        <v>0</v>
      </c>
      <c r="AK44" s="44">
        <f>AK$5*Teams!$D$64*Teams!$D$16*IF(AK$4&gt;=Teams!$D$80,1,0)</f>
        <v>0</v>
      </c>
      <c r="AL44" s="44">
        <f>AL$5*Teams!$D$64*Teams!$D$16*IF(AL$4&gt;=Teams!$D$80,1,0)</f>
        <v>0</v>
      </c>
      <c r="AM44" s="44">
        <f>AM$5*Teams!$D$64*Teams!$D$16*IF(AM$4&gt;=Teams!$D$80,1,0)</f>
        <v>0</v>
      </c>
      <c r="AN44" s="44">
        <f>AN$5*Teams!$D$64*Teams!$D$16*IF(AN$4&gt;=Teams!$D$80,1,0)</f>
        <v>0</v>
      </c>
      <c r="AO44" s="44">
        <f>AO$5*Teams!$D$64*Teams!$D$16*IF(AO$4&gt;=Teams!$D$80,1,0)</f>
        <v>0</v>
      </c>
      <c r="AP44" s="44">
        <f>AP$5*Teams!$D$64*Teams!$D$16*IF(AP$4&gt;=Teams!$D$80,1,0)</f>
        <v>0</v>
      </c>
      <c r="AQ44" s="44">
        <f>AQ$5*Teams!$D$64*Teams!$D$16*IF(AQ$4&gt;=Teams!$D$80,1,0)</f>
        <v>0</v>
      </c>
      <c r="AR44" s="44">
        <f>AR$5*Teams!$D$64*Teams!$D$16*IF(AR$4&gt;=Teams!$D$80,1,0)</f>
        <v>0</v>
      </c>
      <c r="AS44" s="44">
        <f>AS$5*Teams!$D$64*Teams!$D$16*IF(AS$4&gt;=Teams!$D$80,1,0)</f>
        <v>0</v>
      </c>
      <c r="AT44" s="44">
        <f>AT$5*Teams!$D$64*Teams!$D$16*IF(AT$4&gt;=Teams!$D$80,1,0)</f>
        <v>0</v>
      </c>
      <c r="AU44" s="44">
        <f>AU$5*Teams!$D$64*Teams!$D$16*IF(AU$4&gt;=Teams!$D$80,1,0)</f>
        <v>0</v>
      </c>
      <c r="AV44" s="44">
        <f>AV$5*Teams!$D$64*Teams!$D$16*IF(AV$4&gt;=Teams!$D$80,1,0)</f>
        <v>0</v>
      </c>
      <c r="AW44" s="44">
        <f>AW$5*Teams!$D$64*Teams!$D$16*IF(AW$4&gt;=Teams!$D$80,1,0)</f>
        <v>0</v>
      </c>
      <c r="AX44" s="44">
        <f>AX$5*Teams!$D$64*Teams!$D$16*IF(AX$4&gt;=Teams!$D$80,1,0)</f>
        <v>0</v>
      </c>
      <c r="AY44" s="44">
        <f>AY$5*Teams!$D$64*Teams!$D$16*IF(AY$4&gt;=Teams!$D$80,1,0)</f>
        <v>0</v>
      </c>
      <c r="AZ44" s="44">
        <f>AZ$5*Teams!$D$64*Teams!$D$16*IF(AZ$4&gt;=Teams!$D$80,1,0)</f>
        <v>0</v>
      </c>
      <c r="BA44" s="44">
        <f>BA$5*Teams!$D$64*Teams!$D$16*IF(BA$4&gt;=Teams!$D$80,1,0)</f>
        <v>0</v>
      </c>
      <c r="BB44" s="44">
        <f>BB$5*Teams!$D$64*Teams!$D$16*IF(BB$4&gt;=Teams!$D$80,1,0)</f>
        <v>0</v>
      </c>
      <c r="BC44" s="44">
        <f>BC$5*Teams!$D$64*Teams!$D$16*IF(BC$4&gt;=Teams!$D$80,1,0)</f>
        <v>0</v>
      </c>
      <c r="BD44" s="44">
        <f>BD$5*Teams!$D$64*Teams!$D$16*IF(BD$4&gt;=Teams!$D$80,1,0)</f>
        <v>0</v>
      </c>
      <c r="BE44" s="44">
        <f>BE$5*Teams!$D$64*Teams!$D$16*IF(BE$4&gt;=Teams!$D$80,1,0)</f>
        <v>0</v>
      </c>
      <c r="BF44" s="44">
        <f>BF$5*Teams!$D$64*Teams!$D$16*IF(BF$4&gt;=Teams!$D$80,1,0)</f>
        <v>0</v>
      </c>
      <c r="BG44" s="44">
        <f>BG$5*Teams!$D$64*Teams!$D$16*IF(BG$4&gt;=Teams!$D$80,1,0)</f>
        <v>0</v>
      </c>
      <c r="BH44" s="44">
        <f>BH$5*Teams!$D$64*Teams!$D$16*IF(BH$4&gt;=Teams!$D$80,1,0)</f>
        <v>0</v>
      </c>
      <c r="BI44" s="44">
        <f>BI$5*Teams!$D$64*Teams!$D$16*IF(BI$4&gt;=Teams!$D$80,1,0)</f>
        <v>0</v>
      </c>
      <c r="BJ44" s="44">
        <f>BJ$5*Teams!$D$64*Teams!$D$16*IF(BJ$4&gt;=Teams!$D$80,1,0)</f>
        <v>0</v>
      </c>
      <c r="BK44" s="44">
        <f>BK$5*Teams!$D$64*Teams!$D$16*IF(BK$4&gt;=Teams!$D$80,1,0)</f>
        <v>0</v>
      </c>
      <c r="BL44" s="44">
        <f>BL$5*Teams!$D$64*Teams!$D$16*IF(BL$4&gt;=Teams!$D$80,1,0)</f>
        <v>0</v>
      </c>
    </row>
    <row r="45" spans="1:64" x14ac:dyDescent="0.3">
      <c r="A45" s="8" t="s">
        <v>670</v>
      </c>
      <c r="B45" s="18" t="s">
        <v>435</v>
      </c>
      <c r="C45" s="44">
        <f t="shared" si="11"/>
        <v>2718.8399999999992</v>
      </c>
      <c r="E45" s="44">
        <f>E$5*IF(AND(E$4&gt;=Teams!$D$80,Teams!$D$49=1),Teams!$D$44*Params!$D$10*Teams!$D$45*Teams!$D$75+Teams!$D$44*Params!$D$10*Teams!$D$47*Teams!$D$76/1000000+Teams!$D$77+Teams!$D$50*Teams!$D$78+E39*Teams!$D$51*Teams!$D$79/1000000,0)</f>
        <v>68.27</v>
      </c>
      <c r="F45" s="44">
        <f>F$5*IF(AND(F$4&gt;=Teams!$D$80,Teams!$D$49=1),Teams!$D$44*Params!$D$10*Teams!$D$45*Teams!$D$75+Teams!$D$44*Params!$D$10*Teams!$D$47*Teams!$D$76/1000000+Teams!$D$77+Teams!$D$50*Teams!$D$78+F39*Teams!$D$51*Teams!$D$79/1000000,0)</f>
        <v>70.83</v>
      </c>
      <c r="G45" s="44">
        <f>G$5*IF(AND(G$4&gt;=Teams!$D$80,Teams!$D$49=1),Teams!$D$44*Params!$D$10*Teams!$D$45*Teams!$D$75+Teams!$D$44*Params!$D$10*Teams!$D$47*Teams!$D$76/1000000+Teams!$D$77+Teams!$D$50*Teams!$D$78+G39*Teams!$D$51*Teams!$D$79/1000000,0)</f>
        <v>73.389999999999986</v>
      </c>
      <c r="H45" s="44">
        <f>H$5*IF(AND(H$4&gt;=Teams!$D$80,Teams!$D$49=1),Teams!$D$44*Params!$D$10*Teams!$D$45*Teams!$D$75+Teams!$D$44*Params!$D$10*Teams!$D$47*Teams!$D$76/1000000+Teams!$D$77+Teams!$D$50*Teams!$D$78+H39*Teams!$D$51*Teams!$D$79/1000000,0)</f>
        <v>75.949999999999989</v>
      </c>
      <c r="I45" s="44">
        <f>I$5*IF(AND(I$4&gt;=Teams!$D$80,Teams!$D$49=1),Teams!$D$44*Params!$D$10*Teams!$D$45*Teams!$D$75+Teams!$D$44*Params!$D$10*Teams!$D$47*Teams!$D$76/1000000+Teams!$D$77+Teams!$D$50*Teams!$D$78+I39*Teams!$D$51*Teams!$D$79/1000000,0)</f>
        <v>75.949999999999989</v>
      </c>
      <c r="J45" s="44">
        <f>J$5*IF(AND(J$4&gt;=Teams!$D$80,Teams!$D$49=1),Teams!$D$44*Params!$D$10*Teams!$D$45*Teams!$D$75+Teams!$D$44*Params!$D$10*Teams!$D$47*Teams!$D$76/1000000+Teams!$D$77+Teams!$D$50*Teams!$D$78+J39*Teams!$D$51*Teams!$D$79/1000000,0)</f>
        <v>75.949999999999989</v>
      </c>
      <c r="K45" s="44">
        <f>K$5*IF(AND(K$4&gt;=Teams!$D$80,Teams!$D$49=1),Teams!$D$44*Params!$D$10*Teams!$D$45*Teams!$D$75+Teams!$D$44*Params!$D$10*Teams!$D$47*Teams!$D$76/1000000+Teams!$D$77+Teams!$D$50*Teams!$D$78+K39*Teams!$D$51*Teams!$D$79/1000000,0)</f>
        <v>75.949999999999989</v>
      </c>
      <c r="L45" s="44">
        <f>L$5*IF(AND(L$4&gt;=Teams!$D$80,Teams!$D$49=1),Teams!$D$44*Params!$D$10*Teams!$D$45*Teams!$D$75+Teams!$D$44*Params!$D$10*Teams!$D$47*Teams!$D$76/1000000+Teams!$D$77+Teams!$D$50*Teams!$D$78+L39*Teams!$D$51*Teams!$D$79/1000000,0)</f>
        <v>75.949999999999989</v>
      </c>
      <c r="M45" s="44">
        <f>M$5*IF(AND(M$4&gt;=Teams!$D$80,Teams!$D$49=1),Teams!$D$44*Params!$D$10*Teams!$D$45*Teams!$D$75+Teams!$D$44*Params!$D$10*Teams!$D$47*Teams!$D$76/1000000+Teams!$D$77+Teams!$D$50*Teams!$D$78+M39*Teams!$D$51*Teams!$D$79/1000000,0)</f>
        <v>75.949999999999989</v>
      </c>
      <c r="N45" s="44">
        <f>N$5*IF(AND(N$4&gt;=Teams!$D$80,Teams!$D$49=1),Teams!$D$44*Params!$D$10*Teams!$D$45*Teams!$D$75+Teams!$D$44*Params!$D$10*Teams!$D$47*Teams!$D$76/1000000+Teams!$D$77+Teams!$D$50*Teams!$D$78+N39*Teams!$D$51*Teams!$D$79/1000000,0)</f>
        <v>75.949999999999989</v>
      </c>
      <c r="O45" s="44">
        <f>O$5*IF(AND(O$4&gt;=Teams!$D$80,Teams!$D$49=1),Teams!$D$44*Params!$D$10*Teams!$D$45*Teams!$D$75+Teams!$D$44*Params!$D$10*Teams!$D$47*Teams!$D$76/1000000+Teams!$D$77+Teams!$D$50*Teams!$D$78+O39*Teams!$D$51*Teams!$D$79/1000000,0)</f>
        <v>75.949999999999989</v>
      </c>
      <c r="P45" s="44">
        <f>P$5*IF(AND(P$4&gt;=Teams!$D$80,Teams!$D$49=1),Teams!$D$44*Params!$D$10*Teams!$D$45*Teams!$D$75+Teams!$D$44*Params!$D$10*Teams!$D$47*Teams!$D$76/1000000+Teams!$D$77+Teams!$D$50*Teams!$D$78+P39*Teams!$D$51*Teams!$D$79/1000000,0)</f>
        <v>75.949999999999989</v>
      </c>
      <c r="Q45" s="44">
        <f>Q$5*IF(AND(Q$4&gt;=Teams!$D$80,Teams!$D$49=1),Teams!$D$44*Params!$D$10*Teams!$D$45*Teams!$D$75+Teams!$D$44*Params!$D$10*Teams!$D$47*Teams!$D$76/1000000+Teams!$D$77+Teams!$D$50*Teams!$D$78+Q39*Teams!$D$51*Teams!$D$79/1000000,0)</f>
        <v>75.949999999999989</v>
      </c>
      <c r="R45" s="44">
        <f>R$5*IF(AND(R$4&gt;=Teams!$D$80,Teams!$D$49=1),Teams!$D$44*Params!$D$10*Teams!$D$45*Teams!$D$75+Teams!$D$44*Params!$D$10*Teams!$D$47*Teams!$D$76/1000000+Teams!$D$77+Teams!$D$50*Teams!$D$78+R39*Teams!$D$51*Teams!$D$79/1000000,0)</f>
        <v>75.949999999999989</v>
      </c>
      <c r="S45" s="44">
        <f>S$5*IF(AND(S$4&gt;=Teams!$D$80,Teams!$D$49=1),Teams!$D$44*Params!$D$10*Teams!$D$45*Teams!$D$75+Teams!$D$44*Params!$D$10*Teams!$D$47*Teams!$D$76/1000000+Teams!$D$77+Teams!$D$50*Teams!$D$78+S39*Teams!$D$51*Teams!$D$79/1000000,0)</f>
        <v>75.949999999999989</v>
      </c>
      <c r="T45" s="44">
        <f>T$5*IF(AND(T$4&gt;=Teams!$D$80,Teams!$D$49=1),Teams!$D$44*Params!$D$10*Teams!$D$45*Teams!$D$75+Teams!$D$44*Params!$D$10*Teams!$D$47*Teams!$D$76/1000000+Teams!$D$77+Teams!$D$50*Teams!$D$78+T39*Teams!$D$51*Teams!$D$79/1000000,0)</f>
        <v>75.949999999999989</v>
      </c>
      <c r="U45" s="44">
        <f>U$5*IF(AND(U$4&gt;=Teams!$D$80,Teams!$D$49=1),Teams!$D$44*Params!$D$10*Teams!$D$45*Teams!$D$75+Teams!$D$44*Params!$D$10*Teams!$D$47*Teams!$D$76/1000000+Teams!$D$77+Teams!$D$50*Teams!$D$78+U39*Teams!$D$51*Teams!$D$79/1000000,0)</f>
        <v>75.949999999999989</v>
      </c>
      <c r="V45" s="44">
        <f>V$5*IF(AND(V$4&gt;=Teams!$D$80,Teams!$D$49=1),Teams!$D$44*Params!$D$10*Teams!$D$45*Teams!$D$75+Teams!$D$44*Params!$D$10*Teams!$D$47*Teams!$D$76/1000000+Teams!$D$77+Teams!$D$50*Teams!$D$78+V39*Teams!$D$51*Teams!$D$79/1000000,0)</f>
        <v>75.949999999999989</v>
      </c>
      <c r="W45" s="44">
        <f>W$5*IF(AND(W$4&gt;=Teams!$D$80,Teams!$D$49=1),Teams!$D$44*Params!$D$10*Teams!$D$45*Teams!$D$75+Teams!$D$44*Params!$D$10*Teams!$D$47*Teams!$D$76/1000000+Teams!$D$77+Teams!$D$50*Teams!$D$78+W39*Teams!$D$51*Teams!$D$79/1000000,0)</f>
        <v>75.949999999999989</v>
      </c>
      <c r="X45" s="44">
        <f>X$5*IF(AND(X$4&gt;=Teams!$D$80,Teams!$D$49=1),Teams!$D$44*Params!$D$10*Teams!$D$45*Teams!$D$75+Teams!$D$44*Params!$D$10*Teams!$D$47*Teams!$D$76/1000000+Teams!$D$77+Teams!$D$50*Teams!$D$78+X39*Teams!$D$51*Teams!$D$79/1000000,0)</f>
        <v>75.949999999999989</v>
      </c>
      <c r="Y45" s="44">
        <f>Y$5*IF(AND(Y$4&gt;=Teams!$D$80,Teams!$D$49=1),Teams!$D$44*Params!$D$10*Teams!$D$45*Teams!$D$75+Teams!$D$44*Params!$D$10*Teams!$D$47*Teams!$D$76/1000000+Teams!$D$77+Teams!$D$50*Teams!$D$78+Y39*Teams!$D$51*Teams!$D$79/1000000,0)</f>
        <v>75.949999999999989</v>
      </c>
      <c r="Z45" s="44">
        <f>Z$5*IF(AND(Z$4&gt;=Teams!$D$80,Teams!$D$49=1),Teams!$D$44*Params!$D$10*Teams!$D$45*Teams!$D$75+Teams!$D$44*Params!$D$10*Teams!$D$47*Teams!$D$76/1000000+Teams!$D$77+Teams!$D$50*Teams!$D$78+Z39*Teams!$D$51*Teams!$D$79/1000000,0)</f>
        <v>75.949999999999989</v>
      </c>
      <c r="AA45" s="44">
        <f>AA$5*IF(AND(AA$4&gt;=Teams!$D$80,Teams!$D$49=1),Teams!$D$44*Params!$D$10*Teams!$D$45*Teams!$D$75+Teams!$D$44*Params!$D$10*Teams!$D$47*Teams!$D$76/1000000+Teams!$D$77+Teams!$D$50*Teams!$D$78+AA39*Teams!$D$51*Teams!$D$79/1000000,0)</f>
        <v>75.949999999999989</v>
      </c>
      <c r="AB45" s="44">
        <f>AB$5*IF(AND(AB$4&gt;=Teams!$D$80,Teams!$D$49=1),Teams!$D$44*Params!$D$10*Teams!$D$45*Teams!$D$75+Teams!$D$44*Params!$D$10*Teams!$D$47*Teams!$D$76/1000000+Teams!$D$77+Teams!$D$50*Teams!$D$78+AB39*Teams!$D$51*Teams!$D$79/1000000,0)</f>
        <v>75.949999999999989</v>
      </c>
      <c r="AC45" s="44">
        <f>AC$5*IF(AND(AC$4&gt;=Teams!$D$80,Teams!$D$49=1),Teams!$D$44*Params!$D$10*Teams!$D$45*Teams!$D$75+Teams!$D$44*Params!$D$10*Teams!$D$47*Teams!$D$76/1000000+Teams!$D$77+Teams!$D$50*Teams!$D$78+AC39*Teams!$D$51*Teams!$D$79/1000000,0)</f>
        <v>75.949999999999989</v>
      </c>
      <c r="AD45" s="44">
        <f>AD$5*IF(AND(AD$4&gt;=Teams!$D$80,Teams!$D$49=1),Teams!$D$44*Params!$D$10*Teams!$D$45*Teams!$D$75+Teams!$D$44*Params!$D$10*Teams!$D$47*Teams!$D$76/1000000+Teams!$D$77+Teams!$D$50*Teams!$D$78+AD39*Teams!$D$51*Teams!$D$79/1000000,0)</f>
        <v>75.949999999999989</v>
      </c>
      <c r="AE45" s="44">
        <f>AE$5*IF(AND(AE$4&gt;=Teams!$D$80,Teams!$D$49=1),Teams!$D$44*Params!$D$10*Teams!$D$45*Teams!$D$75+Teams!$D$44*Params!$D$10*Teams!$D$47*Teams!$D$76/1000000+Teams!$D$77+Teams!$D$50*Teams!$D$78+AE39*Teams!$D$51*Teams!$D$79/1000000,0)</f>
        <v>75.949999999999989</v>
      </c>
      <c r="AF45" s="44">
        <f>AF$5*IF(AND(AF$4&gt;=Teams!$D$80,Teams!$D$49=1),Teams!$D$44*Params!$D$10*Teams!$D$45*Teams!$D$75+Teams!$D$44*Params!$D$10*Teams!$D$47*Teams!$D$76/1000000+Teams!$D$77+Teams!$D$50*Teams!$D$78+AF39*Teams!$D$51*Teams!$D$79/1000000,0)</f>
        <v>75.949999999999989</v>
      </c>
      <c r="AG45" s="44">
        <f>AG$5*IF(AND(AG$4&gt;=Teams!$D$80,Teams!$D$49=1),Teams!$D$44*Params!$D$10*Teams!$D$45*Teams!$D$75+Teams!$D$44*Params!$D$10*Teams!$D$47*Teams!$D$76/1000000+Teams!$D$77+Teams!$D$50*Teams!$D$78+AG39*Teams!$D$51*Teams!$D$79/1000000,0)</f>
        <v>75.949999999999989</v>
      </c>
      <c r="AH45" s="44">
        <f>AH$5*IF(AND(AH$4&gt;=Teams!$D$80,Teams!$D$49=1),Teams!$D$44*Params!$D$10*Teams!$D$45*Teams!$D$75+Teams!$D$44*Params!$D$10*Teams!$D$47*Teams!$D$76/1000000+Teams!$D$77+Teams!$D$50*Teams!$D$78+AH39*Teams!$D$51*Teams!$D$79/1000000,0)</f>
        <v>75.949999999999989</v>
      </c>
      <c r="AI45" s="44">
        <f>AI$5*IF(AND(AI$4&gt;=Teams!$D$80,Teams!$D$49=1),Teams!$D$44*Params!$D$10*Teams!$D$45*Teams!$D$75+Teams!$D$44*Params!$D$10*Teams!$D$47*Teams!$D$76/1000000+Teams!$D$77+Teams!$D$50*Teams!$D$78+AI39*Teams!$D$51*Teams!$D$79/1000000,0)</f>
        <v>75.949999999999989</v>
      </c>
      <c r="AJ45" s="44">
        <f>AJ$5*IF(AND(AJ$4&gt;=Teams!$D$80,Teams!$D$49=1),Teams!$D$44*Params!$D$10*Teams!$D$45*Teams!$D$75+Teams!$D$44*Params!$D$10*Teams!$D$47*Teams!$D$76/1000000+Teams!$D$77+Teams!$D$50*Teams!$D$78+AJ39*Teams!$D$51*Teams!$D$79/1000000,0)</f>
        <v>75.949999999999989</v>
      </c>
      <c r="AK45" s="44">
        <f>AK$5*IF(AND(AK$4&gt;=Teams!$D$80,Teams!$D$49=1),Teams!$D$44*Params!$D$10*Teams!$D$45*Teams!$D$75+Teams!$D$44*Params!$D$10*Teams!$D$47*Teams!$D$76/1000000+Teams!$D$77+Teams!$D$50*Teams!$D$78+AK39*Teams!$D$51*Teams!$D$79/1000000,0)</f>
        <v>75.949999999999989</v>
      </c>
      <c r="AL45" s="44">
        <f>AL$5*IF(AND(AL$4&gt;=Teams!$D$80,Teams!$D$49=1),Teams!$D$44*Params!$D$10*Teams!$D$45*Teams!$D$75+Teams!$D$44*Params!$D$10*Teams!$D$47*Teams!$D$76/1000000+Teams!$D$77+Teams!$D$50*Teams!$D$78+AL39*Teams!$D$51*Teams!$D$79/1000000,0)</f>
        <v>75.949999999999989</v>
      </c>
      <c r="AM45" s="44">
        <f>AM$5*IF(AND(AM$4&gt;=Teams!$D$80,Teams!$D$49=1),Teams!$D$44*Params!$D$10*Teams!$D$45*Teams!$D$75+Teams!$D$44*Params!$D$10*Teams!$D$47*Teams!$D$76/1000000+Teams!$D$77+Teams!$D$50*Teams!$D$78+AM39*Teams!$D$51*Teams!$D$79/1000000,0)</f>
        <v>75.949999999999989</v>
      </c>
      <c r="AN45" s="44">
        <f>AN$5*IF(AND(AN$4&gt;=Teams!$D$80,Teams!$D$49=1),Teams!$D$44*Params!$D$10*Teams!$D$45*Teams!$D$75+Teams!$D$44*Params!$D$10*Teams!$D$47*Teams!$D$76/1000000+Teams!$D$77+Teams!$D$50*Teams!$D$78+AN39*Teams!$D$51*Teams!$D$79/1000000,0)</f>
        <v>75.949999999999989</v>
      </c>
      <c r="AO45" s="44">
        <f>AO$5*IF(AND(AO$4&gt;=Teams!$D$80,Teams!$D$49=1),Teams!$D$44*Params!$D$10*Teams!$D$45*Teams!$D$75+Teams!$D$44*Params!$D$10*Teams!$D$47*Teams!$D$76/1000000+Teams!$D$77+Teams!$D$50*Teams!$D$78+AO39*Teams!$D$51*Teams!$D$79/1000000,0)</f>
        <v>0</v>
      </c>
      <c r="AP45" s="44">
        <f>AP$5*IF(AND(AP$4&gt;=Teams!$D$80,Teams!$D$49=1),Teams!$D$44*Params!$D$10*Teams!$D$45*Teams!$D$75+Teams!$D$44*Params!$D$10*Teams!$D$47*Teams!$D$76/1000000+Teams!$D$77+Teams!$D$50*Teams!$D$78+AP39*Teams!$D$51*Teams!$D$79/1000000,0)</f>
        <v>0</v>
      </c>
      <c r="AQ45" s="44">
        <f>AQ$5*IF(AND(AQ$4&gt;=Teams!$D$80,Teams!$D$49=1),Teams!$D$44*Params!$D$10*Teams!$D$45*Teams!$D$75+Teams!$D$44*Params!$D$10*Teams!$D$47*Teams!$D$76/1000000+Teams!$D$77+Teams!$D$50*Teams!$D$78+AQ39*Teams!$D$51*Teams!$D$79/1000000,0)</f>
        <v>0</v>
      </c>
      <c r="AR45" s="44">
        <f>AR$5*IF(AND(AR$4&gt;=Teams!$D$80,Teams!$D$49=1),Teams!$D$44*Params!$D$10*Teams!$D$45*Teams!$D$75+Teams!$D$44*Params!$D$10*Teams!$D$47*Teams!$D$76/1000000+Teams!$D$77+Teams!$D$50*Teams!$D$78+AR39*Teams!$D$51*Teams!$D$79/1000000,0)</f>
        <v>0</v>
      </c>
      <c r="AS45" s="44">
        <f>AS$5*IF(AND(AS$4&gt;=Teams!$D$80,Teams!$D$49=1),Teams!$D$44*Params!$D$10*Teams!$D$45*Teams!$D$75+Teams!$D$44*Params!$D$10*Teams!$D$47*Teams!$D$76/1000000+Teams!$D$77+Teams!$D$50*Teams!$D$78+AS39*Teams!$D$51*Teams!$D$79/1000000,0)</f>
        <v>0</v>
      </c>
      <c r="AT45" s="44">
        <f>AT$5*IF(AND(AT$4&gt;=Teams!$D$80,Teams!$D$49=1),Teams!$D$44*Params!$D$10*Teams!$D$45*Teams!$D$75+Teams!$D$44*Params!$D$10*Teams!$D$47*Teams!$D$76/1000000+Teams!$D$77+Teams!$D$50*Teams!$D$78+AT39*Teams!$D$51*Teams!$D$79/1000000,0)</f>
        <v>0</v>
      </c>
      <c r="AU45" s="44">
        <f>AU$5*IF(AND(AU$4&gt;=Teams!$D$80,Teams!$D$49=1),Teams!$D$44*Params!$D$10*Teams!$D$45*Teams!$D$75+Teams!$D$44*Params!$D$10*Teams!$D$47*Teams!$D$76/1000000+Teams!$D$77+Teams!$D$50*Teams!$D$78+AU39*Teams!$D$51*Teams!$D$79/1000000,0)</f>
        <v>0</v>
      </c>
      <c r="AV45" s="44">
        <f>AV$5*IF(AND(AV$4&gt;=Teams!$D$80,Teams!$D$49=1),Teams!$D$44*Params!$D$10*Teams!$D$45*Teams!$D$75+Teams!$D$44*Params!$D$10*Teams!$D$47*Teams!$D$76/1000000+Teams!$D$77+Teams!$D$50*Teams!$D$78+AV39*Teams!$D$51*Teams!$D$79/1000000,0)</f>
        <v>0</v>
      </c>
      <c r="AW45" s="44">
        <f>AW$5*IF(AND(AW$4&gt;=Teams!$D$80,Teams!$D$49=1),Teams!$D$44*Params!$D$10*Teams!$D$45*Teams!$D$75+Teams!$D$44*Params!$D$10*Teams!$D$47*Teams!$D$76/1000000+Teams!$D$77+Teams!$D$50*Teams!$D$78+AW39*Teams!$D$51*Teams!$D$79/1000000,0)</f>
        <v>0</v>
      </c>
      <c r="AX45" s="44">
        <f>AX$5*IF(AND(AX$4&gt;=Teams!$D$80,Teams!$D$49=1),Teams!$D$44*Params!$D$10*Teams!$D$45*Teams!$D$75+Teams!$D$44*Params!$D$10*Teams!$D$47*Teams!$D$76/1000000+Teams!$D$77+Teams!$D$50*Teams!$D$78+AX39*Teams!$D$51*Teams!$D$79/1000000,0)</f>
        <v>0</v>
      </c>
      <c r="AY45" s="44">
        <f>AY$5*IF(AND(AY$4&gt;=Teams!$D$80,Teams!$D$49=1),Teams!$D$44*Params!$D$10*Teams!$D$45*Teams!$D$75+Teams!$D$44*Params!$D$10*Teams!$D$47*Teams!$D$76/1000000+Teams!$D$77+Teams!$D$50*Teams!$D$78+AY39*Teams!$D$51*Teams!$D$79/1000000,0)</f>
        <v>0</v>
      </c>
      <c r="AZ45" s="44">
        <f>AZ$5*IF(AND(AZ$4&gt;=Teams!$D$80,Teams!$D$49=1),Teams!$D$44*Params!$D$10*Teams!$D$45*Teams!$D$75+Teams!$D$44*Params!$D$10*Teams!$D$47*Teams!$D$76/1000000+Teams!$D$77+Teams!$D$50*Teams!$D$78+AZ39*Teams!$D$51*Teams!$D$79/1000000,0)</f>
        <v>0</v>
      </c>
      <c r="BA45" s="44">
        <f>BA$5*IF(AND(BA$4&gt;=Teams!$D$80,Teams!$D$49=1),Teams!$D$44*Params!$D$10*Teams!$D$45*Teams!$D$75+Teams!$D$44*Params!$D$10*Teams!$D$47*Teams!$D$76/1000000+Teams!$D$77+Teams!$D$50*Teams!$D$78+BA39*Teams!$D$51*Teams!$D$79/1000000,0)</f>
        <v>0</v>
      </c>
      <c r="BB45" s="44">
        <f>BB$5*IF(AND(BB$4&gt;=Teams!$D$80,Teams!$D$49=1),Teams!$D$44*Params!$D$10*Teams!$D$45*Teams!$D$75+Teams!$D$44*Params!$D$10*Teams!$D$47*Teams!$D$76/1000000+Teams!$D$77+Teams!$D$50*Teams!$D$78+BB39*Teams!$D$51*Teams!$D$79/1000000,0)</f>
        <v>0</v>
      </c>
      <c r="BC45" s="44">
        <f>BC$5*IF(AND(BC$4&gt;=Teams!$D$80,Teams!$D$49=1),Teams!$D$44*Params!$D$10*Teams!$D$45*Teams!$D$75+Teams!$D$44*Params!$D$10*Teams!$D$47*Teams!$D$76/1000000+Teams!$D$77+Teams!$D$50*Teams!$D$78+BC39*Teams!$D$51*Teams!$D$79/1000000,0)</f>
        <v>0</v>
      </c>
      <c r="BD45" s="44">
        <f>BD$5*IF(AND(BD$4&gt;=Teams!$D$80,Teams!$D$49=1),Teams!$D$44*Params!$D$10*Teams!$D$45*Teams!$D$75+Teams!$D$44*Params!$D$10*Teams!$D$47*Teams!$D$76/1000000+Teams!$D$77+Teams!$D$50*Teams!$D$78+BD39*Teams!$D$51*Teams!$D$79/1000000,0)</f>
        <v>0</v>
      </c>
      <c r="BE45" s="44">
        <f>BE$5*IF(AND(BE$4&gt;=Teams!$D$80,Teams!$D$49=1),Teams!$D$44*Params!$D$10*Teams!$D$45*Teams!$D$75+Teams!$D$44*Params!$D$10*Teams!$D$47*Teams!$D$76/1000000+Teams!$D$77+Teams!$D$50*Teams!$D$78+BE39*Teams!$D$51*Teams!$D$79/1000000,0)</f>
        <v>0</v>
      </c>
      <c r="BF45" s="44">
        <f>BF$5*IF(AND(BF$4&gt;=Teams!$D$80,Teams!$D$49=1),Teams!$D$44*Params!$D$10*Teams!$D$45*Teams!$D$75+Teams!$D$44*Params!$D$10*Teams!$D$47*Teams!$D$76/1000000+Teams!$D$77+Teams!$D$50*Teams!$D$78+BF39*Teams!$D$51*Teams!$D$79/1000000,0)</f>
        <v>0</v>
      </c>
      <c r="BG45" s="44">
        <f>BG$5*IF(AND(BG$4&gt;=Teams!$D$80,Teams!$D$49=1),Teams!$D$44*Params!$D$10*Teams!$D$45*Teams!$D$75+Teams!$D$44*Params!$D$10*Teams!$D$47*Teams!$D$76/1000000+Teams!$D$77+Teams!$D$50*Teams!$D$78+BG39*Teams!$D$51*Teams!$D$79/1000000,0)</f>
        <v>0</v>
      </c>
      <c r="BH45" s="44">
        <f>BH$5*IF(AND(BH$4&gt;=Teams!$D$80,Teams!$D$49=1),Teams!$D$44*Params!$D$10*Teams!$D$45*Teams!$D$75+Teams!$D$44*Params!$D$10*Teams!$D$47*Teams!$D$76/1000000+Teams!$D$77+Teams!$D$50*Teams!$D$78+BH39*Teams!$D$51*Teams!$D$79/1000000,0)</f>
        <v>0</v>
      </c>
      <c r="BI45" s="44">
        <f>BI$5*IF(AND(BI$4&gt;=Teams!$D$80,Teams!$D$49=1),Teams!$D$44*Params!$D$10*Teams!$D$45*Teams!$D$75+Teams!$D$44*Params!$D$10*Teams!$D$47*Teams!$D$76/1000000+Teams!$D$77+Teams!$D$50*Teams!$D$78+BI39*Teams!$D$51*Teams!$D$79/1000000,0)</f>
        <v>0</v>
      </c>
      <c r="BJ45" s="44">
        <f>BJ$5*IF(AND(BJ$4&gt;=Teams!$D$80,Teams!$D$49=1),Teams!$D$44*Params!$D$10*Teams!$D$45*Teams!$D$75+Teams!$D$44*Params!$D$10*Teams!$D$47*Teams!$D$76/1000000+Teams!$D$77+Teams!$D$50*Teams!$D$78+BJ39*Teams!$D$51*Teams!$D$79/1000000,0)</f>
        <v>0</v>
      </c>
      <c r="BK45" s="44">
        <f>BK$5*IF(AND(BK$4&gt;=Teams!$D$80,Teams!$D$49=1),Teams!$D$44*Params!$D$10*Teams!$D$45*Teams!$D$75+Teams!$D$44*Params!$D$10*Teams!$D$47*Teams!$D$76/1000000+Teams!$D$77+Teams!$D$50*Teams!$D$78+BK39*Teams!$D$51*Teams!$D$79/1000000,0)</f>
        <v>0</v>
      </c>
      <c r="BL45" s="44">
        <f>BL$5*IF(AND(BL$4&gt;=Teams!$D$80,Teams!$D$49=1),Teams!$D$44*Params!$D$10*Teams!$D$45*Teams!$D$75+Teams!$D$44*Params!$D$10*Teams!$D$47*Teams!$D$76/1000000+Teams!$D$77+Teams!$D$50*Teams!$D$78+BL39*Teams!$D$51*Teams!$D$79/1000000,0)</f>
        <v>0</v>
      </c>
    </row>
    <row r="46" spans="1:64" x14ac:dyDescent="0.3">
      <c r="A46" s="8" t="s">
        <v>671</v>
      </c>
      <c r="B46" s="18" t="s">
        <v>169</v>
      </c>
      <c r="C46" s="44">
        <f t="shared" si="11"/>
        <v>2400</v>
      </c>
      <c r="E46" s="44">
        <f>E$5*IF(E$4&gt;=Teams!$D$80,Teams!$D$43*Params!$D$6*Org!$B$10*Params!$D$7/12,0)</f>
        <v>66.666666666666671</v>
      </c>
      <c r="F46" s="44">
        <f>F$5*IF(F$4&gt;=Teams!$D$80,Teams!$D$43*Params!$D$6*Org!$B$10*Params!$D$7/12,0)</f>
        <v>66.666666666666671</v>
      </c>
      <c r="G46" s="44">
        <f>G$5*IF(G$4&gt;=Teams!$D$80,Teams!$D$43*Params!$D$6*Org!$B$10*Params!$D$7/12,0)</f>
        <v>66.666666666666671</v>
      </c>
      <c r="H46" s="44">
        <f>H$5*IF(H$4&gt;=Teams!$D$80,Teams!$D$43*Params!$D$6*Org!$B$10*Params!$D$7/12,0)</f>
        <v>66.666666666666671</v>
      </c>
      <c r="I46" s="44">
        <f>I$5*IF(I$4&gt;=Teams!$D$80,Teams!$D$43*Params!$D$6*Org!$B$10*Params!$D$7/12,0)</f>
        <v>66.666666666666671</v>
      </c>
      <c r="J46" s="44">
        <f>J$5*IF(J$4&gt;=Teams!$D$80,Teams!$D$43*Params!$D$6*Org!$B$10*Params!$D$7/12,0)</f>
        <v>66.666666666666671</v>
      </c>
      <c r="K46" s="44">
        <f>K$5*IF(K$4&gt;=Teams!$D$80,Teams!$D$43*Params!$D$6*Org!$B$10*Params!$D$7/12,0)</f>
        <v>66.666666666666671</v>
      </c>
      <c r="L46" s="44">
        <f>L$5*IF(L$4&gt;=Teams!$D$80,Teams!$D$43*Params!$D$6*Org!$B$10*Params!$D$7/12,0)</f>
        <v>66.666666666666671</v>
      </c>
      <c r="M46" s="44">
        <f>M$5*IF(M$4&gt;=Teams!$D$80,Teams!$D$43*Params!$D$6*Org!$B$10*Params!$D$7/12,0)</f>
        <v>66.666666666666671</v>
      </c>
      <c r="N46" s="44">
        <f>N$5*IF(N$4&gt;=Teams!$D$80,Teams!$D$43*Params!$D$6*Org!$B$10*Params!$D$7/12,0)</f>
        <v>66.666666666666671</v>
      </c>
      <c r="O46" s="44">
        <f>O$5*IF(O$4&gt;=Teams!$D$80,Teams!$D$43*Params!$D$6*Org!$B$10*Params!$D$7/12,0)</f>
        <v>66.666666666666671</v>
      </c>
      <c r="P46" s="44">
        <f>P$5*IF(P$4&gt;=Teams!$D$80,Teams!$D$43*Params!$D$6*Org!$B$10*Params!$D$7/12,0)</f>
        <v>66.666666666666671</v>
      </c>
      <c r="Q46" s="44">
        <f>Q$5*IF(Q$4&gt;=Teams!$D$80,Teams!$D$43*Params!$D$6*Org!$B$10*Params!$D$7/12,0)</f>
        <v>66.666666666666671</v>
      </c>
      <c r="R46" s="44">
        <f>R$5*IF(R$4&gt;=Teams!$D$80,Teams!$D$43*Params!$D$6*Org!$B$10*Params!$D$7/12,0)</f>
        <v>66.666666666666671</v>
      </c>
      <c r="S46" s="44">
        <f>S$5*IF(S$4&gt;=Teams!$D$80,Teams!$D$43*Params!$D$6*Org!$B$10*Params!$D$7/12,0)</f>
        <v>66.666666666666671</v>
      </c>
      <c r="T46" s="44">
        <f>T$5*IF(T$4&gt;=Teams!$D$80,Teams!$D$43*Params!$D$6*Org!$B$10*Params!$D$7/12,0)</f>
        <v>66.666666666666671</v>
      </c>
      <c r="U46" s="44">
        <f>U$5*IF(U$4&gt;=Teams!$D$80,Teams!$D$43*Params!$D$6*Org!$B$10*Params!$D$7/12,0)</f>
        <v>66.666666666666671</v>
      </c>
      <c r="V46" s="44">
        <f>V$5*IF(V$4&gt;=Teams!$D$80,Teams!$D$43*Params!$D$6*Org!$B$10*Params!$D$7/12,0)</f>
        <v>66.666666666666671</v>
      </c>
      <c r="W46" s="44">
        <f>W$5*IF(W$4&gt;=Teams!$D$80,Teams!$D$43*Params!$D$6*Org!$B$10*Params!$D$7/12,0)</f>
        <v>66.666666666666671</v>
      </c>
      <c r="X46" s="44">
        <f>X$5*IF(X$4&gt;=Teams!$D$80,Teams!$D$43*Params!$D$6*Org!$B$10*Params!$D$7/12,0)</f>
        <v>66.666666666666671</v>
      </c>
      <c r="Y46" s="44">
        <f>Y$5*IF(Y$4&gt;=Teams!$D$80,Teams!$D$43*Params!$D$6*Org!$B$10*Params!$D$7/12,0)</f>
        <v>66.666666666666671</v>
      </c>
      <c r="Z46" s="44">
        <f>Z$5*IF(Z$4&gt;=Teams!$D$80,Teams!$D$43*Params!$D$6*Org!$B$10*Params!$D$7/12,0)</f>
        <v>66.666666666666671</v>
      </c>
      <c r="AA46" s="44">
        <f>AA$5*IF(AA$4&gt;=Teams!$D$80,Teams!$D$43*Params!$D$6*Org!$B$10*Params!$D$7/12,0)</f>
        <v>66.666666666666671</v>
      </c>
      <c r="AB46" s="44">
        <f>AB$5*IF(AB$4&gt;=Teams!$D$80,Teams!$D$43*Params!$D$6*Org!$B$10*Params!$D$7/12,0)</f>
        <v>66.666666666666671</v>
      </c>
      <c r="AC46" s="44">
        <f>AC$5*IF(AC$4&gt;=Teams!$D$80,Teams!$D$43*Params!$D$6*Org!$B$10*Params!$D$7/12,0)</f>
        <v>66.666666666666671</v>
      </c>
      <c r="AD46" s="44">
        <f>AD$5*IF(AD$4&gt;=Teams!$D$80,Teams!$D$43*Params!$D$6*Org!$B$10*Params!$D$7/12,0)</f>
        <v>66.666666666666671</v>
      </c>
      <c r="AE46" s="44">
        <f>AE$5*IF(AE$4&gt;=Teams!$D$80,Teams!$D$43*Params!$D$6*Org!$B$10*Params!$D$7/12,0)</f>
        <v>66.666666666666671</v>
      </c>
      <c r="AF46" s="44">
        <f>AF$5*IF(AF$4&gt;=Teams!$D$80,Teams!$D$43*Params!$D$6*Org!$B$10*Params!$D$7/12,0)</f>
        <v>66.666666666666671</v>
      </c>
      <c r="AG46" s="44">
        <f>AG$5*IF(AG$4&gt;=Teams!$D$80,Teams!$D$43*Params!$D$6*Org!$B$10*Params!$D$7/12,0)</f>
        <v>66.666666666666671</v>
      </c>
      <c r="AH46" s="44">
        <f>AH$5*IF(AH$4&gt;=Teams!$D$80,Teams!$D$43*Params!$D$6*Org!$B$10*Params!$D$7/12,0)</f>
        <v>66.666666666666671</v>
      </c>
      <c r="AI46" s="44">
        <f>AI$5*IF(AI$4&gt;=Teams!$D$80,Teams!$D$43*Params!$D$6*Org!$B$10*Params!$D$7/12,0)</f>
        <v>66.666666666666671</v>
      </c>
      <c r="AJ46" s="44">
        <f>AJ$5*IF(AJ$4&gt;=Teams!$D$80,Teams!$D$43*Params!$D$6*Org!$B$10*Params!$D$7/12,0)</f>
        <v>66.666666666666671</v>
      </c>
      <c r="AK46" s="44">
        <f>AK$5*IF(AK$4&gt;=Teams!$D$80,Teams!$D$43*Params!$D$6*Org!$B$10*Params!$D$7/12,0)</f>
        <v>66.666666666666671</v>
      </c>
      <c r="AL46" s="44">
        <f>AL$5*IF(AL$4&gt;=Teams!$D$80,Teams!$D$43*Params!$D$6*Org!$B$10*Params!$D$7/12,0)</f>
        <v>66.666666666666671</v>
      </c>
      <c r="AM46" s="44">
        <f>AM$5*IF(AM$4&gt;=Teams!$D$80,Teams!$D$43*Params!$D$6*Org!$B$10*Params!$D$7/12,0)</f>
        <v>66.666666666666671</v>
      </c>
      <c r="AN46" s="44">
        <f>AN$5*IF(AN$4&gt;=Teams!$D$80,Teams!$D$43*Params!$D$6*Org!$B$10*Params!$D$7/12,0)</f>
        <v>66.666666666666671</v>
      </c>
      <c r="AO46" s="44">
        <f>AO$5*IF(AO$4&gt;=Teams!$D$80,Teams!$D$43*Params!$D$6*Org!$B$10*Params!$D$7/12,0)</f>
        <v>0</v>
      </c>
      <c r="AP46" s="44">
        <f>AP$5*IF(AP$4&gt;=Teams!$D$80,Teams!$D$43*Params!$D$6*Org!$B$10*Params!$D$7/12,0)</f>
        <v>0</v>
      </c>
      <c r="AQ46" s="44">
        <f>AQ$5*IF(AQ$4&gt;=Teams!$D$80,Teams!$D$43*Params!$D$6*Org!$B$10*Params!$D$7/12,0)</f>
        <v>0</v>
      </c>
      <c r="AR46" s="44">
        <f>AR$5*IF(AR$4&gt;=Teams!$D$80,Teams!$D$43*Params!$D$6*Org!$B$10*Params!$D$7/12,0)</f>
        <v>0</v>
      </c>
      <c r="AS46" s="44">
        <f>AS$5*IF(AS$4&gt;=Teams!$D$80,Teams!$D$43*Params!$D$6*Org!$B$10*Params!$D$7/12,0)</f>
        <v>0</v>
      </c>
      <c r="AT46" s="44">
        <f>AT$5*IF(AT$4&gt;=Teams!$D$80,Teams!$D$43*Params!$D$6*Org!$B$10*Params!$D$7/12,0)</f>
        <v>0</v>
      </c>
      <c r="AU46" s="44">
        <f>AU$5*IF(AU$4&gt;=Teams!$D$80,Teams!$D$43*Params!$D$6*Org!$B$10*Params!$D$7/12,0)</f>
        <v>0</v>
      </c>
      <c r="AV46" s="44">
        <f>AV$5*IF(AV$4&gt;=Teams!$D$80,Teams!$D$43*Params!$D$6*Org!$B$10*Params!$D$7/12,0)</f>
        <v>0</v>
      </c>
      <c r="AW46" s="44">
        <f>AW$5*IF(AW$4&gt;=Teams!$D$80,Teams!$D$43*Params!$D$6*Org!$B$10*Params!$D$7/12,0)</f>
        <v>0</v>
      </c>
      <c r="AX46" s="44">
        <f>AX$5*IF(AX$4&gt;=Teams!$D$80,Teams!$D$43*Params!$D$6*Org!$B$10*Params!$D$7/12,0)</f>
        <v>0</v>
      </c>
      <c r="AY46" s="44">
        <f>AY$5*IF(AY$4&gt;=Teams!$D$80,Teams!$D$43*Params!$D$6*Org!$B$10*Params!$D$7/12,0)</f>
        <v>0</v>
      </c>
      <c r="AZ46" s="44">
        <f>AZ$5*IF(AZ$4&gt;=Teams!$D$80,Teams!$D$43*Params!$D$6*Org!$B$10*Params!$D$7/12,0)</f>
        <v>0</v>
      </c>
      <c r="BA46" s="44">
        <f>BA$5*IF(BA$4&gt;=Teams!$D$80,Teams!$D$43*Params!$D$6*Org!$B$10*Params!$D$7/12,0)</f>
        <v>0</v>
      </c>
      <c r="BB46" s="44">
        <f>BB$5*IF(BB$4&gt;=Teams!$D$80,Teams!$D$43*Params!$D$6*Org!$B$10*Params!$D$7/12,0)</f>
        <v>0</v>
      </c>
      <c r="BC46" s="44">
        <f>BC$5*IF(BC$4&gt;=Teams!$D$80,Teams!$D$43*Params!$D$6*Org!$B$10*Params!$D$7/12,0)</f>
        <v>0</v>
      </c>
      <c r="BD46" s="44">
        <f>BD$5*IF(BD$4&gt;=Teams!$D$80,Teams!$D$43*Params!$D$6*Org!$B$10*Params!$D$7/12,0)</f>
        <v>0</v>
      </c>
      <c r="BE46" s="44">
        <f>BE$5*IF(BE$4&gt;=Teams!$D$80,Teams!$D$43*Params!$D$6*Org!$B$10*Params!$D$7/12,0)</f>
        <v>0</v>
      </c>
      <c r="BF46" s="44">
        <f>BF$5*IF(BF$4&gt;=Teams!$D$80,Teams!$D$43*Params!$D$6*Org!$B$10*Params!$D$7/12,0)</f>
        <v>0</v>
      </c>
      <c r="BG46" s="44">
        <f>BG$5*IF(BG$4&gt;=Teams!$D$80,Teams!$D$43*Params!$D$6*Org!$B$10*Params!$D$7/12,0)</f>
        <v>0</v>
      </c>
      <c r="BH46" s="44">
        <f>BH$5*IF(BH$4&gt;=Teams!$D$80,Teams!$D$43*Params!$D$6*Org!$B$10*Params!$D$7/12,0)</f>
        <v>0</v>
      </c>
      <c r="BI46" s="44">
        <f>BI$5*IF(BI$4&gt;=Teams!$D$80,Teams!$D$43*Params!$D$6*Org!$B$10*Params!$D$7/12,0)</f>
        <v>0</v>
      </c>
      <c r="BJ46" s="44">
        <f>BJ$5*IF(BJ$4&gt;=Teams!$D$80,Teams!$D$43*Params!$D$6*Org!$B$10*Params!$D$7/12,0)</f>
        <v>0</v>
      </c>
      <c r="BK46" s="44">
        <f>BK$5*IF(BK$4&gt;=Teams!$D$80,Teams!$D$43*Params!$D$6*Org!$B$10*Params!$D$7/12,0)</f>
        <v>0</v>
      </c>
      <c r="BL46" s="44">
        <f>BL$5*IF(BL$4&gt;=Teams!$D$80,Teams!$D$43*Params!$D$6*Org!$B$10*Params!$D$7/12,0)</f>
        <v>0</v>
      </c>
    </row>
    <row r="47" spans="1:64" x14ac:dyDescent="0.3">
      <c r="A47" s="8" t="s">
        <v>672</v>
      </c>
      <c r="B47" s="18" t="s">
        <v>169</v>
      </c>
      <c r="C47" s="44">
        <f t="shared" si="11"/>
        <v>19560</v>
      </c>
      <c r="E47" s="44">
        <f>E$5*IF(E$4&gt;=Teams!$D$80,Params!$D$23*Params!$D$24/60*(Org!$B$10/Org!$B$11)+Params!$D$27/12*Params!$D$13*Org!$B$10+E38/1000*Params!$D$28*Params!$D$29*(Org!$B$10/Org!$B$11),0)</f>
        <v>486.66666666666669</v>
      </c>
      <c r="F47" s="44">
        <f>F$5*IF(F$4&gt;=Teams!$D$80,Params!$D$23*Params!$D$24/60*(Org!$B$10/Org!$B$11)+Params!$D$27/12*Params!$D$13*Org!$B$10+F38/1000*Params!$D$28*Params!$D$29*(Org!$B$10/Org!$B$11),0)</f>
        <v>506.66666666666669</v>
      </c>
      <c r="G47" s="44">
        <f>G$5*IF(G$4&gt;=Teams!$D$80,Params!$D$23*Params!$D$24/60*(Org!$B$10/Org!$B$11)+Params!$D$27/12*Params!$D$13*Org!$B$10+G38/1000*Params!$D$28*Params!$D$29*(Org!$B$10/Org!$B$11),0)</f>
        <v>526.66666666666674</v>
      </c>
      <c r="H47" s="44">
        <f>H$5*IF(H$4&gt;=Teams!$D$80,Params!$D$23*Params!$D$24/60*(Org!$B$10/Org!$B$11)+Params!$D$27/12*Params!$D$13*Org!$B$10+H38/1000*Params!$D$28*Params!$D$29*(Org!$B$10/Org!$B$11),0)</f>
        <v>546.66666666666674</v>
      </c>
      <c r="I47" s="44">
        <f>I$5*IF(I$4&gt;=Teams!$D$80,Params!$D$23*Params!$D$24/60*(Org!$B$10/Org!$B$11)+Params!$D$27/12*Params!$D$13*Org!$B$10+I38/1000*Params!$D$28*Params!$D$29*(Org!$B$10/Org!$B$11),0)</f>
        <v>546.66666666666674</v>
      </c>
      <c r="J47" s="44">
        <f>J$5*IF(J$4&gt;=Teams!$D$80,Params!$D$23*Params!$D$24/60*(Org!$B$10/Org!$B$11)+Params!$D$27/12*Params!$D$13*Org!$B$10+J38/1000*Params!$D$28*Params!$D$29*(Org!$B$10/Org!$B$11),0)</f>
        <v>546.66666666666674</v>
      </c>
      <c r="K47" s="44">
        <f>K$5*IF(K$4&gt;=Teams!$D$80,Params!$D$23*Params!$D$24/60*(Org!$B$10/Org!$B$11)+Params!$D$27/12*Params!$D$13*Org!$B$10+K38/1000*Params!$D$28*Params!$D$29*(Org!$B$10/Org!$B$11),0)</f>
        <v>546.66666666666674</v>
      </c>
      <c r="L47" s="44">
        <f>L$5*IF(L$4&gt;=Teams!$D$80,Params!$D$23*Params!$D$24/60*(Org!$B$10/Org!$B$11)+Params!$D$27/12*Params!$D$13*Org!$B$10+L38/1000*Params!$D$28*Params!$D$29*(Org!$B$10/Org!$B$11),0)</f>
        <v>546.66666666666674</v>
      </c>
      <c r="M47" s="44">
        <f>M$5*IF(M$4&gt;=Teams!$D$80,Params!$D$23*Params!$D$24/60*(Org!$B$10/Org!$B$11)+Params!$D$27/12*Params!$D$13*Org!$B$10+M38/1000*Params!$D$28*Params!$D$29*(Org!$B$10/Org!$B$11),0)</f>
        <v>546.66666666666674</v>
      </c>
      <c r="N47" s="44">
        <f>N$5*IF(N$4&gt;=Teams!$D$80,Params!$D$23*Params!$D$24/60*(Org!$B$10/Org!$B$11)+Params!$D$27/12*Params!$D$13*Org!$B$10+N38/1000*Params!$D$28*Params!$D$29*(Org!$B$10/Org!$B$11),0)</f>
        <v>546.66666666666674</v>
      </c>
      <c r="O47" s="44">
        <f>O$5*IF(O$4&gt;=Teams!$D$80,Params!$D$23*Params!$D$24/60*(Org!$B$10/Org!$B$11)+Params!$D$27/12*Params!$D$13*Org!$B$10+O38/1000*Params!$D$28*Params!$D$29*(Org!$B$10/Org!$B$11),0)</f>
        <v>546.66666666666674</v>
      </c>
      <c r="P47" s="44">
        <f>P$5*IF(P$4&gt;=Teams!$D$80,Params!$D$23*Params!$D$24/60*(Org!$B$10/Org!$B$11)+Params!$D$27/12*Params!$D$13*Org!$B$10+P38/1000*Params!$D$28*Params!$D$29*(Org!$B$10/Org!$B$11),0)</f>
        <v>546.66666666666674</v>
      </c>
      <c r="Q47" s="44">
        <f>Q$5*IF(Q$4&gt;=Teams!$D$80,Params!$D$23*Params!$D$24/60*(Org!$B$10/Org!$B$11)+Params!$D$27/12*Params!$D$13*Org!$B$10+Q38/1000*Params!$D$28*Params!$D$29*(Org!$B$10/Org!$B$11),0)</f>
        <v>546.66666666666674</v>
      </c>
      <c r="R47" s="44">
        <f>R$5*IF(R$4&gt;=Teams!$D$80,Params!$D$23*Params!$D$24/60*(Org!$B$10/Org!$B$11)+Params!$D$27/12*Params!$D$13*Org!$B$10+R38/1000*Params!$D$28*Params!$D$29*(Org!$B$10/Org!$B$11),0)</f>
        <v>546.66666666666674</v>
      </c>
      <c r="S47" s="44">
        <f>S$5*IF(S$4&gt;=Teams!$D$80,Params!$D$23*Params!$D$24/60*(Org!$B$10/Org!$B$11)+Params!$D$27/12*Params!$D$13*Org!$B$10+S38/1000*Params!$D$28*Params!$D$29*(Org!$B$10/Org!$B$11),0)</f>
        <v>546.66666666666674</v>
      </c>
      <c r="T47" s="44">
        <f>T$5*IF(T$4&gt;=Teams!$D$80,Params!$D$23*Params!$D$24/60*(Org!$B$10/Org!$B$11)+Params!$D$27/12*Params!$D$13*Org!$B$10+T38/1000*Params!$D$28*Params!$D$29*(Org!$B$10/Org!$B$11),0)</f>
        <v>546.66666666666674</v>
      </c>
      <c r="U47" s="44">
        <f>U$5*IF(U$4&gt;=Teams!$D$80,Params!$D$23*Params!$D$24/60*(Org!$B$10/Org!$B$11)+Params!$D$27/12*Params!$D$13*Org!$B$10+U38/1000*Params!$D$28*Params!$D$29*(Org!$B$10/Org!$B$11),0)</f>
        <v>546.66666666666674</v>
      </c>
      <c r="V47" s="44">
        <f>V$5*IF(V$4&gt;=Teams!$D$80,Params!$D$23*Params!$D$24/60*(Org!$B$10/Org!$B$11)+Params!$D$27/12*Params!$D$13*Org!$B$10+V38/1000*Params!$D$28*Params!$D$29*(Org!$B$10/Org!$B$11),0)</f>
        <v>546.66666666666674</v>
      </c>
      <c r="W47" s="44">
        <f>W$5*IF(W$4&gt;=Teams!$D$80,Params!$D$23*Params!$D$24/60*(Org!$B$10/Org!$B$11)+Params!$D$27/12*Params!$D$13*Org!$B$10+W38/1000*Params!$D$28*Params!$D$29*(Org!$B$10/Org!$B$11),0)</f>
        <v>546.66666666666674</v>
      </c>
      <c r="X47" s="44">
        <f>X$5*IF(X$4&gt;=Teams!$D$80,Params!$D$23*Params!$D$24/60*(Org!$B$10/Org!$B$11)+Params!$D$27/12*Params!$D$13*Org!$B$10+X38/1000*Params!$D$28*Params!$D$29*(Org!$B$10/Org!$B$11),0)</f>
        <v>546.66666666666674</v>
      </c>
      <c r="Y47" s="44">
        <f>Y$5*IF(Y$4&gt;=Teams!$D$80,Params!$D$23*Params!$D$24/60*(Org!$B$10/Org!$B$11)+Params!$D$27/12*Params!$D$13*Org!$B$10+Y38/1000*Params!$D$28*Params!$D$29*(Org!$B$10/Org!$B$11),0)</f>
        <v>546.66666666666674</v>
      </c>
      <c r="Z47" s="44">
        <f>Z$5*IF(Z$4&gt;=Teams!$D$80,Params!$D$23*Params!$D$24/60*(Org!$B$10/Org!$B$11)+Params!$D$27/12*Params!$D$13*Org!$B$10+Z38/1000*Params!$D$28*Params!$D$29*(Org!$B$10/Org!$B$11),0)</f>
        <v>546.66666666666674</v>
      </c>
      <c r="AA47" s="44">
        <f>AA$5*IF(AA$4&gt;=Teams!$D$80,Params!$D$23*Params!$D$24/60*(Org!$B$10/Org!$B$11)+Params!$D$27/12*Params!$D$13*Org!$B$10+AA38/1000*Params!$D$28*Params!$D$29*(Org!$B$10/Org!$B$11),0)</f>
        <v>546.66666666666674</v>
      </c>
      <c r="AB47" s="44">
        <f>AB$5*IF(AB$4&gt;=Teams!$D$80,Params!$D$23*Params!$D$24/60*(Org!$B$10/Org!$B$11)+Params!$D$27/12*Params!$D$13*Org!$B$10+AB38/1000*Params!$D$28*Params!$D$29*(Org!$B$10/Org!$B$11),0)</f>
        <v>546.66666666666674</v>
      </c>
      <c r="AC47" s="44">
        <f>AC$5*IF(AC$4&gt;=Teams!$D$80,Params!$D$23*Params!$D$24/60*(Org!$B$10/Org!$B$11)+Params!$D$27/12*Params!$D$13*Org!$B$10+AC38/1000*Params!$D$28*Params!$D$29*(Org!$B$10/Org!$B$11),0)</f>
        <v>546.66666666666674</v>
      </c>
      <c r="AD47" s="44">
        <f>AD$5*IF(AD$4&gt;=Teams!$D$80,Params!$D$23*Params!$D$24/60*(Org!$B$10/Org!$B$11)+Params!$D$27/12*Params!$D$13*Org!$B$10+AD38/1000*Params!$D$28*Params!$D$29*(Org!$B$10/Org!$B$11),0)</f>
        <v>546.66666666666674</v>
      </c>
      <c r="AE47" s="44">
        <f>AE$5*IF(AE$4&gt;=Teams!$D$80,Params!$D$23*Params!$D$24/60*(Org!$B$10/Org!$B$11)+Params!$D$27/12*Params!$D$13*Org!$B$10+AE38/1000*Params!$D$28*Params!$D$29*(Org!$B$10/Org!$B$11),0)</f>
        <v>546.66666666666674</v>
      </c>
      <c r="AF47" s="44">
        <f>AF$5*IF(AF$4&gt;=Teams!$D$80,Params!$D$23*Params!$D$24/60*(Org!$B$10/Org!$B$11)+Params!$D$27/12*Params!$D$13*Org!$B$10+AF38/1000*Params!$D$28*Params!$D$29*(Org!$B$10/Org!$B$11),0)</f>
        <v>546.66666666666674</v>
      </c>
      <c r="AG47" s="44">
        <f>AG$5*IF(AG$4&gt;=Teams!$D$80,Params!$D$23*Params!$D$24/60*(Org!$B$10/Org!$B$11)+Params!$D$27/12*Params!$D$13*Org!$B$10+AG38/1000*Params!$D$28*Params!$D$29*(Org!$B$10/Org!$B$11),0)</f>
        <v>546.66666666666674</v>
      </c>
      <c r="AH47" s="44">
        <f>AH$5*IF(AH$4&gt;=Teams!$D$80,Params!$D$23*Params!$D$24/60*(Org!$B$10/Org!$B$11)+Params!$D$27/12*Params!$D$13*Org!$B$10+AH38/1000*Params!$D$28*Params!$D$29*(Org!$B$10/Org!$B$11),0)</f>
        <v>546.66666666666674</v>
      </c>
      <c r="AI47" s="44">
        <f>AI$5*IF(AI$4&gt;=Teams!$D$80,Params!$D$23*Params!$D$24/60*(Org!$B$10/Org!$B$11)+Params!$D$27/12*Params!$D$13*Org!$B$10+AI38/1000*Params!$D$28*Params!$D$29*(Org!$B$10/Org!$B$11),0)</f>
        <v>546.66666666666674</v>
      </c>
      <c r="AJ47" s="44">
        <f>AJ$5*IF(AJ$4&gt;=Teams!$D$80,Params!$D$23*Params!$D$24/60*(Org!$B$10/Org!$B$11)+Params!$D$27/12*Params!$D$13*Org!$B$10+AJ38/1000*Params!$D$28*Params!$D$29*(Org!$B$10/Org!$B$11),0)</f>
        <v>546.66666666666674</v>
      </c>
      <c r="AK47" s="44">
        <f>AK$5*IF(AK$4&gt;=Teams!$D$80,Params!$D$23*Params!$D$24/60*(Org!$B$10/Org!$B$11)+Params!$D$27/12*Params!$D$13*Org!$B$10+AK38/1000*Params!$D$28*Params!$D$29*(Org!$B$10/Org!$B$11),0)</f>
        <v>546.66666666666674</v>
      </c>
      <c r="AL47" s="44">
        <f>AL$5*IF(AL$4&gt;=Teams!$D$80,Params!$D$23*Params!$D$24/60*(Org!$B$10/Org!$B$11)+Params!$D$27/12*Params!$D$13*Org!$B$10+AL38/1000*Params!$D$28*Params!$D$29*(Org!$B$10/Org!$B$11),0)</f>
        <v>546.66666666666674</v>
      </c>
      <c r="AM47" s="44">
        <f>AM$5*IF(AM$4&gt;=Teams!$D$80,Params!$D$23*Params!$D$24/60*(Org!$B$10/Org!$B$11)+Params!$D$27/12*Params!$D$13*Org!$B$10+AM38/1000*Params!$D$28*Params!$D$29*(Org!$B$10/Org!$B$11),0)</f>
        <v>546.66666666666674</v>
      </c>
      <c r="AN47" s="44">
        <f>AN$5*IF(AN$4&gt;=Teams!$D$80,Params!$D$23*Params!$D$24/60*(Org!$B$10/Org!$B$11)+Params!$D$27/12*Params!$D$13*Org!$B$10+AN38/1000*Params!$D$28*Params!$D$29*(Org!$B$10/Org!$B$11),0)</f>
        <v>546.66666666666674</v>
      </c>
      <c r="AO47" s="44">
        <f>AO$5*IF(AO$4&gt;=Teams!$D$80,Params!$D$23*Params!$D$24/60*(Org!$B$10/Org!$B$11)+Params!$D$27/12*Params!$D$13*Org!$B$10+AO38/1000*Params!$D$28*Params!$D$29*(Org!$B$10/Org!$B$11),0)</f>
        <v>0</v>
      </c>
      <c r="AP47" s="44">
        <f>AP$5*IF(AP$4&gt;=Teams!$D$80,Params!$D$23*Params!$D$24/60*(Org!$B$10/Org!$B$11)+Params!$D$27/12*Params!$D$13*Org!$B$10+AP38/1000*Params!$D$28*Params!$D$29*(Org!$B$10/Org!$B$11),0)</f>
        <v>0</v>
      </c>
      <c r="AQ47" s="44">
        <f>AQ$5*IF(AQ$4&gt;=Teams!$D$80,Params!$D$23*Params!$D$24/60*(Org!$B$10/Org!$B$11)+Params!$D$27/12*Params!$D$13*Org!$B$10+AQ38/1000*Params!$D$28*Params!$D$29*(Org!$B$10/Org!$B$11),0)</f>
        <v>0</v>
      </c>
      <c r="AR47" s="44">
        <f>AR$5*IF(AR$4&gt;=Teams!$D$80,Params!$D$23*Params!$D$24/60*(Org!$B$10/Org!$B$11)+Params!$D$27/12*Params!$D$13*Org!$B$10+AR38/1000*Params!$D$28*Params!$D$29*(Org!$B$10/Org!$B$11),0)</f>
        <v>0</v>
      </c>
      <c r="AS47" s="44">
        <f>AS$5*IF(AS$4&gt;=Teams!$D$80,Params!$D$23*Params!$D$24/60*(Org!$B$10/Org!$B$11)+Params!$D$27/12*Params!$D$13*Org!$B$10+AS38/1000*Params!$D$28*Params!$D$29*(Org!$B$10/Org!$B$11),0)</f>
        <v>0</v>
      </c>
      <c r="AT47" s="44">
        <f>AT$5*IF(AT$4&gt;=Teams!$D$80,Params!$D$23*Params!$D$24/60*(Org!$B$10/Org!$B$11)+Params!$D$27/12*Params!$D$13*Org!$B$10+AT38/1000*Params!$D$28*Params!$D$29*(Org!$B$10/Org!$B$11),0)</f>
        <v>0</v>
      </c>
      <c r="AU47" s="44">
        <f>AU$5*IF(AU$4&gt;=Teams!$D$80,Params!$D$23*Params!$D$24/60*(Org!$B$10/Org!$B$11)+Params!$D$27/12*Params!$D$13*Org!$B$10+AU38/1000*Params!$D$28*Params!$D$29*(Org!$B$10/Org!$B$11),0)</f>
        <v>0</v>
      </c>
      <c r="AV47" s="44">
        <f>AV$5*IF(AV$4&gt;=Teams!$D$80,Params!$D$23*Params!$D$24/60*(Org!$B$10/Org!$B$11)+Params!$D$27/12*Params!$D$13*Org!$B$10+AV38/1000*Params!$D$28*Params!$D$29*(Org!$B$10/Org!$B$11),0)</f>
        <v>0</v>
      </c>
      <c r="AW47" s="44">
        <f>AW$5*IF(AW$4&gt;=Teams!$D$80,Params!$D$23*Params!$D$24/60*(Org!$B$10/Org!$B$11)+Params!$D$27/12*Params!$D$13*Org!$B$10+AW38/1000*Params!$D$28*Params!$D$29*(Org!$B$10/Org!$B$11),0)</f>
        <v>0</v>
      </c>
      <c r="AX47" s="44">
        <f>AX$5*IF(AX$4&gt;=Teams!$D$80,Params!$D$23*Params!$D$24/60*(Org!$B$10/Org!$B$11)+Params!$D$27/12*Params!$D$13*Org!$B$10+AX38/1000*Params!$D$28*Params!$D$29*(Org!$B$10/Org!$B$11),0)</f>
        <v>0</v>
      </c>
      <c r="AY47" s="44">
        <f>AY$5*IF(AY$4&gt;=Teams!$D$80,Params!$D$23*Params!$D$24/60*(Org!$B$10/Org!$B$11)+Params!$D$27/12*Params!$D$13*Org!$B$10+AY38/1000*Params!$D$28*Params!$D$29*(Org!$B$10/Org!$B$11),0)</f>
        <v>0</v>
      </c>
      <c r="AZ47" s="44">
        <f>AZ$5*IF(AZ$4&gt;=Teams!$D$80,Params!$D$23*Params!$D$24/60*(Org!$B$10/Org!$B$11)+Params!$D$27/12*Params!$D$13*Org!$B$10+AZ38/1000*Params!$D$28*Params!$D$29*(Org!$B$10/Org!$B$11),0)</f>
        <v>0</v>
      </c>
      <c r="BA47" s="44">
        <f>BA$5*IF(BA$4&gt;=Teams!$D$80,Params!$D$23*Params!$D$24/60*(Org!$B$10/Org!$B$11)+Params!$D$27/12*Params!$D$13*Org!$B$10+BA38/1000*Params!$D$28*Params!$D$29*(Org!$B$10/Org!$B$11),0)</f>
        <v>0</v>
      </c>
      <c r="BB47" s="44">
        <f>BB$5*IF(BB$4&gt;=Teams!$D$80,Params!$D$23*Params!$D$24/60*(Org!$B$10/Org!$B$11)+Params!$D$27/12*Params!$D$13*Org!$B$10+BB38/1000*Params!$D$28*Params!$D$29*(Org!$B$10/Org!$B$11),0)</f>
        <v>0</v>
      </c>
      <c r="BC47" s="44">
        <f>BC$5*IF(BC$4&gt;=Teams!$D$80,Params!$D$23*Params!$D$24/60*(Org!$B$10/Org!$B$11)+Params!$D$27/12*Params!$D$13*Org!$B$10+BC38/1000*Params!$D$28*Params!$D$29*(Org!$B$10/Org!$B$11),0)</f>
        <v>0</v>
      </c>
      <c r="BD47" s="44">
        <f>BD$5*IF(BD$4&gt;=Teams!$D$80,Params!$D$23*Params!$D$24/60*(Org!$B$10/Org!$B$11)+Params!$D$27/12*Params!$D$13*Org!$B$10+BD38/1000*Params!$D$28*Params!$D$29*(Org!$B$10/Org!$B$11),0)</f>
        <v>0</v>
      </c>
      <c r="BE47" s="44">
        <f>BE$5*IF(BE$4&gt;=Teams!$D$80,Params!$D$23*Params!$D$24/60*(Org!$B$10/Org!$B$11)+Params!$D$27/12*Params!$D$13*Org!$B$10+BE38/1000*Params!$D$28*Params!$D$29*(Org!$B$10/Org!$B$11),0)</f>
        <v>0</v>
      </c>
      <c r="BF47" s="44">
        <f>BF$5*IF(BF$4&gt;=Teams!$D$80,Params!$D$23*Params!$D$24/60*(Org!$B$10/Org!$B$11)+Params!$D$27/12*Params!$D$13*Org!$B$10+BF38/1000*Params!$D$28*Params!$D$29*(Org!$B$10/Org!$B$11),0)</f>
        <v>0</v>
      </c>
      <c r="BG47" s="44">
        <f>BG$5*IF(BG$4&gt;=Teams!$D$80,Params!$D$23*Params!$D$24/60*(Org!$B$10/Org!$B$11)+Params!$D$27/12*Params!$D$13*Org!$B$10+BG38/1000*Params!$D$28*Params!$D$29*(Org!$B$10/Org!$B$11),0)</f>
        <v>0</v>
      </c>
      <c r="BH47" s="44">
        <f>BH$5*IF(BH$4&gt;=Teams!$D$80,Params!$D$23*Params!$D$24/60*(Org!$B$10/Org!$B$11)+Params!$D$27/12*Params!$D$13*Org!$B$10+BH38/1000*Params!$D$28*Params!$D$29*(Org!$B$10/Org!$B$11),0)</f>
        <v>0</v>
      </c>
      <c r="BI47" s="44">
        <f>BI$5*IF(BI$4&gt;=Teams!$D$80,Params!$D$23*Params!$D$24/60*(Org!$B$10/Org!$B$11)+Params!$D$27/12*Params!$D$13*Org!$B$10+BI38/1000*Params!$D$28*Params!$D$29*(Org!$B$10/Org!$B$11),0)</f>
        <v>0</v>
      </c>
      <c r="BJ47" s="44">
        <f>BJ$5*IF(BJ$4&gt;=Teams!$D$80,Params!$D$23*Params!$D$24/60*(Org!$B$10/Org!$B$11)+Params!$D$27/12*Params!$D$13*Org!$B$10+BJ38/1000*Params!$D$28*Params!$D$29*(Org!$B$10/Org!$B$11),0)</f>
        <v>0</v>
      </c>
      <c r="BK47" s="44">
        <f>BK$5*IF(BK$4&gt;=Teams!$D$80,Params!$D$23*Params!$D$24/60*(Org!$B$10/Org!$B$11)+Params!$D$27/12*Params!$D$13*Org!$B$10+BK38/1000*Params!$D$28*Params!$D$29*(Org!$B$10/Org!$B$11),0)</f>
        <v>0</v>
      </c>
      <c r="BL47" s="44">
        <f>BL$5*IF(BL$4&gt;=Teams!$D$80,Params!$D$23*Params!$D$24/60*(Org!$B$10/Org!$B$11)+Params!$D$27/12*Params!$D$13*Org!$B$10+BL38/1000*Params!$D$28*Params!$D$29*(Org!$B$10/Org!$B$11),0)</f>
        <v>0</v>
      </c>
    </row>
    <row r="48" spans="1:64" x14ac:dyDescent="0.3">
      <c r="A48" s="8" t="s">
        <v>673</v>
      </c>
      <c r="B48" s="18" t="s">
        <v>604</v>
      </c>
      <c r="C48" s="44">
        <f t="shared" si="11"/>
        <v>1760.0000000000002</v>
      </c>
      <c r="E48" s="44">
        <f>E$5*IF(AND(E$4&gt;Teams!$D$80,MOD(E$4-Teams!$D$80,MAX(1,ROUND(Params!$D$25,0)))=0),(Params!$D$26+Params!$D$17*Params!$D$16)*Org!$B$10,0)</f>
        <v>0</v>
      </c>
      <c r="F48" s="44">
        <f>F$5*IF(AND(F$4&gt;Teams!$D$80,MOD(F$4-Teams!$D$80,MAX(1,ROUND(Params!$D$25,0)))=0),(Params!$D$26+Params!$D$17*Params!$D$16)*Org!$B$10,0)</f>
        <v>0</v>
      </c>
      <c r="G48" s="44">
        <f>G$5*IF(AND(G$4&gt;Teams!$D$80,MOD(G$4-Teams!$D$80,MAX(1,ROUND(Params!$D$25,0)))=0),(Params!$D$26+Params!$D$17*Params!$D$16)*Org!$B$10,0)</f>
        <v>0</v>
      </c>
      <c r="H48" s="44">
        <f>H$5*IF(AND(H$4&gt;Teams!$D$80,MOD(H$4-Teams!$D$80,MAX(1,ROUND(Params!$D$25,0)))=0),(Params!$D$26+Params!$D$17*Params!$D$16)*Org!$B$10,0)</f>
        <v>0</v>
      </c>
      <c r="I48" s="44">
        <f>I$5*IF(AND(I$4&gt;Teams!$D$80,MOD(I$4-Teams!$D$80,MAX(1,ROUND(Params!$D$25,0)))=0),(Params!$D$26+Params!$D$17*Params!$D$16)*Org!$B$10,0)</f>
        <v>0</v>
      </c>
      <c r="J48" s="44">
        <f>J$5*IF(AND(J$4&gt;Teams!$D$80,MOD(J$4-Teams!$D$80,MAX(1,ROUND(Params!$D$25,0)))=0),(Params!$D$26+Params!$D$17*Params!$D$16)*Org!$B$10,0)</f>
        <v>0</v>
      </c>
      <c r="K48" s="44">
        <f>K$5*IF(AND(K$4&gt;Teams!$D$80,MOD(K$4-Teams!$D$80,MAX(1,ROUND(Params!$D$25,0)))=0),(Params!$D$26+Params!$D$17*Params!$D$16)*Org!$B$10,0)</f>
        <v>0</v>
      </c>
      <c r="L48" s="44">
        <f>L$5*IF(AND(L$4&gt;Teams!$D$80,MOD(L$4-Teams!$D$80,MAX(1,ROUND(Params!$D$25,0)))=0),(Params!$D$26+Params!$D$17*Params!$D$16)*Org!$B$10,0)</f>
        <v>0</v>
      </c>
      <c r="M48" s="44">
        <f>M$5*IF(AND(M$4&gt;Teams!$D$80,MOD(M$4-Teams!$D$80,MAX(1,ROUND(Params!$D$25,0)))=0),(Params!$D$26+Params!$D$17*Params!$D$16)*Org!$B$10,0)</f>
        <v>0</v>
      </c>
      <c r="N48" s="44">
        <f>N$5*IF(AND(N$4&gt;Teams!$D$80,MOD(N$4-Teams!$D$80,MAX(1,ROUND(Params!$D$25,0)))=0),(Params!$D$26+Params!$D$17*Params!$D$16)*Org!$B$10,0)</f>
        <v>0</v>
      </c>
      <c r="O48" s="44">
        <f>O$5*IF(AND(O$4&gt;Teams!$D$80,MOD(O$4-Teams!$D$80,MAX(1,ROUND(Params!$D$25,0)))=0),(Params!$D$26+Params!$D$17*Params!$D$16)*Org!$B$10,0)</f>
        <v>0</v>
      </c>
      <c r="P48" s="44">
        <f>P$5*IF(AND(P$4&gt;Teams!$D$80,MOD(P$4-Teams!$D$80,MAX(1,ROUND(Params!$D$25,0)))=0),(Params!$D$26+Params!$D$17*Params!$D$16)*Org!$B$10,0)</f>
        <v>0</v>
      </c>
      <c r="Q48" s="44">
        <f>Q$5*IF(AND(Q$4&gt;Teams!$D$80,MOD(Q$4-Teams!$D$80,MAX(1,ROUND(Params!$D$25,0)))=0),(Params!$D$26+Params!$D$17*Params!$D$16)*Org!$B$10,0)</f>
        <v>0</v>
      </c>
      <c r="R48" s="44">
        <f>R$5*IF(AND(R$4&gt;Teams!$D$80,MOD(R$4-Teams!$D$80,MAX(1,ROUND(Params!$D$25,0)))=0),(Params!$D$26+Params!$D$17*Params!$D$16)*Org!$B$10,0)</f>
        <v>0</v>
      </c>
      <c r="S48" s="44">
        <f>S$5*IF(AND(S$4&gt;Teams!$D$80,MOD(S$4-Teams!$D$80,MAX(1,ROUND(Params!$D$25,0)))=0),(Params!$D$26+Params!$D$17*Params!$D$16)*Org!$B$10,0)</f>
        <v>0</v>
      </c>
      <c r="T48" s="44">
        <f>T$5*IF(AND(T$4&gt;Teams!$D$80,MOD(T$4-Teams!$D$80,MAX(1,ROUND(Params!$D$25,0)))=0),(Params!$D$26+Params!$D$17*Params!$D$16)*Org!$B$10,0)</f>
        <v>0</v>
      </c>
      <c r="U48" s="44">
        <f>U$5*IF(AND(U$4&gt;Teams!$D$80,MOD(U$4-Teams!$D$80,MAX(1,ROUND(Params!$D$25,0)))=0),(Params!$D$26+Params!$D$17*Params!$D$16)*Org!$B$10,0)</f>
        <v>0</v>
      </c>
      <c r="V48" s="44">
        <f>V$5*IF(AND(V$4&gt;Teams!$D$80,MOD(V$4-Teams!$D$80,MAX(1,ROUND(Params!$D$25,0)))=0),(Params!$D$26+Params!$D$17*Params!$D$16)*Org!$B$10,0)</f>
        <v>0</v>
      </c>
      <c r="W48" s="44">
        <f>W$5*IF(AND(W$4&gt;Teams!$D$80,MOD(W$4-Teams!$D$80,MAX(1,ROUND(Params!$D$25,0)))=0),(Params!$D$26+Params!$D$17*Params!$D$16)*Org!$B$10,0)</f>
        <v>0</v>
      </c>
      <c r="X48" s="44">
        <f>X$5*IF(AND(X$4&gt;Teams!$D$80,MOD(X$4-Teams!$D$80,MAX(1,ROUND(Params!$D$25,0)))=0),(Params!$D$26+Params!$D$17*Params!$D$16)*Org!$B$10,0)</f>
        <v>0</v>
      </c>
      <c r="Y48" s="44">
        <f>Y$5*IF(AND(Y$4&gt;Teams!$D$80,MOD(Y$4-Teams!$D$80,MAX(1,ROUND(Params!$D$25,0)))=0),(Params!$D$26+Params!$D$17*Params!$D$16)*Org!$B$10,0)</f>
        <v>0</v>
      </c>
      <c r="Z48" s="44">
        <f>Z$5*IF(AND(Z$4&gt;Teams!$D$80,MOD(Z$4-Teams!$D$80,MAX(1,ROUND(Params!$D$25,0)))=0),(Params!$D$26+Params!$D$17*Params!$D$16)*Org!$B$10,0)</f>
        <v>0</v>
      </c>
      <c r="AA48" s="44">
        <f>AA$5*IF(AND(AA$4&gt;Teams!$D$80,MOD(AA$4-Teams!$D$80,MAX(1,ROUND(Params!$D$25,0)))=0),(Params!$D$26+Params!$D$17*Params!$D$16)*Org!$B$10,0)</f>
        <v>0</v>
      </c>
      <c r="AB48" s="44">
        <f>AB$5*IF(AND(AB$4&gt;Teams!$D$80,MOD(AB$4-Teams!$D$80,MAX(1,ROUND(Params!$D$25,0)))=0),(Params!$D$26+Params!$D$17*Params!$D$16)*Org!$B$10,0)</f>
        <v>0</v>
      </c>
      <c r="AC48" s="44">
        <f>AC$5*IF(AND(AC$4&gt;Teams!$D$80,MOD(AC$4-Teams!$D$80,MAX(1,ROUND(Params!$D$25,0)))=0),(Params!$D$26+Params!$D$17*Params!$D$16)*Org!$B$10,0)</f>
        <v>0</v>
      </c>
      <c r="AD48" s="44">
        <f>AD$5*IF(AND(AD$4&gt;Teams!$D$80,MOD(AD$4-Teams!$D$80,MAX(1,ROUND(Params!$D$25,0)))=0),(Params!$D$26+Params!$D$17*Params!$D$16)*Org!$B$10,0)</f>
        <v>1760.0000000000002</v>
      </c>
      <c r="AE48" s="44">
        <f>AE$5*IF(AND(AE$4&gt;Teams!$D$80,MOD(AE$4-Teams!$D$80,MAX(1,ROUND(Params!$D$25,0)))=0),(Params!$D$26+Params!$D$17*Params!$D$16)*Org!$B$10,0)</f>
        <v>0</v>
      </c>
      <c r="AF48" s="44">
        <f>AF$5*IF(AND(AF$4&gt;Teams!$D$80,MOD(AF$4-Teams!$D$80,MAX(1,ROUND(Params!$D$25,0)))=0),(Params!$D$26+Params!$D$17*Params!$D$16)*Org!$B$10,0)</f>
        <v>0</v>
      </c>
      <c r="AG48" s="44">
        <f>AG$5*IF(AND(AG$4&gt;Teams!$D$80,MOD(AG$4-Teams!$D$80,MAX(1,ROUND(Params!$D$25,0)))=0),(Params!$D$26+Params!$D$17*Params!$D$16)*Org!$B$10,0)</f>
        <v>0</v>
      </c>
      <c r="AH48" s="44">
        <f>AH$5*IF(AND(AH$4&gt;Teams!$D$80,MOD(AH$4-Teams!$D$80,MAX(1,ROUND(Params!$D$25,0)))=0),(Params!$D$26+Params!$D$17*Params!$D$16)*Org!$B$10,0)</f>
        <v>0</v>
      </c>
      <c r="AI48" s="44">
        <f>AI$5*IF(AND(AI$4&gt;Teams!$D$80,MOD(AI$4-Teams!$D$80,MAX(1,ROUND(Params!$D$25,0)))=0),(Params!$D$26+Params!$D$17*Params!$D$16)*Org!$B$10,0)</f>
        <v>0</v>
      </c>
      <c r="AJ48" s="44">
        <f>AJ$5*IF(AND(AJ$4&gt;Teams!$D$80,MOD(AJ$4-Teams!$D$80,MAX(1,ROUND(Params!$D$25,0)))=0),(Params!$D$26+Params!$D$17*Params!$D$16)*Org!$B$10,0)</f>
        <v>0</v>
      </c>
      <c r="AK48" s="44">
        <f>AK$5*IF(AND(AK$4&gt;Teams!$D$80,MOD(AK$4-Teams!$D$80,MAX(1,ROUND(Params!$D$25,0)))=0),(Params!$D$26+Params!$D$17*Params!$D$16)*Org!$B$10,0)</f>
        <v>0</v>
      </c>
      <c r="AL48" s="44">
        <f>AL$5*IF(AND(AL$4&gt;Teams!$D$80,MOD(AL$4-Teams!$D$80,MAX(1,ROUND(Params!$D$25,0)))=0),(Params!$D$26+Params!$D$17*Params!$D$16)*Org!$B$10,0)</f>
        <v>0</v>
      </c>
      <c r="AM48" s="44">
        <f>AM$5*IF(AND(AM$4&gt;Teams!$D$80,MOD(AM$4-Teams!$D$80,MAX(1,ROUND(Params!$D$25,0)))=0),(Params!$D$26+Params!$D$17*Params!$D$16)*Org!$B$10,0)</f>
        <v>0</v>
      </c>
      <c r="AN48" s="44">
        <f>AN$5*IF(AND(AN$4&gt;Teams!$D$80,MOD(AN$4-Teams!$D$80,MAX(1,ROUND(Params!$D$25,0)))=0),(Params!$D$26+Params!$D$17*Params!$D$16)*Org!$B$10,0)</f>
        <v>0</v>
      </c>
      <c r="AO48" s="44">
        <f>AO$5*IF(AND(AO$4&gt;Teams!$D$80,MOD(AO$4-Teams!$D$80,MAX(1,ROUND(Params!$D$25,0)))=0),(Params!$D$26+Params!$D$17*Params!$D$16)*Org!$B$10,0)</f>
        <v>0</v>
      </c>
      <c r="AP48" s="44">
        <f>AP$5*IF(AND(AP$4&gt;Teams!$D$80,MOD(AP$4-Teams!$D$80,MAX(1,ROUND(Params!$D$25,0)))=0),(Params!$D$26+Params!$D$17*Params!$D$16)*Org!$B$10,0)</f>
        <v>0</v>
      </c>
      <c r="AQ48" s="44">
        <f>AQ$5*IF(AND(AQ$4&gt;Teams!$D$80,MOD(AQ$4-Teams!$D$80,MAX(1,ROUND(Params!$D$25,0)))=0),(Params!$D$26+Params!$D$17*Params!$D$16)*Org!$B$10,0)</f>
        <v>0</v>
      </c>
      <c r="AR48" s="44">
        <f>AR$5*IF(AND(AR$4&gt;Teams!$D$80,MOD(AR$4-Teams!$D$80,MAX(1,ROUND(Params!$D$25,0)))=0),(Params!$D$26+Params!$D$17*Params!$D$16)*Org!$B$10,0)</f>
        <v>0</v>
      </c>
      <c r="AS48" s="44">
        <f>AS$5*IF(AND(AS$4&gt;Teams!$D$80,MOD(AS$4-Teams!$D$80,MAX(1,ROUND(Params!$D$25,0)))=0),(Params!$D$26+Params!$D$17*Params!$D$16)*Org!$B$10,0)</f>
        <v>0</v>
      </c>
      <c r="AT48" s="44">
        <f>AT$5*IF(AND(AT$4&gt;Teams!$D$80,MOD(AT$4-Teams!$D$80,MAX(1,ROUND(Params!$D$25,0)))=0),(Params!$D$26+Params!$D$17*Params!$D$16)*Org!$B$10,0)</f>
        <v>0</v>
      </c>
      <c r="AU48" s="44">
        <f>AU$5*IF(AND(AU$4&gt;Teams!$D$80,MOD(AU$4-Teams!$D$80,MAX(1,ROUND(Params!$D$25,0)))=0),(Params!$D$26+Params!$D$17*Params!$D$16)*Org!$B$10,0)</f>
        <v>0</v>
      </c>
      <c r="AV48" s="44">
        <f>AV$5*IF(AND(AV$4&gt;Teams!$D$80,MOD(AV$4-Teams!$D$80,MAX(1,ROUND(Params!$D$25,0)))=0),(Params!$D$26+Params!$D$17*Params!$D$16)*Org!$B$10,0)</f>
        <v>0</v>
      </c>
      <c r="AW48" s="44">
        <f>AW$5*IF(AND(AW$4&gt;Teams!$D$80,MOD(AW$4-Teams!$D$80,MAX(1,ROUND(Params!$D$25,0)))=0),(Params!$D$26+Params!$D$17*Params!$D$16)*Org!$B$10,0)</f>
        <v>0</v>
      </c>
      <c r="AX48" s="44">
        <f>AX$5*IF(AND(AX$4&gt;Teams!$D$80,MOD(AX$4-Teams!$D$80,MAX(1,ROUND(Params!$D$25,0)))=0),(Params!$D$26+Params!$D$17*Params!$D$16)*Org!$B$10,0)</f>
        <v>0</v>
      </c>
      <c r="AY48" s="44">
        <f>AY$5*IF(AND(AY$4&gt;Teams!$D$80,MOD(AY$4-Teams!$D$80,MAX(1,ROUND(Params!$D$25,0)))=0),(Params!$D$26+Params!$D$17*Params!$D$16)*Org!$B$10,0)</f>
        <v>0</v>
      </c>
      <c r="AZ48" s="44">
        <f>AZ$5*IF(AND(AZ$4&gt;Teams!$D$80,MOD(AZ$4-Teams!$D$80,MAX(1,ROUND(Params!$D$25,0)))=0),(Params!$D$26+Params!$D$17*Params!$D$16)*Org!$B$10,0)</f>
        <v>0</v>
      </c>
      <c r="BA48" s="44">
        <f>BA$5*IF(AND(BA$4&gt;Teams!$D$80,MOD(BA$4-Teams!$D$80,MAX(1,ROUND(Params!$D$25,0)))=0),(Params!$D$26+Params!$D$17*Params!$D$16)*Org!$B$10,0)</f>
        <v>0</v>
      </c>
      <c r="BB48" s="44">
        <f>BB$5*IF(AND(BB$4&gt;Teams!$D$80,MOD(BB$4-Teams!$D$80,MAX(1,ROUND(Params!$D$25,0)))=0),(Params!$D$26+Params!$D$17*Params!$D$16)*Org!$B$10,0)</f>
        <v>0</v>
      </c>
      <c r="BC48" s="44">
        <f>BC$5*IF(AND(BC$4&gt;Teams!$D$80,MOD(BC$4-Teams!$D$80,MAX(1,ROUND(Params!$D$25,0)))=0),(Params!$D$26+Params!$D$17*Params!$D$16)*Org!$B$10,0)</f>
        <v>0</v>
      </c>
      <c r="BD48" s="44">
        <f>BD$5*IF(AND(BD$4&gt;Teams!$D$80,MOD(BD$4-Teams!$D$80,MAX(1,ROUND(Params!$D$25,0)))=0),(Params!$D$26+Params!$D$17*Params!$D$16)*Org!$B$10,0)</f>
        <v>0</v>
      </c>
      <c r="BE48" s="44">
        <f>BE$5*IF(AND(BE$4&gt;Teams!$D$80,MOD(BE$4-Teams!$D$80,MAX(1,ROUND(Params!$D$25,0)))=0),(Params!$D$26+Params!$D$17*Params!$D$16)*Org!$B$10,0)</f>
        <v>0</v>
      </c>
      <c r="BF48" s="44">
        <f>BF$5*IF(AND(BF$4&gt;Teams!$D$80,MOD(BF$4-Teams!$D$80,MAX(1,ROUND(Params!$D$25,0)))=0),(Params!$D$26+Params!$D$17*Params!$D$16)*Org!$B$10,0)</f>
        <v>0</v>
      </c>
      <c r="BG48" s="44">
        <f>BG$5*IF(AND(BG$4&gt;Teams!$D$80,MOD(BG$4-Teams!$D$80,MAX(1,ROUND(Params!$D$25,0)))=0),(Params!$D$26+Params!$D$17*Params!$D$16)*Org!$B$10,0)</f>
        <v>0</v>
      </c>
      <c r="BH48" s="44">
        <f>BH$5*IF(AND(BH$4&gt;Teams!$D$80,MOD(BH$4-Teams!$D$80,MAX(1,ROUND(Params!$D$25,0)))=0),(Params!$D$26+Params!$D$17*Params!$D$16)*Org!$B$10,0)</f>
        <v>0</v>
      </c>
      <c r="BI48" s="44">
        <f>BI$5*IF(AND(BI$4&gt;Teams!$D$80,MOD(BI$4-Teams!$D$80,MAX(1,ROUND(Params!$D$25,0)))=0),(Params!$D$26+Params!$D$17*Params!$D$16)*Org!$B$10,0)</f>
        <v>0</v>
      </c>
      <c r="BJ48" s="44">
        <f>BJ$5*IF(AND(BJ$4&gt;Teams!$D$80,MOD(BJ$4-Teams!$D$80,MAX(1,ROUND(Params!$D$25,0)))=0),(Params!$D$26+Params!$D$17*Params!$D$16)*Org!$B$10,0)</f>
        <v>0</v>
      </c>
      <c r="BK48" s="44">
        <f>BK$5*IF(AND(BK$4&gt;Teams!$D$80,MOD(BK$4-Teams!$D$80,MAX(1,ROUND(Params!$D$25,0)))=0),(Params!$D$26+Params!$D$17*Params!$D$16)*Org!$B$10,0)</f>
        <v>0</v>
      </c>
      <c r="BL48" s="44">
        <f>BL$5*IF(AND(BL$4&gt;Teams!$D$80,MOD(BL$4-Teams!$D$80,MAX(1,ROUND(Params!$D$25,0)))=0),(Params!$D$26+Params!$D$17*Params!$D$16)*Org!$B$10,0)</f>
        <v>0</v>
      </c>
    </row>
    <row r="49" spans="1:64" x14ac:dyDescent="0.3">
      <c r="A49" s="8" t="s">
        <v>674</v>
      </c>
      <c r="B49" s="18" t="s">
        <v>604</v>
      </c>
      <c r="C49" s="44">
        <f t="shared" si="11"/>
        <v>690220.8000000004</v>
      </c>
      <c r="E49" s="44">
        <f>E$5*E39*MIN(1,Teams!$D$41*Params!$D$35)*Params!$D$36/60*Teams!$D$42</f>
        <v>5001.6000000000004</v>
      </c>
      <c r="F49" s="44">
        <f>F$5*F39*MIN(1,Teams!$D$41*Params!$D$35)*Params!$D$36/60*Teams!$D$42</f>
        <v>10003.200000000001</v>
      </c>
      <c r="G49" s="44">
        <f>G$5*G39*MIN(1,Teams!$D$41*Params!$D$35)*Params!$D$36/60*Teams!$D$42</f>
        <v>15004.8</v>
      </c>
      <c r="H49" s="44">
        <f>H$5*H39*MIN(1,Teams!$D$41*Params!$D$35)*Params!$D$36/60*Teams!$D$42</f>
        <v>20006.400000000001</v>
      </c>
      <c r="I49" s="44">
        <f>I$5*I39*MIN(1,Teams!$D$41*Params!$D$35)*Params!$D$36/60*Teams!$D$42</f>
        <v>20006.400000000001</v>
      </c>
      <c r="J49" s="44">
        <f>J$5*J39*MIN(1,Teams!$D$41*Params!$D$35)*Params!$D$36/60*Teams!$D$42</f>
        <v>20006.400000000001</v>
      </c>
      <c r="K49" s="44">
        <f>K$5*K39*MIN(1,Teams!$D$41*Params!$D$35)*Params!$D$36/60*Teams!$D$42</f>
        <v>20006.400000000001</v>
      </c>
      <c r="L49" s="44">
        <f>L$5*L39*MIN(1,Teams!$D$41*Params!$D$35)*Params!$D$36/60*Teams!$D$42</f>
        <v>20006.400000000001</v>
      </c>
      <c r="M49" s="44">
        <f>M$5*M39*MIN(1,Teams!$D$41*Params!$D$35)*Params!$D$36/60*Teams!$D$42</f>
        <v>20006.400000000001</v>
      </c>
      <c r="N49" s="44">
        <f>N$5*N39*MIN(1,Teams!$D$41*Params!$D$35)*Params!$D$36/60*Teams!$D$42</f>
        <v>20006.400000000001</v>
      </c>
      <c r="O49" s="44">
        <f>O$5*O39*MIN(1,Teams!$D$41*Params!$D$35)*Params!$D$36/60*Teams!$D$42</f>
        <v>20006.400000000001</v>
      </c>
      <c r="P49" s="44">
        <f>P$5*P39*MIN(1,Teams!$D$41*Params!$D$35)*Params!$D$36/60*Teams!$D$42</f>
        <v>20006.400000000001</v>
      </c>
      <c r="Q49" s="44">
        <f>Q$5*Q39*MIN(1,Teams!$D$41*Params!$D$35)*Params!$D$36/60*Teams!$D$42</f>
        <v>20006.400000000001</v>
      </c>
      <c r="R49" s="44">
        <f>R$5*R39*MIN(1,Teams!$D$41*Params!$D$35)*Params!$D$36/60*Teams!$D$42</f>
        <v>20006.400000000001</v>
      </c>
      <c r="S49" s="44">
        <f>S$5*S39*MIN(1,Teams!$D$41*Params!$D$35)*Params!$D$36/60*Teams!$D$42</f>
        <v>20006.400000000001</v>
      </c>
      <c r="T49" s="44">
        <f>T$5*T39*MIN(1,Teams!$D$41*Params!$D$35)*Params!$D$36/60*Teams!$D$42</f>
        <v>20006.400000000001</v>
      </c>
      <c r="U49" s="44">
        <f>U$5*U39*MIN(1,Teams!$D$41*Params!$D$35)*Params!$D$36/60*Teams!$D$42</f>
        <v>20006.400000000001</v>
      </c>
      <c r="V49" s="44">
        <f>V$5*V39*MIN(1,Teams!$D$41*Params!$D$35)*Params!$D$36/60*Teams!$D$42</f>
        <v>20006.400000000001</v>
      </c>
      <c r="W49" s="44">
        <f>W$5*W39*MIN(1,Teams!$D$41*Params!$D$35)*Params!$D$36/60*Teams!$D$42</f>
        <v>20006.400000000001</v>
      </c>
      <c r="X49" s="44">
        <f>X$5*X39*MIN(1,Teams!$D$41*Params!$D$35)*Params!$D$36/60*Teams!$D$42</f>
        <v>20006.400000000001</v>
      </c>
      <c r="Y49" s="44">
        <f>Y$5*Y39*MIN(1,Teams!$D$41*Params!$D$35)*Params!$D$36/60*Teams!$D$42</f>
        <v>20006.400000000001</v>
      </c>
      <c r="Z49" s="44">
        <f>Z$5*Z39*MIN(1,Teams!$D$41*Params!$D$35)*Params!$D$36/60*Teams!$D$42</f>
        <v>20006.400000000001</v>
      </c>
      <c r="AA49" s="44">
        <f>AA$5*AA39*MIN(1,Teams!$D$41*Params!$D$35)*Params!$D$36/60*Teams!$D$42</f>
        <v>20006.400000000001</v>
      </c>
      <c r="AB49" s="44">
        <f>AB$5*AB39*MIN(1,Teams!$D$41*Params!$D$35)*Params!$D$36/60*Teams!$D$42</f>
        <v>20006.400000000001</v>
      </c>
      <c r="AC49" s="44">
        <f>AC$5*AC39*MIN(1,Teams!$D$41*Params!$D$35)*Params!$D$36/60*Teams!$D$42</f>
        <v>20006.400000000001</v>
      </c>
      <c r="AD49" s="44">
        <f>AD$5*AD39*MIN(1,Teams!$D$41*Params!$D$35)*Params!$D$36/60*Teams!$D$42</f>
        <v>20006.400000000001</v>
      </c>
      <c r="AE49" s="44">
        <f>AE$5*AE39*MIN(1,Teams!$D$41*Params!$D$35)*Params!$D$36/60*Teams!$D$42</f>
        <v>20006.400000000001</v>
      </c>
      <c r="AF49" s="44">
        <f>AF$5*AF39*MIN(1,Teams!$D$41*Params!$D$35)*Params!$D$36/60*Teams!$D$42</f>
        <v>20006.400000000001</v>
      </c>
      <c r="AG49" s="44">
        <f>AG$5*AG39*MIN(1,Teams!$D$41*Params!$D$35)*Params!$D$36/60*Teams!$D$42</f>
        <v>20006.400000000001</v>
      </c>
      <c r="AH49" s="44">
        <f>AH$5*AH39*MIN(1,Teams!$D$41*Params!$D$35)*Params!$D$36/60*Teams!$D$42</f>
        <v>20006.400000000001</v>
      </c>
      <c r="AI49" s="44">
        <f>AI$5*AI39*MIN(1,Teams!$D$41*Params!$D$35)*Params!$D$36/60*Teams!$D$42</f>
        <v>20006.400000000001</v>
      </c>
      <c r="AJ49" s="44">
        <f>AJ$5*AJ39*MIN(1,Teams!$D$41*Params!$D$35)*Params!$D$36/60*Teams!$D$42</f>
        <v>20006.400000000001</v>
      </c>
      <c r="AK49" s="44">
        <f>AK$5*AK39*MIN(1,Teams!$D$41*Params!$D$35)*Params!$D$36/60*Teams!$D$42</f>
        <v>20006.400000000001</v>
      </c>
      <c r="AL49" s="44">
        <f>AL$5*AL39*MIN(1,Teams!$D$41*Params!$D$35)*Params!$D$36/60*Teams!$D$42</f>
        <v>20006.400000000001</v>
      </c>
      <c r="AM49" s="44">
        <f>AM$5*AM39*MIN(1,Teams!$D$41*Params!$D$35)*Params!$D$36/60*Teams!$D$42</f>
        <v>20006.400000000001</v>
      </c>
      <c r="AN49" s="44">
        <f>AN$5*AN39*MIN(1,Teams!$D$41*Params!$D$35)*Params!$D$36/60*Teams!$D$42</f>
        <v>20006.400000000001</v>
      </c>
      <c r="AO49" s="44">
        <f>AO$5*AO39*MIN(1,Teams!$D$41*Params!$D$35)*Params!$D$36/60*Teams!$D$42</f>
        <v>0</v>
      </c>
      <c r="AP49" s="44">
        <f>AP$5*AP39*MIN(1,Teams!$D$41*Params!$D$35)*Params!$D$36/60*Teams!$D$42</f>
        <v>0</v>
      </c>
      <c r="AQ49" s="44">
        <f>AQ$5*AQ39*MIN(1,Teams!$D$41*Params!$D$35)*Params!$D$36/60*Teams!$D$42</f>
        <v>0</v>
      </c>
      <c r="AR49" s="44">
        <f>AR$5*AR39*MIN(1,Teams!$D$41*Params!$D$35)*Params!$D$36/60*Teams!$D$42</f>
        <v>0</v>
      </c>
      <c r="AS49" s="44">
        <f>AS$5*AS39*MIN(1,Teams!$D$41*Params!$D$35)*Params!$D$36/60*Teams!$D$42</f>
        <v>0</v>
      </c>
      <c r="AT49" s="44">
        <f>AT$5*AT39*MIN(1,Teams!$D$41*Params!$D$35)*Params!$D$36/60*Teams!$D$42</f>
        <v>0</v>
      </c>
      <c r="AU49" s="44">
        <f>AU$5*AU39*MIN(1,Teams!$D$41*Params!$D$35)*Params!$D$36/60*Teams!$D$42</f>
        <v>0</v>
      </c>
      <c r="AV49" s="44">
        <f>AV$5*AV39*MIN(1,Teams!$D$41*Params!$D$35)*Params!$D$36/60*Teams!$D$42</f>
        <v>0</v>
      </c>
      <c r="AW49" s="44">
        <f>AW$5*AW39*MIN(1,Teams!$D$41*Params!$D$35)*Params!$D$36/60*Teams!$D$42</f>
        <v>0</v>
      </c>
      <c r="AX49" s="44">
        <f>AX$5*AX39*MIN(1,Teams!$D$41*Params!$D$35)*Params!$D$36/60*Teams!$D$42</f>
        <v>0</v>
      </c>
      <c r="AY49" s="44">
        <f>AY$5*AY39*MIN(1,Teams!$D$41*Params!$D$35)*Params!$D$36/60*Teams!$D$42</f>
        <v>0</v>
      </c>
      <c r="AZ49" s="44">
        <f>AZ$5*AZ39*MIN(1,Teams!$D$41*Params!$D$35)*Params!$D$36/60*Teams!$D$42</f>
        <v>0</v>
      </c>
      <c r="BA49" s="44">
        <f>BA$5*BA39*MIN(1,Teams!$D$41*Params!$D$35)*Params!$D$36/60*Teams!$D$42</f>
        <v>0</v>
      </c>
      <c r="BB49" s="44">
        <f>BB$5*BB39*MIN(1,Teams!$D$41*Params!$D$35)*Params!$D$36/60*Teams!$D$42</f>
        <v>0</v>
      </c>
      <c r="BC49" s="44">
        <f>BC$5*BC39*MIN(1,Teams!$D$41*Params!$D$35)*Params!$D$36/60*Teams!$D$42</f>
        <v>0</v>
      </c>
      <c r="BD49" s="44">
        <f>BD$5*BD39*MIN(1,Teams!$D$41*Params!$D$35)*Params!$D$36/60*Teams!$D$42</f>
        <v>0</v>
      </c>
      <c r="BE49" s="44">
        <f>BE$5*BE39*MIN(1,Teams!$D$41*Params!$D$35)*Params!$D$36/60*Teams!$D$42</f>
        <v>0</v>
      </c>
      <c r="BF49" s="44">
        <f>BF$5*BF39*MIN(1,Teams!$D$41*Params!$D$35)*Params!$D$36/60*Teams!$D$42</f>
        <v>0</v>
      </c>
      <c r="BG49" s="44">
        <f>BG$5*BG39*MIN(1,Teams!$D$41*Params!$D$35)*Params!$D$36/60*Teams!$D$42</f>
        <v>0</v>
      </c>
      <c r="BH49" s="44">
        <f>BH$5*BH39*MIN(1,Teams!$D$41*Params!$D$35)*Params!$D$36/60*Teams!$D$42</f>
        <v>0</v>
      </c>
      <c r="BI49" s="44">
        <f>BI$5*BI39*MIN(1,Teams!$D$41*Params!$D$35)*Params!$D$36/60*Teams!$D$42</f>
        <v>0</v>
      </c>
      <c r="BJ49" s="44">
        <f>BJ$5*BJ39*MIN(1,Teams!$D$41*Params!$D$35)*Params!$D$36/60*Teams!$D$42</f>
        <v>0</v>
      </c>
      <c r="BK49" s="44">
        <f>BK$5*BK39*MIN(1,Teams!$D$41*Params!$D$35)*Params!$D$36/60*Teams!$D$42</f>
        <v>0</v>
      </c>
      <c r="BL49" s="44">
        <f>BL$5*BL39*MIN(1,Teams!$D$41*Params!$D$35)*Params!$D$36/60*Teams!$D$42</f>
        <v>0</v>
      </c>
    </row>
    <row r="50" spans="1:64" x14ac:dyDescent="0.3">
      <c r="A50" s="8" t="s">
        <v>675</v>
      </c>
      <c r="B50" s="18" t="s">
        <v>169</v>
      </c>
      <c r="C50" s="44">
        <f t="shared" si="11"/>
        <v>17600.000000000011</v>
      </c>
      <c r="E50" s="44">
        <f>E$5*IF(E$4&gt;=Teams!$D$80,E37/1000*IF(E$4-Teams!$D$80&lt;6,Params!$D$37,Params!$D$38)*Org!$B$10*Org!$B$12/12,0)</f>
        <v>1466.6666666666667</v>
      </c>
      <c r="F50" s="44">
        <f>F$5*IF(F$4&gt;=Teams!$D$80,F37/1000*IF(F$4-Teams!$D$80&lt;6,Params!$D$37,Params!$D$38)*Org!$B$10*Org!$B$12/12,0)</f>
        <v>1466.6666666666667</v>
      </c>
      <c r="G50" s="44">
        <f>G$5*IF(G$4&gt;=Teams!$D$80,G37/1000*IF(G$4-Teams!$D$80&lt;6,Params!$D$37,Params!$D$38)*Org!$B$10*Org!$B$12/12,0)</f>
        <v>1466.6666666666667</v>
      </c>
      <c r="H50" s="44">
        <f>H$5*IF(H$4&gt;=Teams!$D$80,H37/1000*IF(H$4-Teams!$D$80&lt;6,Params!$D$37,Params!$D$38)*Org!$B$10*Org!$B$12/12,0)</f>
        <v>1466.6666666666667</v>
      </c>
      <c r="I50" s="44">
        <f>I$5*IF(I$4&gt;=Teams!$D$80,I37/1000*IF(I$4-Teams!$D$80&lt;6,Params!$D$37,Params!$D$38)*Org!$B$10*Org!$B$12/12,0)</f>
        <v>1466.6666666666667</v>
      </c>
      <c r="J50" s="44">
        <f>J$5*IF(J$4&gt;=Teams!$D$80,J37/1000*IF(J$4-Teams!$D$80&lt;6,Params!$D$37,Params!$D$38)*Org!$B$10*Org!$B$12/12,0)</f>
        <v>1466.6666666666667</v>
      </c>
      <c r="K50" s="44">
        <f>K$5*IF(K$4&gt;=Teams!$D$80,K37/1000*IF(K$4-Teams!$D$80&lt;6,Params!$D$37,Params!$D$38)*Org!$B$10*Org!$B$12/12,0)</f>
        <v>293.33333333333343</v>
      </c>
      <c r="L50" s="44">
        <f>L$5*IF(L$4&gt;=Teams!$D$80,L37/1000*IF(L$4-Teams!$D$80&lt;6,Params!$D$37,Params!$D$38)*Org!$B$10*Org!$B$12/12,0)</f>
        <v>293.33333333333343</v>
      </c>
      <c r="M50" s="44">
        <f>M$5*IF(M$4&gt;=Teams!$D$80,M37/1000*IF(M$4-Teams!$D$80&lt;6,Params!$D$37,Params!$D$38)*Org!$B$10*Org!$B$12/12,0)</f>
        <v>293.33333333333343</v>
      </c>
      <c r="N50" s="44">
        <f>N$5*IF(N$4&gt;=Teams!$D$80,N37/1000*IF(N$4-Teams!$D$80&lt;6,Params!$D$37,Params!$D$38)*Org!$B$10*Org!$B$12/12,0)</f>
        <v>293.33333333333343</v>
      </c>
      <c r="O50" s="44">
        <f>O$5*IF(O$4&gt;=Teams!$D$80,O37/1000*IF(O$4-Teams!$D$80&lt;6,Params!$D$37,Params!$D$38)*Org!$B$10*Org!$B$12/12,0)</f>
        <v>293.33333333333343</v>
      </c>
      <c r="P50" s="44">
        <f>P$5*IF(P$4&gt;=Teams!$D$80,P37/1000*IF(P$4-Teams!$D$80&lt;6,Params!$D$37,Params!$D$38)*Org!$B$10*Org!$B$12/12,0)</f>
        <v>293.33333333333343</v>
      </c>
      <c r="Q50" s="44">
        <f>Q$5*IF(Q$4&gt;=Teams!$D$80,Q37/1000*IF(Q$4-Teams!$D$80&lt;6,Params!$D$37,Params!$D$38)*Org!$B$10*Org!$B$12/12,0)</f>
        <v>293.33333333333343</v>
      </c>
      <c r="R50" s="44">
        <f>R$5*IF(R$4&gt;=Teams!$D$80,R37/1000*IF(R$4-Teams!$D$80&lt;6,Params!$D$37,Params!$D$38)*Org!$B$10*Org!$B$12/12,0)</f>
        <v>293.33333333333343</v>
      </c>
      <c r="S50" s="44">
        <f>S$5*IF(S$4&gt;=Teams!$D$80,S37/1000*IF(S$4-Teams!$D$80&lt;6,Params!$D$37,Params!$D$38)*Org!$B$10*Org!$B$12/12,0)</f>
        <v>293.33333333333343</v>
      </c>
      <c r="T50" s="44">
        <f>T$5*IF(T$4&gt;=Teams!$D$80,T37/1000*IF(T$4-Teams!$D$80&lt;6,Params!$D$37,Params!$D$38)*Org!$B$10*Org!$B$12/12,0)</f>
        <v>293.33333333333343</v>
      </c>
      <c r="U50" s="44">
        <f>U$5*IF(U$4&gt;=Teams!$D$80,U37/1000*IF(U$4-Teams!$D$80&lt;6,Params!$D$37,Params!$D$38)*Org!$B$10*Org!$B$12/12,0)</f>
        <v>293.33333333333343</v>
      </c>
      <c r="V50" s="44">
        <f>V$5*IF(V$4&gt;=Teams!$D$80,V37/1000*IF(V$4-Teams!$D$80&lt;6,Params!$D$37,Params!$D$38)*Org!$B$10*Org!$B$12/12,0)</f>
        <v>293.33333333333343</v>
      </c>
      <c r="W50" s="44">
        <f>W$5*IF(W$4&gt;=Teams!$D$80,W37/1000*IF(W$4-Teams!$D$80&lt;6,Params!$D$37,Params!$D$38)*Org!$B$10*Org!$B$12/12,0)</f>
        <v>293.33333333333343</v>
      </c>
      <c r="X50" s="44">
        <f>X$5*IF(X$4&gt;=Teams!$D$80,X37/1000*IF(X$4-Teams!$D$80&lt;6,Params!$D$37,Params!$D$38)*Org!$B$10*Org!$B$12/12,0)</f>
        <v>293.33333333333343</v>
      </c>
      <c r="Y50" s="44">
        <f>Y$5*IF(Y$4&gt;=Teams!$D$80,Y37/1000*IF(Y$4-Teams!$D$80&lt;6,Params!$D$37,Params!$D$38)*Org!$B$10*Org!$B$12/12,0)</f>
        <v>293.33333333333343</v>
      </c>
      <c r="Z50" s="44">
        <f>Z$5*IF(Z$4&gt;=Teams!$D$80,Z37/1000*IF(Z$4-Teams!$D$80&lt;6,Params!$D$37,Params!$D$38)*Org!$B$10*Org!$B$12/12,0)</f>
        <v>293.33333333333343</v>
      </c>
      <c r="AA50" s="44">
        <f>AA$5*IF(AA$4&gt;=Teams!$D$80,AA37/1000*IF(AA$4-Teams!$D$80&lt;6,Params!$D$37,Params!$D$38)*Org!$B$10*Org!$B$12/12,0)</f>
        <v>293.33333333333343</v>
      </c>
      <c r="AB50" s="44">
        <f>AB$5*IF(AB$4&gt;=Teams!$D$80,AB37/1000*IF(AB$4-Teams!$D$80&lt;6,Params!$D$37,Params!$D$38)*Org!$B$10*Org!$B$12/12,0)</f>
        <v>293.33333333333343</v>
      </c>
      <c r="AC50" s="44">
        <f>AC$5*IF(AC$4&gt;=Teams!$D$80,AC37/1000*IF(AC$4-Teams!$D$80&lt;6,Params!$D$37,Params!$D$38)*Org!$B$10*Org!$B$12/12,0)</f>
        <v>293.33333333333343</v>
      </c>
      <c r="AD50" s="44">
        <f>AD$5*IF(AD$4&gt;=Teams!$D$80,AD37/1000*IF(AD$4-Teams!$D$80&lt;6,Params!$D$37,Params!$D$38)*Org!$B$10*Org!$B$12/12,0)</f>
        <v>293.33333333333343</v>
      </c>
      <c r="AE50" s="44">
        <f>AE$5*IF(AE$4&gt;=Teams!$D$80,AE37/1000*IF(AE$4-Teams!$D$80&lt;6,Params!$D$37,Params!$D$38)*Org!$B$10*Org!$B$12/12,0)</f>
        <v>293.33333333333343</v>
      </c>
      <c r="AF50" s="44">
        <f>AF$5*IF(AF$4&gt;=Teams!$D$80,AF37/1000*IF(AF$4-Teams!$D$80&lt;6,Params!$D$37,Params!$D$38)*Org!$B$10*Org!$B$12/12,0)</f>
        <v>293.33333333333343</v>
      </c>
      <c r="AG50" s="44">
        <f>AG$5*IF(AG$4&gt;=Teams!$D$80,AG37/1000*IF(AG$4-Teams!$D$80&lt;6,Params!$D$37,Params!$D$38)*Org!$B$10*Org!$B$12/12,0)</f>
        <v>293.33333333333343</v>
      </c>
      <c r="AH50" s="44">
        <f>AH$5*IF(AH$4&gt;=Teams!$D$80,AH37/1000*IF(AH$4-Teams!$D$80&lt;6,Params!$D$37,Params!$D$38)*Org!$B$10*Org!$B$12/12,0)</f>
        <v>293.33333333333343</v>
      </c>
      <c r="AI50" s="44">
        <f>AI$5*IF(AI$4&gt;=Teams!$D$80,AI37/1000*IF(AI$4-Teams!$D$80&lt;6,Params!$D$37,Params!$D$38)*Org!$B$10*Org!$B$12/12,0)</f>
        <v>293.33333333333343</v>
      </c>
      <c r="AJ50" s="44">
        <f>AJ$5*IF(AJ$4&gt;=Teams!$D$80,AJ37/1000*IF(AJ$4-Teams!$D$80&lt;6,Params!$D$37,Params!$D$38)*Org!$B$10*Org!$B$12/12,0)</f>
        <v>293.33333333333343</v>
      </c>
      <c r="AK50" s="44">
        <f>AK$5*IF(AK$4&gt;=Teams!$D$80,AK37/1000*IF(AK$4-Teams!$D$80&lt;6,Params!$D$37,Params!$D$38)*Org!$B$10*Org!$B$12/12,0)</f>
        <v>293.33333333333343</v>
      </c>
      <c r="AL50" s="44">
        <f>AL$5*IF(AL$4&gt;=Teams!$D$80,AL37/1000*IF(AL$4-Teams!$D$80&lt;6,Params!$D$37,Params!$D$38)*Org!$B$10*Org!$B$12/12,0)</f>
        <v>293.33333333333343</v>
      </c>
      <c r="AM50" s="44">
        <f>AM$5*IF(AM$4&gt;=Teams!$D$80,AM37/1000*IF(AM$4-Teams!$D$80&lt;6,Params!$D$37,Params!$D$38)*Org!$B$10*Org!$B$12/12,0)</f>
        <v>293.33333333333343</v>
      </c>
      <c r="AN50" s="44">
        <f>AN$5*IF(AN$4&gt;=Teams!$D$80,AN37/1000*IF(AN$4-Teams!$D$80&lt;6,Params!$D$37,Params!$D$38)*Org!$B$10*Org!$B$12/12,0)</f>
        <v>293.33333333333343</v>
      </c>
      <c r="AO50" s="44">
        <f>AO$5*IF(AO$4&gt;=Teams!$D$80,AO37/1000*IF(AO$4-Teams!$D$80&lt;6,Params!$D$37,Params!$D$38)*Org!$B$10*Org!$B$12/12,0)</f>
        <v>0</v>
      </c>
      <c r="AP50" s="44">
        <f>AP$5*IF(AP$4&gt;=Teams!$D$80,AP37/1000*IF(AP$4-Teams!$D$80&lt;6,Params!$D$37,Params!$D$38)*Org!$B$10*Org!$B$12/12,0)</f>
        <v>0</v>
      </c>
      <c r="AQ50" s="44">
        <f>AQ$5*IF(AQ$4&gt;=Teams!$D$80,AQ37/1000*IF(AQ$4-Teams!$D$80&lt;6,Params!$D$37,Params!$D$38)*Org!$B$10*Org!$B$12/12,0)</f>
        <v>0</v>
      </c>
      <c r="AR50" s="44">
        <f>AR$5*IF(AR$4&gt;=Teams!$D$80,AR37/1000*IF(AR$4-Teams!$D$80&lt;6,Params!$D$37,Params!$D$38)*Org!$B$10*Org!$B$12/12,0)</f>
        <v>0</v>
      </c>
      <c r="AS50" s="44">
        <f>AS$5*IF(AS$4&gt;=Teams!$D$80,AS37/1000*IF(AS$4-Teams!$D$80&lt;6,Params!$D$37,Params!$D$38)*Org!$B$10*Org!$B$12/12,0)</f>
        <v>0</v>
      </c>
      <c r="AT50" s="44">
        <f>AT$5*IF(AT$4&gt;=Teams!$D$80,AT37/1000*IF(AT$4-Teams!$D$80&lt;6,Params!$D$37,Params!$D$38)*Org!$B$10*Org!$B$12/12,0)</f>
        <v>0</v>
      </c>
      <c r="AU50" s="44">
        <f>AU$5*IF(AU$4&gt;=Teams!$D$80,AU37/1000*IF(AU$4-Teams!$D$80&lt;6,Params!$D$37,Params!$D$38)*Org!$B$10*Org!$B$12/12,0)</f>
        <v>0</v>
      </c>
      <c r="AV50" s="44">
        <f>AV$5*IF(AV$4&gt;=Teams!$D$80,AV37/1000*IF(AV$4-Teams!$D$80&lt;6,Params!$D$37,Params!$D$38)*Org!$B$10*Org!$B$12/12,0)</f>
        <v>0</v>
      </c>
      <c r="AW50" s="44">
        <f>AW$5*IF(AW$4&gt;=Teams!$D$80,AW37/1000*IF(AW$4-Teams!$D$80&lt;6,Params!$D$37,Params!$D$38)*Org!$B$10*Org!$B$12/12,0)</f>
        <v>0</v>
      </c>
      <c r="AX50" s="44">
        <f>AX$5*IF(AX$4&gt;=Teams!$D$80,AX37/1000*IF(AX$4-Teams!$D$80&lt;6,Params!$D$37,Params!$D$38)*Org!$B$10*Org!$B$12/12,0)</f>
        <v>0</v>
      </c>
      <c r="AY50" s="44">
        <f>AY$5*IF(AY$4&gt;=Teams!$D$80,AY37/1000*IF(AY$4-Teams!$D$80&lt;6,Params!$D$37,Params!$D$38)*Org!$B$10*Org!$B$12/12,0)</f>
        <v>0</v>
      </c>
      <c r="AZ50" s="44">
        <f>AZ$5*IF(AZ$4&gt;=Teams!$D$80,AZ37/1000*IF(AZ$4-Teams!$D$80&lt;6,Params!$D$37,Params!$D$38)*Org!$B$10*Org!$B$12/12,0)</f>
        <v>0</v>
      </c>
      <c r="BA50" s="44">
        <f>BA$5*IF(BA$4&gt;=Teams!$D$80,BA37/1000*IF(BA$4-Teams!$D$80&lt;6,Params!$D$37,Params!$D$38)*Org!$B$10*Org!$B$12/12,0)</f>
        <v>0</v>
      </c>
      <c r="BB50" s="44">
        <f>BB$5*IF(BB$4&gt;=Teams!$D$80,BB37/1000*IF(BB$4-Teams!$D$80&lt;6,Params!$D$37,Params!$D$38)*Org!$B$10*Org!$B$12/12,0)</f>
        <v>0</v>
      </c>
      <c r="BC50" s="44">
        <f>BC$5*IF(BC$4&gt;=Teams!$D$80,BC37/1000*IF(BC$4-Teams!$D$80&lt;6,Params!$D$37,Params!$D$38)*Org!$B$10*Org!$B$12/12,0)</f>
        <v>0</v>
      </c>
      <c r="BD50" s="44">
        <f>BD$5*IF(BD$4&gt;=Teams!$D$80,BD37/1000*IF(BD$4-Teams!$D$80&lt;6,Params!$D$37,Params!$D$38)*Org!$B$10*Org!$B$12/12,0)</f>
        <v>0</v>
      </c>
      <c r="BE50" s="44">
        <f>BE$5*IF(BE$4&gt;=Teams!$D$80,BE37/1000*IF(BE$4-Teams!$D$80&lt;6,Params!$D$37,Params!$D$38)*Org!$B$10*Org!$B$12/12,0)</f>
        <v>0</v>
      </c>
      <c r="BF50" s="44">
        <f>BF$5*IF(BF$4&gt;=Teams!$D$80,BF37/1000*IF(BF$4-Teams!$D$80&lt;6,Params!$D$37,Params!$D$38)*Org!$B$10*Org!$B$12/12,0)</f>
        <v>0</v>
      </c>
      <c r="BG50" s="44">
        <f>BG$5*IF(BG$4&gt;=Teams!$D$80,BG37/1000*IF(BG$4-Teams!$D$80&lt;6,Params!$D$37,Params!$D$38)*Org!$B$10*Org!$B$12/12,0)</f>
        <v>0</v>
      </c>
      <c r="BH50" s="44">
        <f>BH$5*IF(BH$4&gt;=Teams!$D$80,BH37/1000*IF(BH$4-Teams!$D$80&lt;6,Params!$D$37,Params!$D$38)*Org!$B$10*Org!$B$12/12,0)</f>
        <v>0</v>
      </c>
      <c r="BI50" s="44">
        <f>BI$5*IF(BI$4&gt;=Teams!$D$80,BI37/1000*IF(BI$4-Teams!$D$80&lt;6,Params!$D$37,Params!$D$38)*Org!$B$10*Org!$B$12/12,0)</f>
        <v>0</v>
      </c>
      <c r="BJ50" s="44">
        <f>BJ$5*IF(BJ$4&gt;=Teams!$D$80,BJ37/1000*IF(BJ$4-Teams!$D$80&lt;6,Params!$D$37,Params!$D$38)*Org!$B$10*Org!$B$12/12,0)</f>
        <v>0</v>
      </c>
      <c r="BK50" s="44">
        <f>BK$5*IF(BK$4&gt;=Teams!$D$80,BK37/1000*IF(BK$4-Teams!$D$80&lt;6,Params!$D$37,Params!$D$38)*Org!$B$10*Org!$B$12/12,0)</f>
        <v>0</v>
      </c>
      <c r="BL50" s="44">
        <f>BL$5*IF(BL$4&gt;=Teams!$D$80,BL37/1000*IF(BL$4-Teams!$D$80&lt;6,Params!$D$37,Params!$D$38)*Org!$B$10*Org!$B$12/12,0)</f>
        <v>0</v>
      </c>
    </row>
    <row r="51" spans="1:64" x14ac:dyDescent="0.3">
      <c r="A51" s="8" t="s">
        <v>676</v>
      </c>
      <c r="B51" s="18" t="s">
        <v>169</v>
      </c>
      <c r="C51" s="44">
        <f t="shared" si="11"/>
        <v>11600</v>
      </c>
      <c r="D51" s="44">
        <f>Teams!$D$5*((Teams!$D$43*Params!$D$4+Teams!$D$44/100000*Params!$D$5+Teams!$D$43*Params!$D$6)*Org!$B$10)</f>
        <v>11600</v>
      </c>
    </row>
    <row r="52" spans="1:64" x14ac:dyDescent="0.3">
      <c r="A52" s="8" t="s">
        <v>677</v>
      </c>
      <c r="B52" s="18" t="s">
        <v>435</v>
      </c>
      <c r="C52" s="44">
        <f t="shared" si="11"/>
        <v>251</v>
      </c>
      <c r="D52" s="44">
        <f>Teams!$D$5*(Teams!$D$49*(Teams!$D$44*Teams!$D$45*Teams!$D$75+Teams!$D$44*Teams!$D$47*Teams!$D$76/1000000))</f>
        <v>251</v>
      </c>
    </row>
    <row r="53" spans="1:64" x14ac:dyDescent="0.3">
      <c r="A53" s="8" t="s">
        <v>678</v>
      </c>
      <c r="B53" s="18" t="s">
        <v>169</v>
      </c>
      <c r="C53" s="44">
        <f t="shared" si="11"/>
        <v>18400</v>
      </c>
      <c r="D53" s="44">
        <f>Teams!$D$5*((Params!$D$13+Params!$D$16)*Org!$B$10)</f>
        <v>18400</v>
      </c>
    </row>
    <row r="54" spans="1:64" x14ac:dyDescent="0.3">
      <c r="A54" s="8" t="s">
        <v>679</v>
      </c>
      <c r="B54" s="18" t="s">
        <v>169</v>
      </c>
      <c r="C54" s="44">
        <f t="shared" si="11"/>
        <v>64000</v>
      </c>
      <c r="D54" s="44">
        <f>Teams!$D$5*(Teams!$D$18*Teams!$D$19*Params!$D$34*(Org!$B$10/Org!$B$11))</f>
        <v>64000</v>
      </c>
    </row>
    <row r="55" spans="1:64" x14ac:dyDescent="0.3">
      <c r="A55" s="8" t="s">
        <v>11</v>
      </c>
      <c r="C55" s="44">
        <f t="shared" si="11"/>
        <v>13763200.000000006</v>
      </c>
      <c r="E55" s="44">
        <f>E$5*E39*Teams!$D$55/60*Teams!$D$56*INDEX(Params!$D$41:$F$41,Org!$B$17)*Teams!$D$57</f>
        <v>99733.333333333343</v>
      </c>
      <c r="F55" s="44">
        <f>F$5*F39*Teams!$D$55/60*Teams!$D$56*INDEX(Params!$D$41:$F$41,Org!$B$17)*Teams!$D$57</f>
        <v>199466.66666666669</v>
      </c>
      <c r="G55" s="44">
        <f>G$5*G39*Teams!$D$55/60*Teams!$D$56*INDEX(Params!$D$41:$F$41,Org!$B$17)*Teams!$D$57</f>
        <v>299200</v>
      </c>
      <c r="H55" s="44">
        <f>H$5*H39*Teams!$D$55/60*Teams!$D$56*INDEX(Params!$D$41:$F$41,Org!$B$17)*Teams!$D$57</f>
        <v>398933.33333333337</v>
      </c>
      <c r="I55" s="44">
        <f>I$5*I39*Teams!$D$55/60*Teams!$D$56*INDEX(Params!$D$41:$F$41,Org!$B$17)*Teams!$D$57</f>
        <v>398933.33333333337</v>
      </c>
      <c r="J55" s="44">
        <f>J$5*J39*Teams!$D$55/60*Teams!$D$56*INDEX(Params!$D$41:$F$41,Org!$B$17)*Teams!$D$57</f>
        <v>398933.33333333337</v>
      </c>
      <c r="K55" s="44">
        <f>K$5*K39*Teams!$D$55/60*Teams!$D$56*INDEX(Params!$D$41:$F$41,Org!$B$17)*Teams!$D$57</f>
        <v>398933.33333333337</v>
      </c>
      <c r="L55" s="44">
        <f>L$5*L39*Teams!$D$55/60*Teams!$D$56*INDEX(Params!$D$41:$F$41,Org!$B$17)*Teams!$D$57</f>
        <v>398933.33333333337</v>
      </c>
      <c r="M55" s="44">
        <f>M$5*M39*Teams!$D$55/60*Teams!$D$56*INDEX(Params!$D$41:$F$41,Org!$B$17)*Teams!$D$57</f>
        <v>398933.33333333337</v>
      </c>
      <c r="N55" s="44">
        <f>N$5*N39*Teams!$D$55/60*Teams!$D$56*INDEX(Params!$D$41:$F$41,Org!$B$17)*Teams!$D$57</f>
        <v>398933.33333333337</v>
      </c>
      <c r="O55" s="44">
        <f>O$5*O39*Teams!$D$55/60*Teams!$D$56*INDEX(Params!$D$41:$F$41,Org!$B$17)*Teams!$D$57</f>
        <v>398933.33333333337</v>
      </c>
      <c r="P55" s="44">
        <f>P$5*P39*Teams!$D$55/60*Teams!$D$56*INDEX(Params!$D$41:$F$41,Org!$B$17)*Teams!$D$57</f>
        <v>398933.33333333337</v>
      </c>
      <c r="Q55" s="44">
        <f>Q$5*Q39*Teams!$D$55/60*Teams!$D$56*INDEX(Params!$D$41:$F$41,Org!$B$17)*Teams!$D$57</f>
        <v>398933.33333333337</v>
      </c>
      <c r="R55" s="44">
        <f>R$5*R39*Teams!$D$55/60*Teams!$D$56*INDEX(Params!$D$41:$F$41,Org!$B$17)*Teams!$D$57</f>
        <v>398933.33333333337</v>
      </c>
      <c r="S55" s="44">
        <f>S$5*S39*Teams!$D$55/60*Teams!$D$56*INDEX(Params!$D$41:$F$41,Org!$B$17)*Teams!$D$57</f>
        <v>398933.33333333337</v>
      </c>
      <c r="T55" s="44">
        <f>T$5*T39*Teams!$D$55/60*Teams!$D$56*INDEX(Params!$D$41:$F$41,Org!$B$17)*Teams!$D$57</f>
        <v>398933.33333333337</v>
      </c>
      <c r="U55" s="44">
        <f>U$5*U39*Teams!$D$55/60*Teams!$D$56*INDEX(Params!$D$41:$F$41,Org!$B$17)*Teams!$D$57</f>
        <v>398933.33333333337</v>
      </c>
      <c r="V55" s="44">
        <f>V$5*V39*Teams!$D$55/60*Teams!$D$56*INDEX(Params!$D$41:$F$41,Org!$B$17)*Teams!$D$57</f>
        <v>398933.33333333337</v>
      </c>
      <c r="W55" s="44">
        <f>W$5*W39*Teams!$D$55/60*Teams!$D$56*INDEX(Params!$D$41:$F$41,Org!$B$17)*Teams!$D$57</f>
        <v>398933.33333333337</v>
      </c>
      <c r="X55" s="44">
        <f>X$5*X39*Teams!$D$55/60*Teams!$D$56*INDEX(Params!$D$41:$F$41,Org!$B$17)*Teams!$D$57</f>
        <v>398933.33333333337</v>
      </c>
      <c r="Y55" s="44">
        <f>Y$5*Y39*Teams!$D$55/60*Teams!$D$56*INDEX(Params!$D$41:$F$41,Org!$B$17)*Teams!$D$57</f>
        <v>398933.33333333337</v>
      </c>
      <c r="Z55" s="44">
        <f>Z$5*Z39*Teams!$D$55/60*Teams!$D$56*INDEX(Params!$D$41:$F$41,Org!$B$17)*Teams!$D$57</f>
        <v>398933.33333333337</v>
      </c>
      <c r="AA55" s="44">
        <f>AA$5*AA39*Teams!$D$55/60*Teams!$D$56*INDEX(Params!$D$41:$F$41,Org!$B$17)*Teams!$D$57</f>
        <v>398933.33333333337</v>
      </c>
      <c r="AB55" s="44">
        <f>AB$5*AB39*Teams!$D$55/60*Teams!$D$56*INDEX(Params!$D$41:$F$41,Org!$B$17)*Teams!$D$57</f>
        <v>398933.33333333337</v>
      </c>
      <c r="AC55" s="44">
        <f>AC$5*AC39*Teams!$D$55/60*Teams!$D$56*INDEX(Params!$D$41:$F$41,Org!$B$17)*Teams!$D$57</f>
        <v>398933.33333333337</v>
      </c>
      <c r="AD55" s="44">
        <f>AD$5*AD39*Teams!$D$55/60*Teams!$D$56*INDEX(Params!$D$41:$F$41,Org!$B$17)*Teams!$D$57</f>
        <v>398933.33333333337</v>
      </c>
      <c r="AE55" s="44">
        <f>AE$5*AE39*Teams!$D$55/60*Teams!$D$56*INDEX(Params!$D$41:$F$41,Org!$B$17)*Teams!$D$57</f>
        <v>398933.33333333337</v>
      </c>
      <c r="AF55" s="44">
        <f>AF$5*AF39*Teams!$D$55/60*Teams!$D$56*INDEX(Params!$D$41:$F$41,Org!$B$17)*Teams!$D$57</f>
        <v>398933.33333333337</v>
      </c>
      <c r="AG55" s="44">
        <f>AG$5*AG39*Teams!$D$55/60*Teams!$D$56*INDEX(Params!$D$41:$F$41,Org!$B$17)*Teams!$D$57</f>
        <v>398933.33333333337</v>
      </c>
      <c r="AH55" s="44">
        <f>AH$5*AH39*Teams!$D$55/60*Teams!$D$56*INDEX(Params!$D$41:$F$41,Org!$B$17)*Teams!$D$57</f>
        <v>398933.33333333337</v>
      </c>
      <c r="AI55" s="44">
        <f>AI$5*AI39*Teams!$D$55/60*Teams!$D$56*INDEX(Params!$D$41:$F$41,Org!$B$17)*Teams!$D$57</f>
        <v>398933.33333333337</v>
      </c>
      <c r="AJ55" s="44">
        <f>AJ$5*AJ39*Teams!$D$55/60*Teams!$D$56*INDEX(Params!$D$41:$F$41,Org!$B$17)*Teams!$D$57</f>
        <v>398933.33333333337</v>
      </c>
      <c r="AK55" s="44">
        <f>AK$5*AK39*Teams!$D$55/60*Teams!$D$56*INDEX(Params!$D$41:$F$41,Org!$B$17)*Teams!$D$57</f>
        <v>398933.33333333337</v>
      </c>
      <c r="AL55" s="44">
        <f>AL$5*AL39*Teams!$D$55/60*Teams!$D$56*INDEX(Params!$D$41:$F$41,Org!$B$17)*Teams!$D$57</f>
        <v>398933.33333333337</v>
      </c>
      <c r="AM55" s="44">
        <f>AM$5*AM39*Teams!$D$55/60*Teams!$D$56*INDEX(Params!$D$41:$F$41,Org!$B$17)*Teams!$D$57</f>
        <v>398933.33333333337</v>
      </c>
      <c r="AN55" s="44">
        <f>AN$5*AN39*Teams!$D$55/60*Teams!$D$56*INDEX(Params!$D$41:$F$41,Org!$B$17)*Teams!$D$57</f>
        <v>398933.33333333337</v>
      </c>
      <c r="AO55" s="44">
        <f>AO$5*AO39*Teams!$D$55/60*Teams!$D$56*INDEX(Params!$D$41:$F$41,Org!$B$17)*Teams!$D$57</f>
        <v>0</v>
      </c>
      <c r="AP55" s="44">
        <f>AP$5*AP39*Teams!$D$55/60*Teams!$D$56*INDEX(Params!$D$41:$F$41,Org!$B$17)*Teams!$D$57</f>
        <v>0</v>
      </c>
      <c r="AQ55" s="44">
        <f>AQ$5*AQ39*Teams!$D$55/60*Teams!$D$56*INDEX(Params!$D$41:$F$41,Org!$B$17)*Teams!$D$57</f>
        <v>0</v>
      </c>
      <c r="AR55" s="44">
        <f>AR$5*AR39*Teams!$D$55/60*Teams!$D$56*INDEX(Params!$D$41:$F$41,Org!$B$17)*Teams!$D$57</f>
        <v>0</v>
      </c>
      <c r="AS55" s="44">
        <f>AS$5*AS39*Teams!$D$55/60*Teams!$D$56*INDEX(Params!$D$41:$F$41,Org!$B$17)*Teams!$D$57</f>
        <v>0</v>
      </c>
      <c r="AT55" s="44">
        <f>AT$5*AT39*Teams!$D$55/60*Teams!$D$56*INDEX(Params!$D$41:$F$41,Org!$B$17)*Teams!$D$57</f>
        <v>0</v>
      </c>
      <c r="AU55" s="44">
        <f>AU$5*AU39*Teams!$D$55/60*Teams!$D$56*INDEX(Params!$D$41:$F$41,Org!$B$17)*Teams!$D$57</f>
        <v>0</v>
      </c>
      <c r="AV55" s="44">
        <f>AV$5*AV39*Teams!$D$55/60*Teams!$D$56*INDEX(Params!$D$41:$F$41,Org!$B$17)*Teams!$D$57</f>
        <v>0</v>
      </c>
      <c r="AW55" s="44">
        <f>AW$5*AW39*Teams!$D$55/60*Teams!$D$56*INDEX(Params!$D$41:$F$41,Org!$B$17)*Teams!$D$57</f>
        <v>0</v>
      </c>
      <c r="AX55" s="44">
        <f>AX$5*AX39*Teams!$D$55/60*Teams!$D$56*INDEX(Params!$D$41:$F$41,Org!$B$17)*Teams!$D$57</f>
        <v>0</v>
      </c>
      <c r="AY55" s="44">
        <f>AY$5*AY39*Teams!$D$55/60*Teams!$D$56*INDEX(Params!$D$41:$F$41,Org!$B$17)*Teams!$D$57</f>
        <v>0</v>
      </c>
      <c r="AZ55" s="44">
        <f>AZ$5*AZ39*Teams!$D$55/60*Teams!$D$56*INDEX(Params!$D$41:$F$41,Org!$B$17)*Teams!$D$57</f>
        <v>0</v>
      </c>
      <c r="BA55" s="44">
        <f>BA$5*BA39*Teams!$D$55/60*Teams!$D$56*INDEX(Params!$D$41:$F$41,Org!$B$17)*Teams!$D$57</f>
        <v>0</v>
      </c>
      <c r="BB55" s="44">
        <f>BB$5*BB39*Teams!$D$55/60*Teams!$D$56*INDEX(Params!$D$41:$F$41,Org!$B$17)*Teams!$D$57</f>
        <v>0</v>
      </c>
      <c r="BC55" s="44">
        <f>BC$5*BC39*Teams!$D$55/60*Teams!$D$56*INDEX(Params!$D$41:$F$41,Org!$B$17)*Teams!$D$57</f>
        <v>0</v>
      </c>
      <c r="BD55" s="44">
        <f>BD$5*BD39*Teams!$D$55/60*Teams!$D$56*INDEX(Params!$D$41:$F$41,Org!$B$17)*Teams!$D$57</f>
        <v>0</v>
      </c>
      <c r="BE55" s="44">
        <f>BE$5*BE39*Teams!$D$55/60*Teams!$D$56*INDEX(Params!$D$41:$F$41,Org!$B$17)*Teams!$D$57</f>
        <v>0</v>
      </c>
      <c r="BF55" s="44">
        <f>BF$5*BF39*Teams!$D$55/60*Teams!$D$56*INDEX(Params!$D$41:$F$41,Org!$B$17)*Teams!$D$57</f>
        <v>0</v>
      </c>
      <c r="BG55" s="44">
        <f>BG$5*BG39*Teams!$D$55/60*Teams!$D$56*INDEX(Params!$D$41:$F$41,Org!$B$17)*Teams!$D$57</f>
        <v>0</v>
      </c>
      <c r="BH55" s="44">
        <f>BH$5*BH39*Teams!$D$55/60*Teams!$D$56*INDEX(Params!$D$41:$F$41,Org!$B$17)*Teams!$D$57</f>
        <v>0</v>
      </c>
      <c r="BI55" s="44">
        <f>BI$5*BI39*Teams!$D$55/60*Teams!$D$56*INDEX(Params!$D$41:$F$41,Org!$B$17)*Teams!$D$57</f>
        <v>0</v>
      </c>
      <c r="BJ55" s="44">
        <f>BJ$5*BJ39*Teams!$D$55/60*Teams!$D$56*INDEX(Params!$D$41:$F$41,Org!$B$17)*Teams!$D$57</f>
        <v>0</v>
      </c>
      <c r="BK55" s="44">
        <f>BK$5*BK39*Teams!$D$55/60*Teams!$D$56*INDEX(Params!$D$41:$F$41,Org!$B$17)*Teams!$D$57</f>
        <v>0</v>
      </c>
      <c r="BL55" s="44">
        <f>BL$5*BL39*Teams!$D$55/60*Teams!$D$56*INDEX(Params!$D$41:$F$41,Org!$B$17)*Teams!$D$57</f>
        <v>0</v>
      </c>
    </row>
    <row r="56" spans="1:64" x14ac:dyDescent="0.3">
      <c r="A56" s="8" t="s">
        <v>701</v>
      </c>
      <c r="C56" s="44">
        <f t="shared" si="11"/>
        <v>1358034.1331199994</v>
      </c>
      <c r="D56" s="44">
        <f t="shared" ref="D56:AI56" si="12">SUM(D40:D54)</f>
        <v>94251</v>
      </c>
      <c r="E56" s="44">
        <f t="shared" si="12"/>
        <v>16840.040239999998</v>
      </c>
      <c r="F56" s="44">
        <f t="shared" si="12"/>
        <v>23614.370480000001</v>
      </c>
      <c r="G56" s="44">
        <f t="shared" si="12"/>
        <v>30388.700719999997</v>
      </c>
      <c r="H56" s="44">
        <f t="shared" si="12"/>
        <v>37163.030959999996</v>
      </c>
      <c r="I56" s="44">
        <f t="shared" si="12"/>
        <v>37163.030959999996</v>
      </c>
      <c r="J56" s="44">
        <f t="shared" si="12"/>
        <v>37163.030959999996</v>
      </c>
      <c r="K56" s="44">
        <f t="shared" si="12"/>
        <v>35989.697626666668</v>
      </c>
      <c r="L56" s="44">
        <f t="shared" si="12"/>
        <v>35989.697626666668</v>
      </c>
      <c r="M56" s="44">
        <f t="shared" si="12"/>
        <v>35989.697626666668</v>
      </c>
      <c r="N56" s="44">
        <f t="shared" si="12"/>
        <v>35989.697626666668</v>
      </c>
      <c r="O56" s="44">
        <f t="shared" si="12"/>
        <v>35989.697626666668</v>
      </c>
      <c r="P56" s="44">
        <f t="shared" si="12"/>
        <v>35989.697626666668</v>
      </c>
      <c r="Q56" s="44">
        <f t="shared" si="12"/>
        <v>35989.697626666668</v>
      </c>
      <c r="R56" s="44">
        <f t="shared" si="12"/>
        <v>35989.697626666668</v>
      </c>
      <c r="S56" s="44">
        <f t="shared" si="12"/>
        <v>35989.697626666668</v>
      </c>
      <c r="T56" s="44">
        <f t="shared" si="12"/>
        <v>35989.697626666668</v>
      </c>
      <c r="U56" s="44">
        <f t="shared" si="12"/>
        <v>35989.697626666668</v>
      </c>
      <c r="V56" s="44">
        <f t="shared" si="12"/>
        <v>35989.697626666668</v>
      </c>
      <c r="W56" s="44">
        <f t="shared" si="12"/>
        <v>35989.697626666668</v>
      </c>
      <c r="X56" s="44">
        <f t="shared" si="12"/>
        <v>35989.697626666668</v>
      </c>
      <c r="Y56" s="44">
        <f t="shared" si="12"/>
        <v>35989.697626666668</v>
      </c>
      <c r="Z56" s="44">
        <f t="shared" si="12"/>
        <v>35989.697626666668</v>
      </c>
      <c r="AA56" s="44">
        <f t="shared" si="12"/>
        <v>35989.697626666668</v>
      </c>
      <c r="AB56" s="44">
        <f t="shared" si="12"/>
        <v>35989.697626666668</v>
      </c>
      <c r="AC56" s="44">
        <f t="shared" si="12"/>
        <v>35989.697626666668</v>
      </c>
      <c r="AD56" s="44">
        <f t="shared" si="12"/>
        <v>37749.697626666668</v>
      </c>
      <c r="AE56" s="44">
        <f t="shared" si="12"/>
        <v>35989.697626666668</v>
      </c>
      <c r="AF56" s="44">
        <f t="shared" si="12"/>
        <v>35989.697626666668</v>
      </c>
      <c r="AG56" s="44">
        <f t="shared" si="12"/>
        <v>35989.697626666668</v>
      </c>
      <c r="AH56" s="44">
        <f t="shared" si="12"/>
        <v>35989.697626666668</v>
      </c>
      <c r="AI56" s="44">
        <f t="shared" si="12"/>
        <v>35989.697626666668</v>
      </c>
      <c r="AJ56" s="44">
        <f t="shared" ref="AJ56:BL56" si="13">SUM(AJ40:AJ54)</f>
        <v>35989.697626666668</v>
      </c>
      <c r="AK56" s="44">
        <f t="shared" si="13"/>
        <v>35989.697626666668</v>
      </c>
      <c r="AL56" s="44">
        <f t="shared" si="13"/>
        <v>35989.697626666668</v>
      </c>
      <c r="AM56" s="44">
        <f t="shared" si="13"/>
        <v>35989.697626666668</v>
      </c>
      <c r="AN56" s="44">
        <f t="shared" si="13"/>
        <v>35989.697626666668</v>
      </c>
      <c r="AO56" s="44">
        <f t="shared" si="13"/>
        <v>0</v>
      </c>
      <c r="AP56" s="44">
        <f t="shared" si="13"/>
        <v>0</v>
      </c>
      <c r="AQ56" s="44">
        <f t="shared" si="13"/>
        <v>0</v>
      </c>
      <c r="AR56" s="44">
        <f t="shared" si="13"/>
        <v>0</v>
      </c>
      <c r="AS56" s="44">
        <f t="shared" si="13"/>
        <v>0</v>
      </c>
      <c r="AT56" s="44">
        <f t="shared" si="13"/>
        <v>0</v>
      </c>
      <c r="AU56" s="44">
        <f t="shared" si="13"/>
        <v>0</v>
      </c>
      <c r="AV56" s="44">
        <f t="shared" si="13"/>
        <v>0</v>
      </c>
      <c r="AW56" s="44">
        <f t="shared" si="13"/>
        <v>0</v>
      </c>
      <c r="AX56" s="44">
        <f t="shared" si="13"/>
        <v>0</v>
      </c>
      <c r="AY56" s="44">
        <f t="shared" si="13"/>
        <v>0</v>
      </c>
      <c r="AZ56" s="44">
        <f t="shared" si="13"/>
        <v>0</v>
      </c>
      <c r="BA56" s="44">
        <f t="shared" si="13"/>
        <v>0</v>
      </c>
      <c r="BB56" s="44">
        <f t="shared" si="13"/>
        <v>0</v>
      </c>
      <c r="BC56" s="44">
        <f t="shared" si="13"/>
        <v>0</v>
      </c>
      <c r="BD56" s="44">
        <f t="shared" si="13"/>
        <v>0</v>
      </c>
      <c r="BE56" s="44">
        <f t="shared" si="13"/>
        <v>0</v>
      </c>
      <c r="BF56" s="44">
        <f t="shared" si="13"/>
        <v>0</v>
      </c>
      <c r="BG56" s="44">
        <f t="shared" si="13"/>
        <v>0</v>
      </c>
      <c r="BH56" s="44">
        <f t="shared" si="13"/>
        <v>0</v>
      </c>
      <c r="BI56" s="44">
        <f t="shared" si="13"/>
        <v>0</v>
      </c>
      <c r="BJ56" s="44">
        <f t="shared" si="13"/>
        <v>0</v>
      </c>
      <c r="BK56" s="44">
        <f t="shared" si="13"/>
        <v>0</v>
      </c>
      <c r="BL56" s="44">
        <f t="shared" si="13"/>
        <v>0</v>
      </c>
    </row>
    <row r="57" spans="1:64" x14ac:dyDescent="0.3">
      <c r="A57" s="8" t="s">
        <v>702</v>
      </c>
      <c r="C57" s="44">
        <f t="shared" si="11"/>
        <v>727287.00843512302</v>
      </c>
      <c r="D57" s="44">
        <f t="shared" ref="D57:AI57" si="14">$C$169*D158</f>
        <v>41582.194712409051</v>
      </c>
      <c r="E57" s="44">
        <f t="shared" si="14"/>
        <v>19004.880387185989</v>
      </c>
      <c r="F57" s="44">
        <f t="shared" si="14"/>
        <v>19014.810142048678</v>
      </c>
      <c r="G57" s="44">
        <f t="shared" si="14"/>
        <v>19027.0305298112</v>
      </c>
      <c r="H57" s="44">
        <f t="shared" si="14"/>
        <v>19039.837811319263</v>
      </c>
      <c r="I57" s="44">
        <f t="shared" si="14"/>
        <v>19046.62654993726</v>
      </c>
      <c r="J57" s="44">
        <f t="shared" si="14"/>
        <v>19050.096415538657</v>
      </c>
      <c r="K57" s="44">
        <f t="shared" si="14"/>
        <v>19050.717729562442</v>
      </c>
      <c r="L57" s="44">
        <f t="shared" si="14"/>
        <v>19050.717729562442</v>
      </c>
      <c r="M57" s="44">
        <f t="shared" si="14"/>
        <v>19050.717729562442</v>
      </c>
      <c r="N57" s="44">
        <f t="shared" si="14"/>
        <v>19050.717729562442</v>
      </c>
      <c r="O57" s="44">
        <f t="shared" si="14"/>
        <v>19050.717729562442</v>
      </c>
      <c r="P57" s="44">
        <f t="shared" si="14"/>
        <v>19050.717729562442</v>
      </c>
      <c r="Q57" s="44">
        <f t="shared" si="14"/>
        <v>19050.717729562442</v>
      </c>
      <c r="R57" s="44">
        <f t="shared" si="14"/>
        <v>19050.717729562442</v>
      </c>
      <c r="S57" s="44">
        <f t="shared" si="14"/>
        <v>19050.717729562442</v>
      </c>
      <c r="T57" s="44">
        <f t="shared" si="14"/>
        <v>19050.717729562442</v>
      </c>
      <c r="U57" s="44">
        <f t="shared" si="14"/>
        <v>19050.717729562442</v>
      </c>
      <c r="V57" s="44">
        <f t="shared" si="14"/>
        <v>19050.717729562442</v>
      </c>
      <c r="W57" s="44">
        <f t="shared" si="14"/>
        <v>19050.717729562442</v>
      </c>
      <c r="X57" s="44">
        <f t="shared" si="14"/>
        <v>19050.717729562442</v>
      </c>
      <c r="Y57" s="44">
        <f t="shared" si="14"/>
        <v>19050.717729562442</v>
      </c>
      <c r="Z57" s="44">
        <f t="shared" si="14"/>
        <v>19050.717729562442</v>
      </c>
      <c r="AA57" s="44">
        <f t="shared" si="14"/>
        <v>19050.717729562442</v>
      </c>
      <c r="AB57" s="44">
        <f t="shared" si="14"/>
        <v>19050.717729562442</v>
      </c>
      <c r="AC57" s="44">
        <f t="shared" si="14"/>
        <v>19050.717729562442</v>
      </c>
      <c r="AD57" s="44">
        <f t="shared" si="14"/>
        <v>19050.717729562442</v>
      </c>
      <c r="AE57" s="44">
        <f t="shared" si="14"/>
        <v>19050.717729562442</v>
      </c>
      <c r="AF57" s="44">
        <f t="shared" si="14"/>
        <v>19050.717729562442</v>
      </c>
      <c r="AG57" s="44">
        <f t="shared" si="14"/>
        <v>19050.717729562442</v>
      </c>
      <c r="AH57" s="44">
        <f t="shared" si="14"/>
        <v>19050.717729562442</v>
      </c>
      <c r="AI57" s="44">
        <f t="shared" si="14"/>
        <v>19050.717729562442</v>
      </c>
      <c r="AJ57" s="44">
        <f t="shared" ref="AJ57:BL57" si="15">$C$169*AJ158</f>
        <v>19050.717729562442</v>
      </c>
      <c r="AK57" s="44">
        <f t="shared" si="15"/>
        <v>19050.717729562442</v>
      </c>
      <c r="AL57" s="44">
        <f t="shared" si="15"/>
        <v>19050.717729562442</v>
      </c>
      <c r="AM57" s="44">
        <f t="shared" si="15"/>
        <v>19050.717729562442</v>
      </c>
      <c r="AN57" s="44">
        <f t="shared" si="15"/>
        <v>19050.717729562442</v>
      </c>
      <c r="AO57" s="44">
        <f t="shared" si="15"/>
        <v>0</v>
      </c>
      <c r="AP57" s="44">
        <f t="shared" si="15"/>
        <v>0</v>
      </c>
      <c r="AQ57" s="44">
        <f t="shared" si="15"/>
        <v>0</v>
      </c>
      <c r="AR57" s="44">
        <f t="shared" si="15"/>
        <v>0</v>
      </c>
      <c r="AS57" s="44">
        <f t="shared" si="15"/>
        <v>0</v>
      </c>
      <c r="AT57" s="44">
        <f t="shared" si="15"/>
        <v>0</v>
      </c>
      <c r="AU57" s="44">
        <f t="shared" si="15"/>
        <v>0</v>
      </c>
      <c r="AV57" s="44">
        <f t="shared" si="15"/>
        <v>0</v>
      </c>
      <c r="AW57" s="44">
        <f t="shared" si="15"/>
        <v>0</v>
      </c>
      <c r="AX57" s="44">
        <f t="shared" si="15"/>
        <v>0</v>
      </c>
      <c r="AY57" s="44">
        <f t="shared" si="15"/>
        <v>0</v>
      </c>
      <c r="AZ57" s="44">
        <f t="shared" si="15"/>
        <v>0</v>
      </c>
      <c r="BA57" s="44">
        <f t="shared" si="15"/>
        <v>0</v>
      </c>
      <c r="BB57" s="44">
        <f t="shared" si="15"/>
        <v>0</v>
      </c>
      <c r="BC57" s="44">
        <f t="shared" si="15"/>
        <v>0</v>
      </c>
      <c r="BD57" s="44">
        <f t="shared" si="15"/>
        <v>0</v>
      </c>
      <c r="BE57" s="44">
        <f t="shared" si="15"/>
        <v>0</v>
      </c>
      <c r="BF57" s="44">
        <f t="shared" si="15"/>
        <v>0</v>
      </c>
      <c r="BG57" s="44">
        <f t="shared" si="15"/>
        <v>0</v>
      </c>
      <c r="BH57" s="44">
        <f t="shared" si="15"/>
        <v>0</v>
      </c>
      <c r="BI57" s="44">
        <f t="shared" si="15"/>
        <v>0</v>
      </c>
      <c r="BJ57" s="44">
        <f t="shared" si="15"/>
        <v>0</v>
      </c>
      <c r="BK57" s="44">
        <f t="shared" si="15"/>
        <v>0</v>
      </c>
      <c r="BL57" s="44">
        <f t="shared" si="15"/>
        <v>0</v>
      </c>
    </row>
    <row r="58" spans="1:64" x14ac:dyDescent="0.3">
      <c r="A58" s="8" t="s">
        <v>1012</v>
      </c>
      <c r="C58" s="44">
        <f t="shared" si="11"/>
        <v>11677878.858444873</v>
      </c>
      <c r="D58" s="44">
        <f t="shared" ref="D58:AI58" si="16">D55-D56-D57</f>
        <v>-135833.19471240905</v>
      </c>
      <c r="E58" s="44">
        <f t="shared" si="16"/>
        <v>63888.412706147355</v>
      </c>
      <c r="F58" s="44">
        <f t="shared" si="16"/>
        <v>156837.48604461801</v>
      </c>
      <c r="G58" s="44">
        <f t="shared" si="16"/>
        <v>249784.26875018878</v>
      </c>
      <c r="H58" s="44">
        <f t="shared" si="16"/>
        <v>342730.46456201409</v>
      </c>
      <c r="I58" s="44">
        <f t="shared" si="16"/>
        <v>342723.67582339613</v>
      </c>
      <c r="J58" s="44">
        <f t="shared" si="16"/>
        <v>342720.20595779474</v>
      </c>
      <c r="K58" s="44">
        <f t="shared" si="16"/>
        <v>343892.91797710425</v>
      </c>
      <c r="L58" s="44">
        <f t="shared" si="16"/>
        <v>343892.91797710425</v>
      </c>
      <c r="M58" s="44">
        <f t="shared" si="16"/>
        <v>343892.91797710425</v>
      </c>
      <c r="N58" s="44">
        <f t="shared" si="16"/>
        <v>343892.91797710425</v>
      </c>
      <c r="O58" s="44">
        <f t="shared" si="16"/>
        <v>343892.91797710425</v>
      </c>
      <c r="P58" s="44">
        <f t="shared" si="16"/>
        <v>343892.91797710425</v>
      </c>
      <c r="Q58" s="44">
        <f t="shared" si="16"/>
        <v>343892.91797710425</v>
      </c>
      <c r="R58" s="44">
        <f t="shared" si="16"/>
        <v>343892.91797710425</v>
      </c>
      <c r="S58" s="44">
        <f t="shared" si="16"/>
        <v>343892.91797710425</v>
      </c>
      <c r="T58" s="44">
        <f t="shared" si="16"/>
        <v>343892.91797710425</v>
      </c>
      <c r="U58" s="44">
        <f t="shared" si="16"/>
        <v>343892.91797710425</v>
      </c>
      <c r="V58" s="44">
        <f t="shared" si="16"/>
        <v>343892.91797710425</v>
      </c>
      <c r="W58" s="44">
        <f t="shared" si="16"/>
        <v>343892.91797710425</v>
      </c>
      <c r="X58" s="44">
        <f t="shared" si="16"/>
        <v>343892.91797710425</v>
      </c>
      <c r="Y58" s="44">
        <f t="shared" si="16"/>
        <v>343892.91797710425</v>
      </c>
      <c r="Z58" s="44">
        <f t="shared" si="16"/>
        <v>343892.91797710425</v>
      </c>
      <c r="AA58" s="44">
        <f t="shared" si="16"/>
        <v>343892.91797710425</v>
      </c>
      <c r="AB58" s="44">
        <f t="shared" si="16"/>
        <v>343892.91797710425</v>
      </c>
      <c r="AC58" s="44">
        <f t="shared" si="16"/>
        <v>343892.91797710425</v>
      </c>
      <c r="AD58" s="44">
        <f t="shared" si="16"/>
        <v>342132.91797710425</v>
      </c>
      <c r="AE58" s="44">
        <f t="shared" si="16"/>
        <v>343892.91797710425</v>
      </c>
      <c r="AF58" s="44">
        <f t="shared" si="16"/>
        <v>343892.91797710425</v>
      </c>
      <c r="AG58" s="44">
        <f t="shared" si="16"/>
        <v>343892.91797710425</v>
      </c>
      <c r="AH58" s="44">
        <f t="shared" si="16"/>
        <v>343892.91797710425</v>
      </c>
      <c r="AI58" s="44">
        <f t="shared" si="16"/>
        <v>343892.91797710425</v>
      </c>
      <c r="AJ58" s="44">
        <f t="shared" ref="AJ58:BO58" si="17">AJ55-AJ56-AJ57</f>
        <v>343892.91797710425</v>
      </c>
      <c r="AK58" s="44">
        <f t="shared" si="17"/>
        <v>343892.91797710425</v>
      </c>
      <c r="AL58" s="44">
        <f t="shared" si="17"/>
        <v>343892.91797710425</v>
      </c>
      <c r="AM58" s="44">
        <f t="shared" si="17"/>
        <v>343892.91797710425</v>
      </c>
      <c r="AN58" s="44">
        <f t="shared" si="17"/>
        <v>343892.91797710425</v>
      </c>
      <c r="AO58" s="44">
        <f t="shared" si="17"/>
        <v>0</v>
      </c>
      <c r="AP58" s="44">
        <f t="shared" si="17"/>
        <v>0</v>
      </c>
      <c r="AQ58" s="44">
        <f t="shared" si="17"/>
        <v>0</v>
      </c>
      <c r="AR58" s="44">
        <f t="shared" si="17"/>
        <v>0</v>
      </c>
      <c r="AS58" s="44">
        <f t="shared" si="17"/>
        <v>0</v>
      </c>
      <c r="AT58" s="44">
        <f t="shared" si="17"/>
        <v>0</v>
      </c>
      <c r="AU58" s="44">
        <f t="shared" si="17"/>
        <v>0</v>
      </c>
      <c r="AV58" s="44">
        <f t="shared" si="17"/>
        <v>0</v>
      </c>
      <c r="AW58" s="44">
        <f t="shared" si="17"/>
        <v>0</v>
      </c>
      <c r="AX58" s="44">
        <f t="shared" si="17"/>
        <v>0</v>
      </c>
      <c r="AY58" s="44">
        <f t="shared" si="17"/>
        <v>0</v>
      </c>
      <c r="AZ58" s="44">
        <f t="shared" si="17"/>
        <v>0</v>
      </c>
      <c r="BA58" s="44">
        <f t="shared" si="17"/>
        <v>0</v>
      </c>
      <c r="BB58" s="44">
        <f t="shared" si="17"/>
        <v>0</v>
      </c>
      <c r="BC58" s="44">
        <f t="shared" si="17"/>
        <v>0</v>
      </c>
      <c r="BD58" s="44">
        <f t="shared" si="17"/>
        <v>0</v>
      </c>
      <c r="BE58" s="44">
        <f t="shared" si="17"/>
        <v>0</v>
      </c>
      <c r="BF58" s="44">
        <f t="shared" si="17"/>
        <v>0</v>
      </c>
      <c r="BG58" s="44">
        <f t="shared" si="17"/>
        <v>0</v>
      </c>
      <c r="BH58" s="44">
        <f t="shared" si="17"/>
        <v>0</v>
      </c>
      <c r="BI58" s="44">
        <f t="shared" si="17"/>
        <v>0</v>
      </c>
      <c r="BJ58" s="44">
        <f t="shared" si="17"/>
        <v>0</v>
      </c>
      <c r="BK58" s="44">
        <f t="shared" si="17"/>
        <v>0</v>
      </c>
      <c r="BL58" s="44">
        <f t="shared" si="17"/>
        <v>0</v>
      </c>
    </row>
    <row r="59" spans="1:64" x14ac:dyDescent="0.3">
      <c r="A59" s="8" t="s">
        <v>1013</v>
      </c>
      <c r="D59" s="44">
        <f>D58</f>
        <v>-135833.19471240905</v>
      </c>
      <c r="E59" s="44">
        <f t="shared" ref="E59:AJ59" si="18">D59+E58</f>
        <v>-71944.782006261696</v>
      </c>
      <c r="F59" s="44">
        <f t="shared" si="18"/>
        <v>84892.704038356314</v>
      </c>
      <c r="G59" s="44">
        <f t="shared" si="18"/>
        <v>334676.97278854507</v>
      </c>
      <c r="H59" s="44">
        <f t="shared" si="18"/>
        <v>677407.43735055916</v>
      </c>
      <c r="I59" s="44">
        <f t="shared" si="18"/>
        <v>1020131.1131739554</v>
      </c>
      <c r="J59" s="44">
        <f t="shared" si="18"/>
        <v>1362851.3191317501</v>
      </c>
      <c r="K59" s="44">
        <f t="shared" si="18"/>
        <v>1706744.2371088543</v>
      </c>
      <c r="L59" s="44">
        <f t="shared" si="18"/>
        <v>2050637.1550859585</v>
      </c>
      <c r="M59" s="44">
        <f t="shared" si="18"/>
        <v>2394530.073063063</v>
      </c>
      <c r="N59" s="44">
        <f t="shared" si="18"/>
        <v>2738422.9910401674</v>
      </c>
      <c r="O59" s="44">
        <f t="shared" si="18"/>
        <v>3082315.9090172718</v>
      </c>
      <c r="P59" s="44">
        <f t="shared" si="18"/>
        <v>3426208.8269943763</v>
      </c>
      <c r="Q59" s="44">
        <f t="shared" si="18"/>
        <v>3770101.7449714807</v>
      </c>
      <c r="R59" s="44">
        <f t="shared" si="18"/>
        <v>4113994.6629485851</v>
      </c>
      <c r="S59" s="44">
        <f t="shared" si="18"/>
        <v>4457887.5809256891</v>
      </c>
      <c r="T59" s="44">
        <f t="shared" si="18"/>
        <v>4801780.498902793</v>
      </c>
      <c r="U59" s="44">
        <f t="shared" si="18"/>
        <v>5145673.416879897</v>
      </c>
      <c r="V59" s="44">
        <f t="shared" si="18"/>
        <v>5489566.334857001</v>
      </c>
      <c r="W59" s="44">
        <f t="shared" si="18"/>
        <v>5833459.2528341049</v>
      </c>
      <c r="X59" s="44">
        <f t="shared" si="18"/>
        <v>6177352.1708112089</v>
      </c>
      <c r="Y59" s="44">
        <f t="shared" si="18"/>
        <v>6521245.0887883129</v>
      </c>
      <c r="Z59" s="44">
        <f t="shared" si="18"/>
        <v>6865138.0067654168</v>
      </c>
      <c r="AA59" s="44">
        <f t="shared" si="18"/>
        <v>7209030.9247425208</v>
      </c>
      <c r="AB59" s="44">
        <f t="shared" si="18"/>
        <v>7552923.8427196248</v>
      </c>
      <c r="AC59" s="44">
        <f t="shared" si="18"/>
        <v>7896816.7606967287</v>
      </c>
      <c r="AD59" s="44">
        <f t="shared" si="18"/>
        <v>8238949.6786738327</v>
      </c>
      <c r="AE59" s="44">
        <f t="shared" si="18"/>
        <v>8582842.5966509376</v>
      </c>
      <c r="AF59" s="44">
        <f t="shared" si="18"/>
        <v>8926735.5146280415</v>
      </c>
      <c r="AG59" s="44">
        <f t="shared" si="18"/>
        <v>9270628.4326051455</v>
      </c>
      <c r="AH59" s="44">
        <f t="shared" si="18"/>
        <v>9614521.3505822495</v>
      </c>
      <c r="AI59" s="44">
        <f t="shared" si="18"/>
        <v>9958414.2685593534</v>
      </c>
      <c r="AJ59" s="44">
        <f t="shared" si="18"/>
        <v>10302307.186536457</v>
      </c>
      <c r="AK59" s="44">
        <f t="shared" ref="AK59:BP59" si="19">AJ59+AK58</f>
        <v>10646200.104513561</v>
      </c>
      <c r="AL59" s="44">
        <f t="shared" si="19"/>
        <v>10990093.022490665</v>
      </c>
      <c r="AM59" s="44">
        <f t="shared" si="19"/>
        <v>11333985.940467769</v>
      </c>
      <c r="AN59" s="44">
        <f t="shared" si="19"/>
        <v>11677878.858444873</v>
      </c>
      <c r="AO59" s="44">
        <f t="shared" si="19"/>
        <v>11677878.858444873</v>
      </c>
      <c r="AP59" s="44">
        <f t="shared" si="19"/>
        <v>11677878.858444873</v>
      </c>
      <c r="AQ59" s="44">
        <f t="shared" si="19"/>
        <v>11677878.858444873</v>
      </c>
      <c r="AR59" s="44">
        <f t="shared" si="19"/>
        <v>11677878.858444873</v>
      </c>
      <c r="AS59" s="44">
        <f t="shared" si="19"/>
        <v>11677878.858444873</v>
      </c>
      <c r="AT59" s="44">
        <f t="shared" si="19"/>
        <v>11677878.858444873</v>
      </c>
      <c r="AU59" s="44">
        <f t="shared" si="19"/>
        <v>11677878.858444873</v>
      </c>
      <c r="AV59" s="44">
        <f t="shared" si="19"/>
        <v>11677878.858444873</v>
      </c>
      <c r="AW59" s="44">
        <f t="shared" si="19"/>
        <v>11677878.858444873</v>
      </c>
      <c r="AX59" s="44">
        <f t="shared" si="19"/>
        <v>11677878.858444873</v>
      </c>
      <c r="AY59" s="44">
        <f t="shared" si="19"/>
        <v>11677878.858444873</v>
      </c>
      <c r="AZ59" s="44">
        <f t="shared" si="19"/>
        <v>11677878.858444873</v>
      </c>
      <c r="BA59" s="44">
        <f t="shared" si="19"/>
        <v>11677878.858444873</v>
      </c>
      <c r="BB59" s="44">
        <f t="shared" si="19"/>
        <v>11677878.858444873</v>
      </c>
      <c r="BC59" s="44">
        <f t="shared" si="19"/>
        <v>11677878.858444873</v>
      </c>
      <c r="BD59" s="44">
        <f t="shared" si="19"/>
        <v>11677878.858444873</v>
      </c>
      <c r="BE59" s="44">
        <f t="shared" si="19"/>
        <v>11677878.858444873</v>
      </c>
      <c r="BF59" s="44">
        <f t="shared" si="19"/>
        <v>11677878.858444873</v>
      </c>
      <c r="BG59" s="44">
        <f t="shared" si="19"/>
        <v>11677878.858444873</v>
      </c>
      <c r="BH59" s="44">
        <f t="shared" si="19"/>
        <v>11677878.858444873</v>
      </c>
      <c r="BI59" s="44">
        <f t="shared" si="19"/>
        <v>11677878.858444873</v>
      </c>
      <c r="BJ59" s="44">
        <f t="shared" si="19"/>
        <v>11677878.858444873</v>
      </c>
      <c r="BK59" s="44">
        <f t="shared" si="19"/>
        <v>11677878.858444873</v>
      </c>
      <c r="BL59" s="44">
        <f t="shared" si="19"/>
        <v>11677878.858444873</v>
      </c>
    </row>
    <row r="60" spans="1:64" x14ac:dyDescent="0.3">
      <c r="A60" s="8" t="s">
        <v>1014</v>
      </c>
      <c r="C60" s="22">
        <f>IF(COUNT(E60:BL60)=0,"None",MIN(E60:BL60))</f>
        <v>2</v>
      </c>
      <c r="E60" s="22" t="str">
        <f>IF(AND(E$4&lt;=Org!$B$5,E59&gt;=0),E$4,"")</f>
        <v/>
      </c>
      <c r="F60" s="22">
        <f>IF(AND(F$4&lt;=Org!$B$5,F59&gt;=0),F$4,"")</f>
        <v>2</v>
      </c>
      <c r="G60" s="22">
        <f>IF(AND(G$4&lt;=Org!$B$5,G59&gt;=0),G$4,"")</f>
        <v>3</v>
      </c>
      <c r="H60" s="22">
        <f>IF(AND(H$4&lt;=Org!$B$5,H59&gt;=0),H$4,"")</f>
        <v>4</v>
      </c>
      <c r="I60" s="22">
        <f>IF(AND(I$4&lt;=Org!$B$5,I59&gt;=0),I$4,"")</f>
        <v>5</v>
      </c>
      <c r="J60" s="22">
        <f>IF(AND(J$4&lt;=Org!$B$5,J59&gt;=0),J$4,"")</f>
        <v>6</v>
      </c>
      <c r="K60" s="22">
        <f>IF(AND(K$4&lt;=Org!$B$5,K59&gt;=0),K$4,"")</f>
        <v>7</v>
      </c>
      <c r="L60" s="22">
        <f>IF(AND(L$4&lt;=Org!$B$5,L59&gt;=0),L$4,"")</f>
        <v>8</v>
      </c>
      <c r="M60" s="22">
        <f>IF(AND(M$4&lt;=Org!$B$5,M59&gt;=0),M$4,"")</f>
        <v>9</v>
      </c>
      <c r="N60" s="22">
        <f>IF(AND(N$4&lt;=Org!$B$5,N59&gt;=0),N$4,"")</f>
        <v>10</v>
      </c>
      <c r="O60" s="22">
        <f>IF(AND(O$4&lt;=Org!$B$5,O59&gt;=0),O$4,"")</f>
        <v>11</v>
      </c>
      <c r="P60" s="22">
        <f>IF(AND(P$4&lt;=Org!$B$5,P59&gt;=0),P$4,"")</f>
        <v>12</v>
      </c>
      <c r="Q60" s="22">
        <f>IF(AND(Q$4&lt;=Org!$B$5,Q59&gt;=0),Q$4,"")</f>
        <v>13</v>
      </c>
      <c r="R60" s="22">
        <f>IF(AND(R$4&lt;=Org!$B$5,R59&gt;=0),R$4,"")</f>
        <v>14</v>
      </c>
      <c r="S60" s="22">
        <f>IF(AND(S$4&lt;=Org!$B$5,S59&gt;=0),S$4,"")</f>
        <v>15</v>
      </c>
      <c r="T60" s="22">
        <f>IF(AND(T$4&lt;=Org!$B$5,T59&gt;=0),T$4,"")</f>
        <v>16</v>
      </c>
      <c r="U60" s="22">
        <f>IF(AND(U$4&lt;=Org!$B$5,U59&gt;=0),U$4,"")</f>
        <v>17</v>
      </c>
      <c r="V60" s="22">
        <f>IF(AND(V$4&lt;=Org!$B$5,V59&gt;=0),V$4,"")</f>
        <v>18</v>
      </c>
      <c r="W60" s="22">
        <f>IF(AND(W$4&lt;=Org!$B$5,W59&gt;=0),W$4,"")</f>
        <v>19</v>
      </c>
      <c r="X60" s="22">
        <f>IF(AND(X$4&lt;=Org!$B$5,X59&gt;=0),X$4,"")</f>
        <v>20</v>
      </c>
      <c r="Y60" s="22">
        <f>IF(AND(Y$4&lt;=Org!$B$5,Y59&gt;=0),Y$4,"")</f>
        <v>21</v>
      </c>
      <c r="Z60" s="22">
        <f>IF(AND(Z$4&lt;=Org!$B$5,Z59&gt;=0),Z$4,"")</f>
        <v>22</v>
      </c>
      <c r="AA60" s="22">
        <f>IF(AND(AA$4&lt;=Org!$B$5,AA59&gt;=0),AA$4,"")</f>
        <v>23</v>
      </c>
      <c r="AB60" s="22">
        <f>IF(AND(AB$4&lt;=Org!$B$5,AB59&gt;=0),AB$4,"")</f>
        <v>24</v>
      </c>
      <c r="AC60" s="22">
        <f>IF(AND(AC$4&lt;=Org!$B$5,AC59&gt;=0),AC$4,"")</f>
        <v>25</v>
      </c>
      <c r="AD60" s="22">
        <f>IF(AND(AD$4&lt;=Org!$B$5,AD59&gt;=0),AD$4,"")</f>
        <v>26</v>
      </c>
      <c r="AE60" s="22">
        <f>IF(AND(AE$4&lt;=Org!$B$5,AE59&gt;=0),AE$4,"")</f>
        <v>27</v>
      </c>
      <c r="AF60" s="22">
        <f>IF(AND(AF$4&lt;=Org!$B$5,AF59&gt;=0),AF$4,"")</f>
        <v>28</v>
      </c>
      <c r="AG60" s="22">
        <f>IF(AND(AG$4&lt;=Org!$B$5,AG59&gt;=0),AG$4,"")</f>
        <v>29</v>
      </c>
      <c r="AH60" s="22">
        <f>IF(AND(AH$4&lt;=Org!$B$5,AH59&gt;=0),AH$4,"")</f>
        <v>30</v>
      </c>
      <c r="AI60" s="22">
        <f>IF(AND(AI$4&lt;=Org!$B$5,AI59&gt;=0),AI$4,"")</f>
        <v>31</v>
      </c>
      <c r="AJ60" s="22">
        <f>IF(AND(AJ$4&lt;=Org!$B$5,AJ59&gt;=0),AJ$4,"")</f>
        <v>32</v>
      </c>
      <c r="AK60" s="22">
        <f>IF(AND(AK$4&lt;=Org!$B$5,AK59&gt;=0),AK$4,"")</f>
        <v>33</v>
      </c>
      <c r="AL60" s="22">
        <f>IF(AND(AL$4&lt;=Org!$B$5,AL59&gt;=0),AL$4,"")</f>
        <v>34</v>
      </c>
      <c r="AM60" s="22">
        <f>IF(AND(AM$4&lt;=Org!$B$5,AM59&gt;=0),AM$4,"")</f>
        <v>35</v>
      </c>
      <c r="AN60" s="22">
        <f>IF(AND(AN$4&lt;=Org!$B$5,AN59&gt;=0),AN$4,"")</f>
        <v>36</v>
      </c>
      <c r="AO60" s="22" t="str">
        <f>IF(AND(AO$4&lt;=Org!$B$5,AO59&gt;=0),AO$4,"")</f>
        <v/>
      </c>
      <c r="AP60" s="22" t="str">
        <f>IF(AND(AP$4&lt;=Org!$B$5,AP59&gt;=0),AP$4,"")</f>
        <v/>
      </c>
      <c r="AQ60" s="22" t="str">
        <f>IF(AND(AQ$4&lt;=Org!$B$5,AQ59&gt;=0),AQ$4,"")</f>
        <v/>
      </c>
      <c r="AR60" s="22" t="str">
        <f>IF(AND(AR$4&lt;=Org!$B$5,AR59&gt;=0),AR$4,"")</f>
        <v/>
      </c>
      <c r="AS60" s="22" t="str">
        <f>IF(AND(AS$4&lt;=Org!$B$5,AS59&gt;=0),AS$4,"")</f>
        <v/>
      </c>
      <c r="AT60" s="22" t="str">
        <f>IF(AND(AT$4&lt;=Org!$B$5,AT59&gt;=0),AT$4,"")</f>
        <v/>
      </c>
      <c r="AU60" s="22" t="str">
        <f>IF(AND(AU$4&lt;=Org!$B$5,AU59&gt;=0),AU$4,"")</f>
        <v/>
      </c>
      <c r="AV60" s="22" t="str">
        <f>IF(AND(AV$4&lt;=Org!$B$5,AV59&gt;=0),AV$4,"")</f>
        <v/>
      </c>
      <c r="AW60" s="22" t="str">
        <f>IF(AND(AW$4&lt;=Org!$B$5,AW59&gt;=0),AW$4,"")</f>
        <v/>
      </c>
      <c r="AX60" s="22" t="str">
        <f>IF(AND(AX$4&lt;=Org!$B$5,AX59&gt;=0),AX$4,"")</f>
        <v/>
      </c>
      <c r="AY60" s="22" t="str">
        <f>IF(AND(AY$4&lt;=Org!$B$5,AY59&gt;=0),AY$4,"")</f>
        <v/>
      </c>
      <c r="AZ60" s="22" t="str">
        <f>IF(AND(AZ$4&lt;=Org!$B$5,AZ59&gt;=0),AZ$4,"")</f>
        <v/>
      </c>
      <c r="BA60" s="22" t="str">
        <f>IF(AND(BA$4&lt;=Org!$B$5,BA59&gt;=0),BA$4,"")</f>
        <v/>
      </c>
      <c r="BB60" s="22" t="str">
        <f>IF(AND(BB$4&lt;=Org!$B$5,BB59&gt;=0),BB$4,"")</f>
        <v/>
      </c>
      <c r="BC60" s="22" t="str">
        <f>IF(AND(BC$4&lt;=Org!$B$5,BC59&gt;=0),BC$4,"")</f>
        <v/>
      </c>
      <c r="BD60" s="22" t="str">
        <f>IF(AND(BD$4&lt;=Org!$B$5,BD59&gt;=0),BD$4,"")</f>
        <v/>
      </c>
      <c r="BE60" s="22" t="str">
        <f>IF(AND(BE$4&lt;=Org!$B$5,BE59&gt;=0),BE$4,"")</f>
        <v/>
      </c>
      <c r="BF60" s="22" t="str">
        <f>IF(AND(BF$4&lt;=Org!$B$5,BF59&gt;=0),BF$4,"")</f>
        <v/>
      </c>
      <c r="BG60" s="22" t="str">
        <f>IF(AND(BG$4&lt;=Org!$B$5,BG59&gt;=0),BG$4,"")</f>
        <v/>
      </c>
      <c r="BH60" s="22" t="str">
        <f>IF(AND(BH$4&lt;=Org!$B$5,BH59&gt;=0),BH$4,"")</f>
        <v/>
      </c>
      <c r="BI60" s="22" t="str">
        <f>IF(AND(BI$4&lt;=Org!$B$5,BI59&gt;=0),BI$4,"")</f>
        <v/>
      </c>
      <c r="BJ60" s="22" t="str">
        <f>IF(AND(BJ$4&lt;=Org!$B$5,BJ59&gt;=0),BJ$4,"")</f>
        <v/>
      </c>
      <c r="BK60" s="22" t="str">
        <f>IF(AND(BK$4&lt;=Org!$B$5,BK59&gt;=0),BK$4,"")</f>
        <v/>
      </c>
      <c r="BL60" s="22" t="str">
        <f>IF(AND(BL$4&lt;=Org!$B$5,BL59&gt;=0),BL$4,"")</f>
        <v/>
      </c>
    </row>
    <row r="62" spans="1:64" x14ac:dyDescent="0.3">
      <c r="A62" s="17" t="str">
        <f>Teams!$E$4</f>
        <v>Customer service agent</v>
      </c>
      <c r="B62" s="18" t="s">
        <v>1009</v>
      </c>
      <c r="C62" s="50">
        <f>(Teams!$E$29*(1-Teams!$E$31)*Params!$D$39*Params!$D$21*IF(Teams!$E$36="Yes",Params!$D$22,1)*Teams!$E$68*Teams!$E$70+Teams!$E$30*(1-Teams!$E$31)*Params!$D$39*Params!$D$21*IF(Teams!$E$36="Yes",Params!$D$22,1)*Teams!$E$69)/1000000*Teams!$E$71*Teams!$E$35</f>
        <v>0</v>
      </c>
    </row>
    <row r="63" spans="1:64" x14ac:dyDescent="0.3">
      <c r="A63" s="8" t="s">
        <v>1010</v>
      </c>
      <c r="E63" s="26">
        <f>IF(E$4&lt;Teams!$E$80,0,IF(Teams!$E$22="S",MIN(1,(E$4-Teams!$E$80+1)/Teams!$E$21)^2*(3-2*MIN(1,(E$4-Teams!$E$80+1)/Teams!$E$21)),MIN(1,(E$4-Teams!$E$80+1)/Teams!$E$21)))</f>
        <v>0</v>
      </c>
      <c r="F63" s="26">
        <f>IF(F$4&lt;Teams!$E$80,0,IF(Teams!$E$22="S",MIN(1,(F$4-Teams!$E$80+1)/Teams!$E$21)^2*(3-2*MIN(1,(F$4-Teams!$E$80+1)/Teams!$E$21)),MIN(1,(F$4-Teams!$E$80+1)/Teams!$E$21)))</f>
        <v>7.407407407407407E-2</v>
      </c>
      <c r="G63" s="26">
        <f>IF(G$4&lt;Teams!$E$80,0,IF(Teams!$E$22="S",MIN(1,(G$4-Teams!$E$80+1)/Teams!$E$21)^2*(3-2*MIN(1,(G$4-Teams!$E$80+1)/Teams!$E$21)),MIN(1,(G$4-Teams!$E$80+1)/Teams!$E$21)))</f>
        <v>0.25925925925925924</v>
      </c>
      <c r="H63" s="26">
        <f>IF(H$4&lt;Teams!$E$80,0,IF(Teams!$E$22="S",MIN(1,(H$4-Teams!$E$80+1)/Teams!$E$21)^2*(3-2*MIN(1,(H$4-Teams!$E$80+1)/Teams!$E$21)),MIN(1,(H$4-Teams!$E$80+1)/Teams!$E$21)))</f>
        <v>0.5</v>
      </c>
      <c r="I63" s="26">
        <f>IF(I$4&lt;Teams!$E$80,0,IF(Teams!$E$22="S",MIN(1,(I$4-Teams!$E$80+1)/Teams!$E$21)^2*(3-2*MIN(1,(I$4-Teams!$E$80+1)/Teams!$E$21)),MIN(1,(I$4-Teams!$E$80+1)/Teams!$E$21)))</f>
        <v>0.7407407407407407</v>
      </c>
      <c r="J63" s="26">
        <f>IF(J$4&lt;Teams!$E$80,0,IF(Teams!$E$22="S",MIN(1,(J$4-Teams!$E$80+1)/Teams!$E$21)^2*(3-2*MIN(1,(J$4-Teams!$E$80+1)/Teams!$E$21)),MIN(1,(J$4-Teams!$E$80+1)/Teams!$E$21)))</f>
        <v>0.92592592592592604</v>
      </c>
      <c r="K63" s="26">
        <f>IF(K$4&lt;Teams!$E$80,0,IF(Teams!$E$22="S",MIN(1,(K$4-Teams!$E$80+1)/Teams!$E$21)^2*(3-2*MIN(1,(K$4-Teams!$E$80+1)/Teams!$E$21)),MIN(1,(K$4-Teams!$E$80+1)/Teams!$E$21)))</f>
        <v>1</v>
      </c>
      <c r="L63" s="26">
        <f>IF(L$4&lt;Teams!$E$80,0,IF(Teams!$E$22="S",MIN(1,(L$4-Teams!$E$80+1)/Teams!$E$21)^2*(3-2*MIN(1,(L$4-Teams!$E$80+1)/Teams!$E$21)),MIN(1,(L$4-Teams!$E$80+1)/Teams!$E$21)))</f>
        <v>1</v>
      </c>
      <c r="M63" s="26">
        <f>IF(M$4&lt;Teams!$E$80,0,IF(Teams!$E$22="S",MIN(1,(M$4-Teams!$E$80+1)/Teams!$E$21)^2*(3-2*MIN(1,(M$4-Teams!$E$80+1)/Teams!$E$21)),MIN(1,(M$4-Teams!$E$80+1)/Teams!$E$21)))</f>
        <v>1</v>
      </c>
      <c r="N63" s="26">
        <f>IF(N$4&lt;Teams!$E$80,0,IF(Teams!$E$22="S",MIN(1,(N$4-Teams!$E$80+1)/Teams!$E$21)^2*(3-2*MIN(1,(N$4-Teams!$E$80+1)/Teams!$E$21)),MIN(1,(N$4-Teams!$E$80+1)/Teams!$E$21)))</f>
        <v>1</v>
      </c>
      <c r="O63" s="26">
        <f>IF(O$4&lt;Teams!$E$80,0,IF(Teams!$E$22="S",MIN(1,(O$4-Teams!$E$80+1)/Teams!$E$21)^2*(3-2*MIN(1,(O$4-Teams!$E$80+1)/Teams!$E$21)),MIN(1,(O$4-Teams!$E$80+1)/Teams!$E$21)))</f>
        <v>1</v>
      </c>
      <c r="P63" s="26">
        <f>IF(P$4&lt;Teams!$E$80,0,IF(Teams!$E$22="S",MIN(1,(P$4-Teams!$E$80+1)/Teams!$E$21)^2*(3-2*MIN(1,(P$4-Teams!$E$80+1)/Teams!$E$21)),MIN(1,(P$4-Teams!$E$80+1)/Teams!$E$21)))</f>
        <v>1</v>
      </c>
      <c r="Q63" s="26">
        <f>IF(Q$4&lt;Teams!$E$80,0,IF(Teams!$E$22="S",MIN(1,(Q$4-Teams!$E$80+1)/Teams!$E$21)^2*(3-2*MIN(1,(Q$4-Teams!$E$80+1)/Teams!$E$21)),MIN(1,(Q$4-Teams!$E$80+1)/Teams!$E$21)))</f>
        <v>1</v>
      </c>
      <c r="R63" s="26">
        <f>IF(R$4&lt;Teams!$E$80,0,IF(Teams!$E$22="S",MIN(1,(R$4-Teams!$E$80+1)/Teams!$E$21)^2*(3-2*MIN(1,(R$4-Teams!$E$80+1)/Teams!$E$21)),MIN(1,(R$4-Teams!$E$80+1)/Teams!$E$21)))</f>
        <v>1</v>
      </c>
      <c r="S63" s="26">
        <f>IF(S$4&lt;Teams!$E$80,0,IF(Teams!$E$22="S",MIN(1,(S$4-Teams!$E$80+1)/Teams!$E$21)^2*(3-2*MIN(1,(S$4-Teams!$E$80+1)/Teams!$E$21)),MIN(1,(S$4-Teams!$E$80+1)/Teams!$E$21)))</f>
        <v>1</v>
      </c>
      <c r="T63" s="26">
        <f>IF(T$4&lt;Teams!$E$80,0,IF(Teams!$E$22="S",MIN(1,(T$4-Teams!$E$80+1)/Teams!$E$21)^2*(3-2*MIN(1,(T$4-Teams!$E$80+1)/Teams!$E$21)),MIN(1,(T$4-Teams!$E$80+1)/Teams!$E$21)))</f>
        <v>1</v>
      </c>
      <c r="U63" s="26">
        <f>IF(U$4&lt;Teams!$E$80,0,IF(Teams!$E$22="S",MIN(1,(U$4-Teams!$E$80+1)/Teams!$E$21)^2*(3-2*MIN(1,(U$4-Teams!$E$80+1)/Teams!$E$21)),MIN(1,(U$4-Teams!$E$80+1)/Teams!$E$21)))</f>
        <v>1</v>
      </c>
      <c r="V63" s="26">
        <f>IF(V$4&lt;Teams!$E$80,0,IF(Teams!$E$22="S",MIN(1,(V$4-Teams!$E$80+1)/Teams!$E$21)^2*(3-2*MIN(1,(V$4-Teams!$E$80+1)/Teams!$E$21)),MIN(1,(V$4-Teams!$E$80+1)/Teams!$E$21)))</f>
        <v>1</v>
      </c>
      <c r="W63" s="26">
        <f>IF(W$4&lt;Teams!$E$80,0,IF(Teams!$E$22="S",MIN(1,(W$4-Teams!$E$80+1)/Teams!$E$21)^2*(3-2*MIN(1,(W$4-Teams!$E$80+1)/Teams!$E$21)),MIN(1,(W$4-Teams!$E$80+1)/Teams!$E$21)))</f>
        <v>1</v>
      </c>
      <c r="X63" s="26">
        <f>IF(X$4&lt;Teams!$E$80,0,IF(Teams!$E$22="S",MIN(1,(X$4-Teams!$E$80+1)/Teams!$E$21)^2*(3-2*MIN(1,(X$4-Teams!$E$80+1)/Teams!$E$21)),MIN(1,(X$4-Teams!$E$80+1)/Teams!$E$21)))</f>
        <v>1</v>
      </c>
      <c r="Y63" s="26">
        <f>IF(Y$4&lt;Teams!$E$80,0,IF(Teams!$E$22="S",MIN(1,(Y$4-Teams!$E$80+1)/Teams!$E$21)^2*(3-2*MIN(1,(Y$4-Teams!$E$80+1)/Teams!$E$21)),MIN(1,(Y$4-Teams!$E$80+1)/Teams!$E$21)))</f>
        <v>1</v>
      </c>
      <c r="Z63" s="26">
        <f>IF(Z$4&lt;Teams!$E$80,0,IF(Teams!$E$22="S",MIN(1,(Z$4-Teams!$E$80+1)/Teams!$E$21)^2*(3-2*MIN(1,(Z$4-Teams!$E$80+1)/Teams!$E$21)),MIN(1,(Z$4-Teams!$E$80+1)/Teams!$E$21)))</f>
        <v>1</v>
      </c>
      <c r="AA63" s="26">
        <f>IF(AA$4&lt;Teams!$E$80,0,IF(Teams!$E$22="S",MIN(1,(AA$4-Teams!$E$80+1)/Teams!$E$21)^2*(3-2*MIN(1,(AA$4-Teams!$E$80+1)/Teams!$E$21)),MIN(1,(AA$4-Teams!$E$80+1)/Teams!$E$21)))</f>
        <v>1</v>
      </c>
      <c r="AB63" s="26">
        <f>IF(AB$4&lt;Teams!$E$80,0,IF(Teams!$E$22="S",MIN(1,(AB$4-Teams!$E$80+1)/Teams!$E$21)^2*(3-2*MIN(1,(AB$4-Teams!$E$80+1)/Teams!$E$21)),MIN(1,(AB$4-Teams!$E$80+1)/Teams!$E$21)))</f>
        <v>1</v>
      </c>
      <c r="AC63" s="26">
        <f>IF(AC$4&lt;Teams!$E$80,0,IF(Teams!$E$22="S",MIN(1,(AC$4-Teams!$E$80+1)/Teams!$E$21)^2*(3-2*MIN(1,(AC$4-Teams!$E$80+1)/Teams!$E$21)),MIN(1,(AC$4-Teams!$E$80+1)/Teams!$E$21)))</f>
        <v>1</v>
      </c>
      <c r="AD63" s="26">
        <f>IF(AD$4&lt;Teams!$E$80,0,IF(Teams!$E$22="S",MIN(1,(AD$4-Teams!$E$80+1)/Teams!$E$21)^2*(3-2*MIN(1,(AD$4-Teams!$E$80+1)/Teams!$E$21)),MIN(1,(AD$4-Teams!$E$80+1)/Teams!$E$21)))</f>
        <v>1</v>
      </c>
      <c r="AE63" s="26">
        <f>IF(AE$4&lt;Teams!$E$80,0,IF(Teams!$E$22="S",MIN(1,(AE$4-Teams!$E$80+1)/Teams!$E$21)^2*(3-2*MIN(1,(AE$4-Teams!$E$80+1)/Teams!$E$21)),MIN(1,(AE$4-Teams!$E$80+1)/Teams!$E$21)))</f>
        <v>1</v>
      </c>
      <c r="AF63" s="26">
        <f>IF(AF$4&lt;Teams!$E$80,0,IF(Teams!$E$22="S",MIN(1,(AF$4-Teams!$E$80+1)/Teams!$E$21)^2*(3-2*MIN(1,(AF$4-Teams!$E$80+1)/Teams!$E$21)),MIN(1,(AF$4-Teams!$E$80+1)/Teams!$E$21)))</f>
        <v>1</v>
      </c>
      <c r="AG63" s="26">
        <f>IF(AG$4&lt;Teams!$E$80,0,IF(Teams!$E$22="S",MIN(1,(AG$4-Teams!$E$80+1)/Teams!$E$21)^2*(3-2*MIN(1,(AG$4-Teams!$E$80+1)/Teams!$E$21)),MIN(1,(AG$4-Teams!$E$80+1)/Teams!$E$21)))</f>
        <v>1</v>
      </c>
      <c r="AH63" s="26">
        <f>IF(AH$4&lt;Teams!$E$80,0,IF(Teams!$E$22="S",MIN(1,(AH$4-Teams!$E$80+1)/Teams!$E$21)^2*(3-2*MIN(1,(AH$4-Teams!$E$80+1)/Teams!$E$21)),MIN(1,(AH$4-Teams!$E$80+1)/Teams!$E$21)))</f>
        <v>1</v>
      </c>
      <c r="AI63" s="26">
        <f>IF(AI$4&lt;Teams!$E$80,0,IF(Teams!$E$22="S",MIN(1,(AI$4-Teams!$E$80+1)/Teams!$E$21)^2*(3-2*MIN(1,(AI$4-Teams!$E$80+1)/Teams!$E$21)),MIN(1,(AI$4-Teams!$E$80+1)/Teams!$E$21)))</f>
        <v>1</v>
      </c>
      <c r="AJ63" s="26">
        <f>IF(AJ$4&lt;Teams!$E$80,0,IF(Teams!$E$22="S",MIN(1,(AJ$4-Teams!$E$80+1)/Teams!$E$21)^2*(3-2*MIN(1,(AJ$4-Teams!$E$80+1)/Teams!$E$21)),MIN(1,(AJ$4-Teams!$E$80+1)/Teams!$E$21)))</f>
        <v>1</v>
      </c>
      <c r="AK63" s="26">
        <f>IF(AK$4&lt;Teams!$E$80,0,IF(Teams!$E$22="S",MIN(1,(AK$4-Teams!$E$80+1)/Teams!$E$21)^2*(3-2*MIN(1,(AK$4-Teams!$E$80+1)/Teams!$E$21)),MIN(1,(AK$4-Teams!$E$80+1)/Teams!$E$21)))</f>
        <v>1</v>
      </c>
      <c r="AL63" s="26">
        <f>IF(AL$4&lt;Teams!$E$80,0,IF(Teams!$E$22="S",MIN(1,(AL$4-Teams!$E$80+1)/Teams!$E$21)^2*(3-2*MIN(1,(AL$4-Teams!$E$80+1)/Teams!$E$21)),MIN(1,(AL$4-Teams!$E$80+1)/Teams!$E$21)))</f>
        <v>1</v>
      </c>
      <c r="AM63" s="26">
        <f>IF(AM$4&lt;Teams!$E$80,0,IF(Teams!$E$22="S",MIN(1,(AM$4-Teams!$E$80+1)/Teams!$E$21)^2*(3-2*MIN(1,(AM$4-Teams!$E$80+1)/Teams!$E$21)),MIN(1,(AM$4-Teams!$E$80+1)/Teams!$E$21)))</f>
        <v>1</v>
      </c>
      <c r="AN63" s="26">
        <f>IF(AN$4&lt;Teams!$E$80,0,IF(Teams!$E$22="S",MIN(1,(AN$4-Teams!$E$80+1)/Teams!$E$21)^2*(3-2*MIN(1,(AN$4-Teams!$E$80+1)/Teams!$E$21)),MIN(1,(AN$4-Teams!$E$80+1)/Teams!$E$21)))</f>
        <v>1</v>
      </c>
      <c r="AO63" s="26">
        <f>IF(AO$4&lt;Teams!$E$80,0,IF(Teams!$E$22="S",MIN(1,(AO$4-Teams!$E$80+1)/Teams!$E$21)^2*(3-2*MIN(1,(AO$4-Teams!$E$80+1)/Teams!$E$21)),MIN(1,(AO$4-Teams!$E$80+1)/Teams!$E$21)))</f>
        <v>1</v>
      </c>
      <c r="AP63" s="26">
        <f>IF(AP$4&lt;Teams!$E$80,0,IF(Teams!$E$22="S",MIN(1,(AP$4-Teams!$E$80+1)/Teams!$E$21)^2*(3-2*MIN(1,(AP$4-Teams!$E$80+1)/Teams!$E$21)),MIN(1,(AP$4-Teams!$E$80+1)/Teams!$E$21)))</f>
        <v>1</v>
      </c>
      <c r="AQ63" s="26">
        <f>IF(AQ$4&lt;Teams!$E$80,0,IF(Teams!$E$22="S",MIN(1,(AQ$4-Teams!$E$80+1)/Teams!$E$21)^2*(3-2*MIN(1,(AQ$4-Teams!$E$80+1)/Teams!$E$21)),MIN(1,(AQ$4-Teams!$E$80+1)/Teams!$E$21)))</f>
        <v>1</v>
      </c>
      <c r="AR63" s="26">
        <f>IF(AR$4&lt;Teams!$E$80,0,IF(Teams!$E$22="S",MIN(1,(AR$4-Teams!$E$80+1)/Teams!$E$21)^2*(3-2*MIN(1,(AR$4-Teams!$E$80+1)/Teams!$E$21)),MIN(1,(AR$4-Teams!$E$80+1)/Teams!$E$21)))</f>
        <v>1</v>
      </c>
      <c r="AS63" s="26">
        <f>IF(AS$4&lt;Teams!$E$80,0,IF(Teams!$E$22="S",MIN(1,(AS$4-Teams!$E$80+1)/Teams!$E$21)^2*(3-2*MIN(1,(AS$4-Teams!$E$80+1)/Teams!$E$21)),MIN(1,(AS$4-Teams!$E$80+1)/Teams!$E$21)))</f>
        <v>1</v>
      </c>
      <c r="AT63" s="26">
        <f>IF(AT$4&lt;Teams!$E$80,0,IF(Teams!$E$22="S",MIN(1,(AT$4-Teams!$E$80+1)/Teams!$E$21)^2*(3-2*MIN(1,(AT$4-Teams!$E$80+1)/Teams!$E$21)),MIN(1,(AT$4-Teams!$E$80+1)/Teams!$E$21)))</f>
        <v>1</v>
      </c>
      <c r="AU63" s="26">
        <f>IF(AU$4&lt;Teams!$E$80,0,IF(Teams!$E$22="S",MIN(1,(AU$4-Teams!$E$80+1)/Teams!$E$21)^2*(3-2*MIN(1,(AU$4-Teams!$E$80+1)/Teams!$E$21)),MIN(1,(AU$4-Teams!$E$80+1)/Teams!$E$21)))</f>
        <v>1</v>
      </c>
      <c r="AV63" s="26">
        <f>IF(AV$4&lt;Teams!$E$80,0,IF(Teams!$E$22="S",MIN(1,(AV$4-Teams!$E$80+1)/Teams!$E$21)^2*(3-2*MIN(1,(AV$4-Teams!$E$80+1)/Teams!$E$21)),MIN(1,(AV$4-Teams!$E$80+1)/Teams!$E$21)))</f>
        <v>1</v>
      </c>
      <c r="AW63" s="26">
        <f>IF(AW$4&lt;Teams!$E$80,0,IF(Teams!$E$22="S",MIN(1,(AW$4-Teams!$E$80+1)/Teams!$E$21)^2*(3-2*MIN(1,(AW$4-Teams!$E$80+1)/Teams!$E$21)),MIN(1,(AW$4-Teams!$E$80+1)/Teams!$E$21)))</f>
        <v>1</v>
      </c>
      <c r="AX63" s="26">
        <f>IF(AX$4&lt;Teams!$E$80,0,IF(Teams!$E$22="S",MIN(1,(AX$4-Teams!$E$80+1)/Teams!$E$21)^2*(3-2*MIN(1,(AX$4-Teams!$E$80+1)/Teams!$E$21)),MIN(1,(AX$4-Teams!$E$80+1)/Teams!$E$21)))</f>
        <v>1</v>
      </c>
      <c r="AY63" s="26">
        <f>IF(AY$4&lt;Teams!$E$80,0,IF(Teams!$E$22="S",MIN(1,(AY$4-Teams!$E$80+1)/Teams!$E$21)^2*(3-2*MIN(1,(AY$4-Teams!$E$80+1)/Teams!$E$21)),MIN(1,(AY$4-Teams!$E$80+1)/Teams!$E$21)))</f>
        <v>1</v>
      </c>
      <c r="AZ63" s="26">
        <f>IF(AZ$4&lt;Teams!$E$80,0,IF(Teams!$E$22="S",MIN(1,(AZ$4-Teams!$E$80+1)/Teams!$E$21)^2*(3-2*MIN(1,(AZ$4-Teams!$E$80+1)/Teams!$E$21)),MIN(1,(AZ$4-Teams!$E$80+1)/Teams!$E$21)))</f>
        <v>1</v>
      </c>
      <c r="BA63" s="26">
        <f>IF(BA$4&lt;Teams!$E$80,0,IF(Teams!$E$22="S",MIN(1,(BA$4-Teams!$E$80+1)/Teams!$E$21)^2*(3-2*MIN(1,(BA$4-Teams!$E$80+1)/Teams!$E$21)),MIN(1,(BA$4-Teams!$E$80+1)/Teams!$E$21)))</f>
        <v>1</v>
      </c>
      <c r="BB63" s="26">
        <f>IF(BB$4&lt;Teams!$E$80,0,IF(Teams!$E$22="S",MIN(1,(BB$4-Teams!$E$80+1)/Teams!$E$21)^2*(3-2*MIN(1,(BB$4-Teams!$E$80+1)/Teams!$E$21)),MIN(1,(BB$4-Teams!$E$80+1)/Teams!$E$21)))</f>
        <v>1</v>
      </c>
      <c r="BC63" s="26">
        <f>IF(BC$4&lt;Teams!$E$80,0,IF(Teams!$E$22="S",MIN(1,(BC$4-Teams!$E$80+1)/Teams!$E$21)^2*(3-2*MIN(1,(BC$4-Teams!$E$80+1)/Teams!$E$21)),MIN(1,(BC$4-Teams!$E$80+1)/Teams!$E$21)))</f>
        <v>1</v>
      </c>
      <c r="BD63" s="26">
        <f>IF(BD$4&lt;Teams!$E$80,0,IF(Teams!$E$22="S",MIN(1,(BD$4-Teams!$E$80+1)/Teams!$E$21)^2*(3-2*MIN(1,(BD$4-Teams!$E$80+1)/Teams!$E$21)),MIN(1,(BD$4-Teams!$E$80+1)/Teams!$E$21)))</f>
        <v>1</v>
      </c>
      <c r="BE63" s="26">
        <f>IF(BE$4&lt;Teams!$E$80,0,IF(Teams!$E$22="S",MIN(1,(BE$4-Teams!$E$80+1)/Teams!$E$21)^2*(3-2*MIN(1,(BE$4-Teams!$E$80+1)/Teams!$E$21)),MIN(1,(BE$4-Teams!$E$80+1)/Teams!$E$21)))</f>
        <v>1</v>
      </c>
      <c r="BF63" s="26">
        <f>IF(BF$4&lt;Teams!$E$80,0,IF(Teams!$E$22="S",MIN(1,(BF$4-Teams!$E$80+1)/Teams!$E$21)^2*(3-2*MIN(1,(BF$4-Teams!$E$80+1)/Teams!$E$21)),MIN(1,(BF$4-Teams!$E$80+1)/Teams!$E$21)))</f>
        <v>1</v>
      </c>
      <c r="BG63" s="26">
        <f>IF(BG$4&lt;Teams!$E$80,0,IF(Teams!$E$22="S",MIN(1,(BG$4-Teams!$E$80+1)/Teams!$E$21)^2*(3-2*MIN(1,(BG$4-Teams!$E$80+1)/Teams!$E$21)),MIN(1,(BG$4-Teams!$E$80+1)/Teams!$E$21)))</f>
        <v>1</v>
      </c>
      <c r="BH63" s="26">
        <f>IF(BH$4&lt;Teams!$E$80,0,IF(Teams!$E$22="S",MIN(1,(BH$4-Teams!$E$80+1)/Teams!$E$21)^2*(3-2*MIN(1,(BH$4-Teams!$E$80+1)/Teams!$E$21)),MIN(1,(BH$4-Teams!$E$80+1)/Teams!$E$21)))</f>
        <v>1</v>
      </c>
      <c r="BI63" s="26">
        <f>IF(BI$4&lt;Teams!$E$80,0,IF(Teams!$E$22="S",MIN(1,(BI$4-Teams!$E$80+1)/Teams!$E$21)^2*(3-2*MIN(1,(BI$4-Teams!$E$80+1)/Teams!$E$21)),MIN(1,(BI$4-Teams!$E$80+1)/Teams!$E$21)))</f>
        <v>1</v>
      </c>
      <c r="BJ63" s="26">
        <f>IF(BJ$4&lt;Teams!$E$80,0,IF(Teams!$E$22="S",MIN(1,(BJ$4-Teams!$E$80+1)/Teams!$E$21)^2*(3-2*MIN(1,(BJ$4-Teams!$E$80+1)/Teams!$E$21)),MIN(1,(BJ$4-Teams!$E$80+1)/Teams!$E$21)))</f>
        <v>1</v>
      </c>
      <c r="BK63" s="26">
        <f>IF(BK$4&lt;Teams!$E$80,0,IF(Teams!$E$22="S",MIN(1,(BK$4-Teams!$E$80+1)/Teams!$E$21)^2*(3-2*MIN(1,(BK$4-Teams!$E$80+1)/Teams!$E$21)),MIN(1,(BK$4-Teams!$E$80+1)/Teams!$E$21)))</f>
        <v>1</v>
      </c>
      <c r="BL63" s="26">
        <f>IF(BL$4&lt;Teams!$E$80,0,IF(Teams!$E$22="S",MIN(1,(BL$4-Teams!$E$80+1)/Teams!$E$21)^2*(3-2*MIN(1,(BL$4-Teams!$E$80+1)/Teams!$E$21)),MIN(1,(BL$4-Teams!$E$80+1)/Teams!$E$21)))</f>
        <v>1</v>
      </c>
    </row>
    <row r="64" spans="1:64" x14ac:dyDescent="0.3">
      <c r="A64" s="8" t="s">
        <v>160</v>
      </c>
      <c r="E64" s="22">
        <f>IF(E$4&gt;=Teams!$E$80,Teams!$E$18,0)</f>
        <v>0</v>
      </c>
      <c r="F64" s="22">
        <f>IF(F$4&gt;=Teams!$E$80,Teams!$E$18,0)</f>
        <v>60</v>
      </c>
      <c r="G64" s="22">
        <f>IF(G$4&gt;=Teams!$E$80,Teams!$E$18,0)</f>
        <v>60</v>
      </c>
      <c r="H64" s="22">
        <f>IF(H$4&gt;=Teams!$E$80,Teams!$E$18,0)</f>
        <v>60</v>
      </c>
      <c r="I64" s="22">
        <f>IF(I$4&gt;=Teams!$E$80,Teams!$E$18,0)</f>
        <v>60</v>
      </c>
      <c r="J64" s="22">
        <f>IF(J$4&gt;=Teams!$E$80,Teams!$E$18,0)</f>
        <v>60</v>
      </c>
      <c r="K64" s="22">
        <f>IF(K$4&gt;=Teams!$E$80,Teams!$E$18,0)</f>
        <v>60</v>
      </c>
      <c r="L64" s="22">
        <f>IF(L$4&gt;=Teams!$E$80,Teams!$E$18,0)</f>
        <v>60</v>
      </c>
      <c r="M64" s="22">
        <f>IF(M$4&gt;=Teams!$E$80,Teams!$E$18,0)</f>
        <v>60</v>
      </c>
      <c r="N64" s="22">
        <f>IF(N$4&gt;=Teams!$E$80,Teams!$E$18,0)</f>
        <v>60</v>
      </c>
      <c r="O64" s="22">
        <f>IF(O$4&gt;=Teams!$E$80,Teams!$E$18,0)</f>
        <v>60</v>
      </c>
      <c r="P64" s="22">
        <f>IF(P$4&gt;=Teams!$E$80,Teams!$E$18,0)</f>
        <v>60</v>
      </c>
      <c r="Q64" s="22">
        <f>IF(Q$4&gt;=Teams!$E$80,Teams!$E$18,0)</f>
        <v>60</v>
      </c>
      <c r="R64" s="22">
        <f>IF(R$4&gt;=Teams!$E$80,Teams!$E$18,0)</f>
        <v>60</v>
      </c>
      <c r="S64" s="22">
        <f>IF(S$4&gt;=Teams!$E$80,Teams!$E$18,0)</f>
        <v>60</v>
      </c>
      <c r="T64" s="22">
        <f>IF(T$4&gt;=Teams!$E$80,Teams!$E$18,0)</f>
        <v>60</v>
      </c>
      <c r="U64" s="22">
        <f>IF(U$4&gt;=Teams!$E$80,Teams!$E$18,0)</f>
        <v>60</v>
      </c>
      <c r="V64" s="22">
        <f>IF(V$4&gt;=Teams!$E$80,Teams!$E$18,0)</f>
        <v>60</v>
      </c>
      <c r="W64" s="22">
        <f>IF(W$4&gt;=Teams!$E$80,Teams!$E$18,0)</f>
        <v>60</v>
      </c>
      <c r="X64" s="22">
        <f>IF(X$4&gt;=Teams!$E$80,Teams!$E$18,0)</f>
        <v>60</v>
      </c>
      <c r="Y64" s="22">
        <f>IF(Y$4&gt;=Teams!$E$80,Teams!$E$18,0)</f>
        <v>60</v>
      </c>
      <c r="Z64" s="22">
        <f>IF(Z$4&gt;=Teams!$E$80,Teams!$E$18,0)</f>
        <v>60</v>
      </c>
      <c r="AA64" s="22">
        <f>IF(AA$4&gt;=Teams!$E$80,Teams!$E$18,0)</f>
        <v>60</v>
      </c>
      <c r="AB64" s="22">
        <f>IF(AB$4&gt;=Teams!$E$80,Teams!$E$18,0)</f>
        <v>60</v>
      </c>
      <c r="AC64" s="22">
        <f>IF(AC$4&gt;=Teams!$E$80,Teams!$E$18,0)</f>
        <v>60</v>
      </c>
      <c r="AD64" s="22">
        <f>IF(AD$4&gt;=Teams!$E$80,Teams!$E$18,0)</f>
        <v>60</v>
      </c>
      <c r="AE64" s="22">
        <f>IF(AE$4&gt;=Teams!$E$80,Teams!$E$18,0)</f>
        <v>60</v>
      </c>
      <c r="AF64" s="22">
        <f>IF(AF$4&gt;=Teams!$E$80,Teams!$E$18,0)</f>
        <v>60</v>
      </c>
      <c r="AG64" s="22">
        <f>IF(AG$4&gt;=Teams!$E$80,Teams!$E$18,0)</f>
        <v>60</v>
      </c>
      <c r="AH64" s="22">
        <f>IF(AH$4&gt;=Teams!$E$80,Teams!$E$18,0)</f>
        <v>60</v>
      </c>
      <c r="AI64" s="22">
        <f>IF(AI$4&gt;=Teams!$E$80,Teams!$E$18,0)</f>
        <v>60</v>
      </c>
      <c r="AJ64" s="22">
        <f>IF(AJ$4&gt;=Teams!$E$80,Teams!$E$18,0)</f>
        <v>60</v>
      </c>
      <c r="AK64" s="22">
        <f>IF(AK$4&gt;=Teams!$E$80,Teams!$E$18,0)</f>
        <v>60</v>
      </c>
      <c r="AL64" s="22">
        <f>IF(AL$4&gt;=Teams!$E$80,Teams!$E$18,0)</f>
        <v>60</v>
      </c>
      <c r="AM64" s="22">
        <f>IF(AM$4&gt;=Teams!$E$80,Teams!$E$18,0)</f>
        <v>60</v>
      </c>
      <c r="AN64" s="22">
        <f>IF(AN$4&gt;=Teams!$E$80,Teams!$E$18,0)</f>
        <v>60</v>
      </c>
      <c r="AO64" s="22">
        <f>IF(AO$4&gt;=Teams!$E$80,Teams!$E$18,0)</f>
        <v>60</v>
      </c>
      <c r="AP64" s="22">
        <f>IF(AP$4&gt;=Teams!$E$80,Teams!$E$18,0)</f>
        <v>60</v>
      </c>
      <c r="AQ64" s="22">
        <f>IF(AQ$4&gt;=Teams!$E$80,Teams!$E$18,0)</f>
        <v>60</v>
      </c>
      <c r="AR64" s="22">
        <f>IF(AR$4&gt;=Teams!$E$80,Teams!$E$18,0)</f>
        <v>60</v>
      </c>
      <c r="AS64" s="22">
        <f>IF(AS$4&gt;=Teams!$E$80,Teams!$E$18,0)</f>
        <v>60</v>
      </c>
      <c r="AT64" s="22">
        <f>IF(AT$4&gt;=Teams!$E$80,Teams!$E$18,0)</f>
        <v>60</v>
      </c>
      <c r="AU64" s="22">
        <f>IF(AU$4&gt;=Teams!$E$80,Teams!$E$18,0)</f>
        <v>60</v>
      </c>
      <c r="AV64" s="22">
        <f>IF(AV$4&gt;=Teams!$E$80,Teams!$E$18,0)</f>
        <v>60</v>
      </c>
      <c r="AW64" s="22">
        <f>IF(AW$4&gt;=Teams!$E$80,Teams!$E$18,0)</f>
        <v>60</v>
      </c>
      <c r="AX64" s="22">
        <f>IF(AX$4&gt;=Teams!$E$80,Teams!$E$18,0)</f>
        <v>60</v>
      </c>
      <c r="AY64" s="22">
        <f>IF(AY$4&gt;=Teams!$E$80,Teams!$E$18,0)</f>
        <v>60</v>
      </c>
      <c r="AZ64" s="22">
        <f>IF(AZ$4&gt;=Teams!$E$80,Teams!$E$18,0)</f>
        <v>60</v>
      </c>
      <c r="BA64" s="22">
        <f>IF(BA$4&gt;=Teams!$E$80,Teams!$E$18,0)</f>
        <v>60</v>
      </c>
      <c r="BB64" s="22">
        <f>IF(BB$4&gt;=Teams!$E$80,Teams!$E$18,0)</f>
        <v>60</v>
      </c>
      <c r="BC64" s="22">
        <f>IF(BC$4&gt;=Teams!$E$80,Teams!$E$18,0)</f>
        <v>60</v>
      </c>
      <c r="BD64" s="22">
        <f>IF(BD$4&gt;=Teams!$E$80,Teams!$E$18,0)</f>
        <v>60</v>
      </c>
      <c r="BE64" s="22">
        <f>IF(BE$4&gt;=Teams!$E$80,Teams!$E$18,0)</f>
        <v>60</v>
      </c>
      <c r="BF64" s="22">
        <f>IF(BF$4&gt;=Teams!$E$80,Teams!$E$18,0)</f>
        <v>60</v>
      </c>
      <c r="BG64" s="22">
        <f>IF(BG$4&gt;=Teams!$E$80,Teams!$E$18,0)</f>
        <v>60</v>
      </c>
      <c r="BH64" s="22">
        <f>IF(BH$4&gt;=Teams!$E$80,Teams!$E$18,0)</f>
        <v>60</v>
      </c>
      <c r="BI64" s="22">
        <f>IF(BI$4&gt;=Teams!$E$80,Teams!$E$18,0)</f>
        <v>60</v>
      </c>
      <c r="BJ64" s="22">
        <f>IF(BJ$4&gt;=Teams!$E$80,Teams!$E$18,0)</f>
        <v>60</v>
      </c>
      <c r="BK64" s="22">
        <f>IF(BK$4&gt;=Teams!$E$80,Teams!$E$18,0)</f>
        <v>60</v>
      </c>
      <c r="BL64" s="22">
        <f>IF(BL$4&gt;=Teams!$E$80,Teams!$E$18,0)</f>
        <v>60</v>
      </c>
    </row>
    <row r="65" spans="1:64" x14ac:dyDescent="0.3">
      <c r="A65" s="8" t="s">
        <v>1011</v>
      </c>
      <c r="C65" s="22">
        <f>SUMPRODUCT(E65:BL65,E$5:BL$5)</f>
        <v>1657.5</v>
      </c>
      <c r="E65" s="22">
        <f>E64*Teams!$E$19*E63</f>
        <v>0</v>
      </c>
      <c r="F65" s="22">
        <f>F64*Teams!$E$19*F63</f>
        <v>3.7777777777777777</v>
      </c>
      <c r="G65" s="22">
        <f>G64*Teams!$E$19*G63</f>
        <v>13.222222222222221</v>
      </c>
      <c r="H65" s="22">
        <f>H64*Teams!$E$19*H63</f>
        <v>25.5</v>
      </c>
      <c r="I65" s="22">
        <f>I64*Teams!$E$19*I63</f>
        <v>37.777777777777779</v>
      </c>
      <c r="J65" s="22">
        <f>J64*Teams!$E$19*J63</f>
        <v>47.222222222222229</v>
      </c>
      <c r="K65" s="22">
        <f>K64*Teams!$E$19*K63</f>
        <v>51</v>
      </c>
      <c r="L65" s="22">
        <f>L64*Teams!$E$19*L63</f>
        <v>51</v>
      </c>
      <c r="M65" s="22">
        <f>M64*Teams!$E$19*M63</f>
        <v>51</v>
      </c>
      <c r="N65" s="22">
        <f>N64*Teams!$E$19*N63</f>
        <v>51</v>
      </c>
      <c r="O65" s="22">
        <f>O64*Teams!$E$19*O63</f>
        <v>51</v>
      </c>
      <c r="P65" s="22">
        <f>P64*Teams!$E$19*P63</f>
        <v>51</v>
      </c>
      <c r="Q65" s="22">
        <f>Q64*Teams!$E$19*Q63</f>
        <v>51</v>
      </c>
      <c r="R65" s="22">
        <f>R64*Teams!$E$19*R63</f>
        <v>51</v>
      </c>
      <c r="S65" s="22">
        <f>S64*Teams!$E$19*S63</f>
        <v>51</v>
      </c>
      <c r="T65" s="22">
        <f>T64*Teams!$E$19*T63</f>
        <v>51</v>
      </c>
      <c r="U65" s="22">
        <f>U64*Teams!$E$19*U63</f>
        <v>51</v>
      </c>
      <c r="V65" s="22">
        <f>V64*Teams!$E$19*V63</f>
        <v>51</v>
      </c>
      <c r="W65" s="22">
        <f>W64*Teams!$E$19*W63</f>
        <v>51</v>
      </c>
      <c r="X65" s="22">
        <f>X64*Teams!$E$19*X63</f>
        <v>51</v>
      </c>
      <c r="Y65" s="22">
        <f>Y64*Teams!$E$19*Y63</f>
        <v>51</v>
      </c>
      <c r="Z65" s="22">
        <f>Z64*Teams!$E$19*Z63</f>
        <v>51</v>
      </c>
      <c r="AA65" s="22">
        <f>AA64*Teams!$E$19*AA63</f>
        <v>51</v>
      </c>
      <c r="AB65" s="22">
        <f>AB64*Teams!$E$19*AB63</f>
        <v>51</v>
      </c>
      <c r="AC65" s="22">
        <f>AC64*Teams!$E$19*AC63</f>
        <v>51</v>
      </c>
      <c r="AD65" s="22">
        <f>AD64*Teams!$E$19*AD63</f>
        <v>51</v>
      </c>
      <c r="AE65" s="22">
        <f>AE64*Teams!$E$19*AE63</f>
        <v>51</v>
      </c>
      <c r="AF65" s="22">
        <f>AF64*Teams!$E$19*AF63</f>
        <v>51</v>
      </c>
      <c r="AG65" s="22">
        <f>AG64*Teams!$E$19*AG63</f>
        <v>51</v>
      </c>
      <c r="AH65" s="22">
        <f>AH64*Teams!$E$19*AH63</f>
        <v>51</v>
      </c>
      <c r="AI65" s="22">
        <f>AI64*Teams!$E$19*AI63</f>
        <v>51</v>
      </c>
      <c r="AJ65" s="22">
        <f>AJ64*Teams!$E$19*AJ63</f>
        <v>51</v>
      </c>
      <c r="AK65" s="22">
        <f>AK64*Teams!$E$19*AK63</f>
        <v>51</v>
      </c>
      <c r="AL65" s="22">
        <f>AL64*Teams!$E$19*AL63</f>
        <v>51</v>
      </c>
      <c r="AM65" s="22">
        <f>AM64*Teams!$E$19*AM63</f>
        <v>51</v>
      </c>
      <c r="AN65" s="22">
        <f>AN64*Teams!$E$19*AN63</f>
        <v>51</v>
      </c>
      <c r="AO65" s="22">
        <f>AO64*Teams!$E$19*AO63</f>
        <v>51</v>
      </c>
      <c r="AP65" s="22">
        <f>AP64*Teams!$E$19*AP63</f>
        <v>51</v>
      </c>
      <c r="AQ65" s="22">
        <f>AQ64*Teams!$E$19*AQ63</f>
        <v>51</v>
      </c>
      <c r="AR65" s="22">
        <f>AR64*Teams!$E$19*AR63</f>
        <v>51</v>
      </c>
      <c r="AS65" s="22">
        <f>AS64*Teams!$E$19*AS63</f>
        <v>51</v>
      </c>
      <c r="AT65" s="22">
        <f>AT64*Teams!$E$19*AT63</f>
        <v>51</v>
      </c>
      <c r="AU65" s="22">
        <f>AU64*Teams!$E$19*AU63</f>
        <v>51</v>
      </c>
      <c r="AV65" s="22">
        <f>AV64*Teams!$E$19*AV63</f>
        <v>51</v>
      </c>
      <c r="AW65" s="22">
        <f>AW64*Teams!$E$19*AW63</f>
        <v>51</v>
      </c>
      <c r="AX65" s="22">
        <f>AX64*Teams!$E$19*AX63</f>
        <v>51</v>
      </c>
      <c r="AY65" s="22">
        <f>AY64*Teams!$E$19*AY63</f>
        <v>51</v>
      </c>
      <c r="AZ65" s="22">
        <f>AZ64*Teams!$E$19*AZ63</f>
        <v>51</v>
      </c>
      <c r="BA65" s="22">
        <f>BA64*Teams!$E$19*BA63</f>
        <v>51</v>
      </c>
      <c r="BB65" s="22">
        <f>BB64*Teams!$E$19*BB63</f>
        <v>51</v>
      </c>
      <c r="BC65" s="22">
        <f>BC64*Teams!$E$19*BC63</f>
        <v>51</v>
      </c>
      <c r="BD65" s="22">
        <f>BD64*Teams!$E$19*BD63</f>
        <v>51</v>
      </c>
      <c r="BE65" s="22">
        <f>BE64*Teams!$E$19*BE63</f>
        <v>51</v>
      </c>
      <c r="BF65" s="22">
        <f>BF64*Teams!$E$19*BF63</f>
        <v>51</v>
      </c>
      <c r="BG65" s="22">
        <f>BG64*Teams!$E$19*BG63</f>
        <v>51</v>
      </c>
      <c r="BH65" s="22">
        <f>BH64*Teams!$E$19*BH63</f>
        <v>51</v>
      </c>
      <c r="BI65" s="22">
        <f>BI64*Teams!$E$19*BI63</f>
        <v>51</v>
      </c>
      <c r="BJ65" s="22">
        <f>BJ64*Teams!$E$19*BJ63</f>
        <v>51</v>
      </c>
      <c r="BK65" s="22">
        <f>BK64*Teams!$E$19*BK63</f>
        <v>51</v>
      </c>
      <c r="BL65" s="22">
        <f>BL64*Teams!$E$19*BL63</f>
        <v>51</v>
      </c>
    </row>
    <row r="66" spans="1:64" x14ac:dyDescent="0.3">
      <c r="A66" s="8" t="s">
        <v>28</v>
      </c>
      <c r="C66" s="22">
        <f>SUMPRODUCT(E66:BL66,E$5:BL$5)</f>
        <v>1300000</v>
      </c>
      <c r="E66" s="22">
        <f>IF(Teams!$E$23="per user",E65*Teams!$E$24,Teams!$E$25*E63)</f>
        <v>0</v>
      </c>
      <c r="F66" s="22">
        <f>IF(Teams!$E$23="per user",F65*Teams!$E$24,Teams!$E$25*F63)</f>
        <v>2962.9629629629626</v>
      </c>
      <c r="G66" s="22">
        <f>IF(Teams!$E$23="per user",G65*Teams!$E$24,Teams!$E$25*G63)</f>
        <v>10370.37037037037</v>
      </c>
      <c r="H66" s="22">
        <f>IF(Teams!$E$23="per user",H65*Teams!$E$24,Teams!$E$25*H63)</f>
        <v>20000</v>
      </c>
      <c r="I66" s="22">
        <f>IF(Teams!$E$23="per user",I65*Teams!$E$24,Teams!$E$25*I63)</f>
        <v>29629.629629629628</v>
      </c>
      <c r="J66" s="22">
        <f>IF(Teams!$E$23="per user",J65*Teams!$E$24,Teams!$E$25*J63)</f>
        <v>37037.037037037044</v>
      </c>
      <c r="K66" s="22">
        <f>IF(Teams!$E$23="per user",K65*Teams!$E$24,Teams!$E$25*K63)</f>
        <v>40000</v>
      </c>
      <c r="L66" s="22">
        <f>IF(Teams!$E$23="per user",L65*Teams!$E$24,Teams!$E$25*L63)</f>
        <v>40000</v>
      </c>
      <c r="M66" s="22">
        <f>IF(Teams!$E$23="per user",M65*Teams!$E$24,Teams!$E$25*M63)</f>
        <v>40000</v>
      </c>
      <c r="N66" s="22">
        <f>IF(Teams!$E$23="per user",N65*Teams!$E$24,Teams!$E$25*N63)</f>
        <v>40000</v>
      </c>
      <c r="O66" s="22">
        <f>IF(Teams!$E$23="per user",O65*Teams!$E$24,Teams!$E$25*O63)</f>
        <v>40000</v>
      </c>
      <c r="P66" s="22">
        <f>IF(Teams!$E$23="per user",P65*Teams!$E$24,Teams!$E$25*P63)</f>
        <v>40000</v>
      </c>
      <c r="Q66" s="22">
        <f>IF(Teams!$E$23="per user",Q65*Teams!$E$24,Teams!$E$25*Q63)</f>
        <v>40000</v>
      </c>
      <c r="R66" s="22">
        <f>IF(Teams!$E$23="per user",R65*Teams!$E$24,Teams!$E$25*R63)</f>
        <v>40000</v>
      </c>
      <c r="S66" s="22">
        <f>IF(Teams!$E$23="per user",S65*Teams!$E$24,Teams!$E$25*S63)</f>
        <v>40000</v>
      </c>
      <c r="T66" s="22">
        <f>IF(Teams!$E$23="per user",T65*Teams!$E$24,Teams!$E$25*T63)</f>
        <v>40000</v>
      </c>
      <c r="U66" s="22">
        <f>IF(Teams!$E$23="per user",U65*Teams!$E$24,Teams!$E$25*U63)</f>
        <v>40000</v>
      </c>
      <c r="V66" s="22">
        <f>IF(Teams!$E$23="per user",V65*Teams!$E$24,Teams!$E$25*V63)</f>
        <v>40000</v>
      </c>
      <c r="W66" s="22">
        <f>IF(Teams!$E$23="per user",W65*Teams!$E$24,Teams!$E$25*W63)</f>
        <v>40000</v>
      </c>
      <c r="X66" s="22">
        <f>IF(Teams!$E$23="per user",X65*Teams!$E$24,Teams!$E$25*X63)</f>
        <v>40000</v>
      </c>
      <c r="Y66" s="22">
        <f>IF(Teams!$E$23="per user",Y65*Teams!$E$24,Teams!$E$25*Y63)</f>
        <v>40000</v>
      </c>
      <c r="Z66" s="22">
        <f>IF(Teams!$E$23="per user",Z65*Teams!$E$24,Teams!$E$25*Z63)</f>
        <v>40000</v>
      </c>
      <c r="AA66" s="22">
        <f>IF(Teams!$E$23="per user",AA65*Teams!$E$24,Teams!$E$25*AA63)</f>
        <v>40000</v>
      </c>
      <c r="AB66" s="22">
        <f>IF(Teams!$E$23="per user",AB65*Teams!$E$24,Teams!$E$25*AB63)</f>
        <v>40000</v>
      </c>
      <c r="AC66" s="22">
        <f>IF(Teams!$E$23="per user",AC65*Teams!$E$24,Teams!$E$25*AC63)</f>
        <v>40000</v>
      </c>
      <c r="AD66" s="22">
        <f>IF(Teams!$E$23="per user",AD65*Teams!$E$24,Teams!$E$25*AD63)</f>
        <v>40000</v>
      </c>
      <c r="AE66" s="22">
        <f>IF(Teams!$E$23="per user",AE65*Teams!$E$24,Teams!$E$25*AE63)</f>
        <v>40000</v>
      </c>
      <c r="AF66" s="22">
        <f>IF(Teams!$E$23="per user",AF65*Teams!$E$24,Teams!$E$25*AF63)</f>
        <v>40000</v>
      </c>
      <c r="AG66" s="22">
        <f>IF(Teams!$E$23="per user",AG65*Teams!$E$24,Teams!$E$25*AG63)</f>
        <v>40000</v>
      </c>
      <c r="AH66" s="22">
        <f>IF(Teams!$E$23="per user",AH65*Teams!$E$24,Teams!$E$25*AH63)</f>
        <v>40000</v>
      </c>
      <c r="AI66" s="22">
        <f>IF(Teams!$E$23="per user",AI65*Teams!$E$24,Teams!$E$25*AI63)</f>
        <v>40000</v>
      </c>
      <c r="AJ66" s="22">
        <f>IF(Teams!$E$23="per user",AJ65*Teams!$E$24,Teams!$E$25*AJ63)</f>
        <v>40000</v>
      </c>
      <c r="AK66" s="22">
        <f>IF(Teams!$E$23="per user",AK65*Teams!$E$24,Teams!$E$25*AK63)</f>
        <v>40000</v>
      </c>
      <c r="AL66" s="22">
        <f>IF(Teams!$E$23="per user",AL65*Teams!$E$24,Teams!$E$25*AL63)</f>
        <v>40000</v>
      </c>
      <c r="AM66" s="22">
        <f>IF(Teams!$E$23="per user",AM65*Teams!$E$24,Teams!$E$25*AM63)</f>
        <v>40000</v>
      </c>
      <c r="AN66" s="22">
        <f>IF(Teams!$E$23="per user",AN65*Teams!$E$24,Teams!$E$25*AN63)</f>
        <v>40000</v>
      </c>
      <c r="AO66" s="22">
        <f>IF(Teams!$E$23="per user",AO65*Teams!$E$24,Teams!$E$25*AO63)</f>
        <v>40000</v>
      </c>
      <c r="AP66" s="22">
        <f>IF(Teams!$E$23="per user",AP65*Teams!$E$24,Teams!$E$25*AP63)</f>
        <v>40000</v>
      </c>
      <c r="AQ66" s="22">
        <f>IF(Teams!$E$23="per user",AQ65*Teams!$E$24,Teams!$E$25*AQ63)</f>
        <v>40000</v>
      </c>
      <c r="AR66" s="22">
        <f>IF(Teams!$E$23="per user",AR65*Teams!$E$24,Teams!$E$25*AR63)</f>
        <v>40000</v>
      </c>
      <c r="AS66" s="22">
        <f>IF(Teams!$E$23="per user",AS65*Teams!$E$24,Teams!$E$25*AS63)</f>
        <v>40000</v>
      </c>
      <c r="AT66" s="22">
        <f>IF(Teams!$E$23="per user",AT65*Teams!$E$24,Teams!$E$25*AT63)</f>
        <v>40000</v>
      </c>
      <c r="AU66" s="22">
        <f>IF(Teams!$E$23="per user",AU65*Teams!$E$24,Teams!$E$25*AU63)</f>
        <v>40000</v>
      </c>
      <c r="AV66" s="22">
        <f>IF(Teams!$E$23="per user",AV65*Teams!$E$24,Teams!$E$25*AV63)</f>
        <v>40000</v>
      </c>
      <c r="AW66" s="22">
        <f>IF(Teams!$E$23="per user",AW65*Teams!$E$24,Teams!$E$25*AW63)</f>
        <v>40000</v>
      </c>
      <c r="AX66" s="22">
        <f>IF(Teams!$E$23="per user",AX65*Teams!$E$24,Teams!$E$25*AX63)</f>
        <v>40000</v>
      </c>
      <c r="AY66" s="22">
        <f>IF(Teams!$E$23="per user",AY65*Teams!$E$24,Teams!$E$25*AY63)</f>
        <v>40000</v>
      </c>
      <c r="AZ66" s="22">
        <f>IF(Teams!$E$23="per user",AZ65*Teams!$E$24,Teams!$E$25*AZ63)</f>
        <v>40000</v>
      </c>
      <c r="BA66" s="22">
        <f>IF(Teams!$E$23="per user",BA65*Teams!$E$24,Teams!$E$25*BA63)</f>
        <v>40000</v>
      </c>
      <c r="BB66" s="22">
        <f>IF(Teams!$E$23="per user",BB65*Teams!$E$24,Teams!$E$25*BB63)</f>
        <v>40000</v>
      </c>
      <c r="BC66" s="22">
        <f>IF(Teams!$E$23="per user",BC65*Teams!$E$24,Teams!$E$25*BC63)</f>
        <v>40000</v>
      </c>
      <c r="BD66" s="22">
        <f>IF(Teams!$E$23="per user",BD65*Teams!$E$24,Teams!$E$25*BD63)</f>
        <v>40000</v>
      </c>
      <c r="BE66" s="22">
        <f>IF(Teams!$E$23="per user",BE65*Teams!$E$24,Teams!$E$25*BE63)</f>
        <v>40000</v>
      </c>
      <c r="BF66" s="22">
        <f>IF(Teams!$E$23="per user",BF65*Teams!$E$24,Teams!$E$25*BF63)</f>
        <v>40000</v>
      </c>
      <c r="BG66" s="22">
        <f>IF(Teams!$E$23="per user",BG65*Teams!$E$24,Teams!$E$25*BG63)</f>
        <v>40000</v>
      </c>
      <c r="BH66" s="22">
        <f>IF(Teams!$E$23="per user",BH65*Teams!$E$24,Teams!$E$25*BH63)</f>
        <v>40000</v>
      </c>
      <c r="BI66" s="22">
        <f>IF(Teams!$E$23="per user",BI65*Teams!$E$24,Teams!$E$25*BI63)</f>
        <v>40000</v>
      </c>
      <c r="BJ66" s="22">
        <f>IF(Teams!$E$23="per user",BJ65*Teams!$E$24,Teams!$E$25*BJ63)</f>
        <v>40000</v>
      </c>
      <c r="BK66" s="22">
        <f>IF(Teams!$E$23="per user",BK65*Teams!$E$24,Teams!$E$25*BK63)</f>
        <v>40000</v>
      </c>
      <c r="BL66" s="22">
        <f>IF(Teams!$E$23="per user",BL65*Teams!$E$24,Teams!$E$25*BL63)</f>
        <v>40000</v>
      </c>
    </row>
    <row r="67" spans="1:64" x14ac:dyDescent="0.3">
      <c r="A67" s="8" t="s">
        <v>665</v>
      </c>
      <c r="B67" s="18" t="s">
        <v>435</v>
      </c>
      <c r="C67" s="44">
        <f t="shared" ref="C67:C85" si="20">SUM(D67:BL67)</f>
        <v>0</v>
      </c>
      <c r="E67" s="44">
        <f>E$5*Teams!$E$60*E64*Teams!$E$66</f>
        <v>0</v>
      </c>
      <c r="F67" s="44">
        <f>F$5*Teams!$E$60*F64*Teams!$E$66</f>
        <v>0</v>
      </c>
      <c r="G67" s="44">
        <f>G$5*Teams!$E$60*G64*Teams!$E$66</f>
        <v>0</v>
      </c>
      <c r="H67" s="44">
        <f>H$5*Teams!$E$60*H64*Teams!$E$66</f>
        <v>0</v>
      </c>
      <c r="I67" s="44">
        <f>I$5*Teams!$E$60*I64*Teams!$E$66</f>
        <v>0</v>
      </c>
      <c r="J67" s="44">
        <f>J$5*Teams!$E$60*J64*Teams!$E$66</f>
        <v>0</v>
      </c>
      <c r="K67" s="44">
        <f>K$5*Teams!$E$60*K64*Teams!$E$66</f>
        <v>0</v>
      </c>
      <c r="L67" s="44">
        <f>L$5*Teams!$E$60*L64*Teams!$E$66</f>
        <v>0</v>
      </c>
      <c r="M67" s="44">
        <f>M$5*Teams!$E$60*M64*Teams!$E$66</f>
        <v>0</v>
      </c>
      <c r="N67" s="44">
        <f>N$5*Teams!$E$60*N64*Teams!$E$66</f>
        <v>0</v>
      </c>
      <c r="O67" s="44">
        <f>O$5*Teams!$E$60*O64*Teams!$E$66</f>
        <v>0</v>
      </c>
      <c r="P67" s="44">
        <f>P$5*Teams!$E$60*P64*Teams!$E$66</f>
        <v>0</v>
      </c>
      <c r="Q67" s="44">
        <f>Q$5*Teams!$E$60*Q64*Teams!$E$66</f>
        <v>0</v>
      </c>
      <c r="R67" s="44">
        <f>R$5*Teams!$E$60*R64*Teams!$E$66</f>
        <v>0</v>
      </c>
      <c r="S67" s="44">
        <f>S$5*Teams!$E$60*S64*Teams!$E$66</f>
        <v>0</v>
      </c>
      <c r="T67" s="44">
        <f>T$5*Teams!$E$60*T64*Teams!$E$66</f>
        <v>0</v>
      </c>
      <c r="U67" s="44">
        <f>U$5*Teams!$E$60*U64*Teams!$E$66</f>
        <v>0</v>
      </c>
      <c r="V67" s="44">
        <f>V$5*Teams!$E$60*V64*Teams!$E$66</f>
        <v>0</v>
      </c>
      <c r="W67" s="44">
        <f>W$5*Teams!$E$60*W64*Teams!$E$66</f>
        <v>0</v>
      </c>
      <c r="X67" s="44">
        <f>X$5*Teams!$E$60*X64*Teams!$E$66</f>
        <v>0</v>
      </c>
      <c r="Y67" s="44">
        <f>Y$5*Teams!$E$60*Y64*Teams!$E$66</f>
        <v>0</v>
      </c>
      <c r="Z67" s="44">
        <f>Z$5*Teams!$E$60*Z64*Teams!$E$66</f>
        <v>0</v>
      </c>
      <c r="AA67" s="44">
        <f>AA$5*Teams!$E$60*AA64*Teams!$E$66</f>
        <v>0</v>
      </c>
      <c r="AB67" s="44">
        <f>AB$5*Teams!$E$60*AB64*Teams!$E$66</f>
        <v>0</v>
      </c>
      <c r="AC67" s="44">
        <f>AC$5*Teams!$E$60*AC64*Teams!$E$66</f>
        <v>0</v>
      </c>
      <c r="AD67" s="44">
        <f>AD$5*Teams!$E$60*AD64*Teams!$E$66</f>
        <v>0</v>
      </c>
      <c r="AE67" s="44">
        <f>AE$5*Teams!$E$60*AE64*Teams!$E$66</f>
        <v>0</v>
      </c>
      <c r="AF67" s="44">
        <f>AF$5*Teams!$E$60*AF64*Teams!$E$66</f>
        <v>0</v>
      </c>
      <c r="AG67" s="44">
        <f>AG$5*Teams!$E$60*AG64*Teams!$E$66</f>
        <v>0</v>
      </c>
      <c r="AH67" s="44">
        <f>AH$5*Teams!$E$60*AH64*Teams!$E$66</f>
        <v>0</v>
      </c>
      <c r="AI67" s="44">
        <f>AI$5*Teams!$E$60*AI64*Teams!$E$66</f>
        <v>0</v>
      </c>
      <c r="AJ67" s="44">
        <f>AJ$5*Teams!$E$60*AJ64*Teams!$E$66</f>
        <v>0</v>
      </c>
      <c r="AK67" s="44">
        <f>AK$5*Teams!$E$60*AK64*Teams!$E$66</f>
        <v>0</v>
      </c>
      <c r="AL67" s="44">
        <f>AL$5*Teams!$E$60*AL64*Teams!$E$66</f>
        <v>0</v>
      </c>
      <c r="AM67" s="44">
        <f>AM$5*Teams!$E$60*AM64*Teams!$E$66</f>
        <v>0</v>
      </c>
      <c r="AN67" s="44">
        <f>AN$5*Teams!$E$60*AN64*Teams!$E$66</f>
        <v>0</v>
      </c>
      <c r="AO67" s="44">
        <f>AO$5*Teams!$E$60*AO64*Teams!$E$66</f>
        <v>0</v>
      </c>
      <c r="AP67" s="44">
        <f>AP$5*Teams!$E$60*AP64*Teams!$E$66</f>
        <v>0</v>
      </c>
      <c r="AQ67" s="44">
        <f>AQ$5*Teams!$E$60*AQ64*Teams!$E$66</f>
        <v>0</v>
      </c>
      <c r="AR67" s="44">
        <f>AR$5*Teams!$E$60*AR64*Teams!$E$66</f>
        <v>0</v>
      </c>
      <c r="AS67" s="44">
        <f>AS$5*Teams!$E$60*AS64*Teams!$E$66</f>
        <v>0</v>
      </c>
      <c r="AT67" s="44">
        <f>AT$5*Teams!$E$60*AT64*Teams!$E$66</f>
        <v>0</v>
      </c>
      <c r="AU67" s="44">
        <f>AU$5*Teams!$E$60*AU64*Teams!$E$66</f>
        <v>0</v>
      </c>
      <c r="AV67" s="44">
        <f>AV$5*Teams!$E$60*AV64*Teams!$E$66</f>
        <v>0</v>
      </c>
      <c r="AW67" s="44">
        <f>AW$5*Teams!$E$60*AW64*Teams!$E$66</f>
        <v>0</v>
      </c>
      <c r="AX67" s="44">
        <f>AX$5*Teams!$E$60*AX64*Teams!$E$66</f>
        <v>0</v>
      </c>
      <c r="AY67" s="44">
        <f>AY$5*Teams!$E$60*AY64*Teams!$E$66</f>
        <v>0</v>
      </c>
      <c r="AZ67" s="44">
        <f>AZ$5*Teams!$E$60*AZ64*Teams!$E$66</f>
        <v>0</v>
      </c>
      <c r="BA67" s="44">
        <f>BA$5*Teams!$E$60*BA64*Teams!$E$66</f>
        <v>0</v>
      </c>
      <c r="BB67" s="44">
        <f>BB$5*Teams!$E$60*BB64*Teams!$E$66</f>
        <v>0</v>
      </c>
      <c r="BC67" s="44">
        <f>BC$5*Teams!$E$60*BC64*Teams!$E$66</f>
        <v>0</v>
      </c>
      <c r="BD67" s="44">
        <f>BD$5*Teams!$E$60*BD64*Teams!$E$66</f>
        <v>0</v>
      </c>
      <c r="BE67" s="44">
        <f>BE$5*Teams!$E$60*BE64*Teams!$E$66</f>
        <v>0</v>
      </c>
      <c r="BF67" s="44">
        <f>BF$5*Teams!$E$60*BF64*Teams!$E$66</f>
        <v>0</v>
      </c>
      <c r="BG67" s="44">
        <f>BG$5*Teams!$E$60*BG64*Teams!$E$66</f>
        <v>0</v>
      </c>
      <c r="BH67" s="44">
        <f>BH$5*Teams!$E$60*BH64*Teams!$E$66</f>
        <v>0</v>
      </c>
      <c r="BI67" s="44">
        <f>BI$5*Teams!$E$60*BI64*Teams!$E$66</f>
        <v>0</v>
      </c>
      <c r="BJ67" s="44">
        <f>BJ$5*Teams!$E$60*BJ64*Teams!$E$66</f>
        <v>0</v>
      </c>
      <c r="BK67" s="44">
        <f>BK$5*Teams!$E$60*BK64*Teams!$E$66</f>
        <v>0</v>
      </c>
      <c r="BL67" s="44">
        <f>BL$5*Teams!$E$60*BL64*Teams!$E$66</f>
        <v>0</v>
      </c>
    </row>
    <row r="68" spans="1:64" x14ac:dyDescent="0.3">
      <c r="A68" s="8" t="s">
        <v>666</v>
      </c>
      <c r="B68" s="18" t="s">
        <v>435</v>
      </c>
      <c r="C68" s="44">
        <f t="shared" si="20"/>
        <v>0</v>
      </c>
      <c r="E68" s="44">
        <f>E$5*IF(Teams!$E$61=1,E65*((1-Teams!$E$13)*MAX(0,Teams!$E$72*$C$62-Teams!$E$12)+Teams!$E$13*MAX(0,Teams!$E$73*$C$62-Teams!$E$12)),IF(Teams!$E$62=1,E66*$C$62,0))</f>
        <v>0</v>
      </c>
      <c r="F68" s="44">
        <f>F$5*IF(Teams!$E$61=1,F65*((1-Teams!$E$13)*MAX(0,Teams!$E$72*$C$62-Teams!$E$12)+Teams!$E$13*MAX(0,Teams!$E$73*$C$62-Teams!$E$12)),IF(Teams!$E$62=1,F66*$C$62,0))</f>
        <v>0</v>
      </c>
      <c r="G68" s="44">
        <f>G$5*IF(Teams!$E$61=1,G65*((1-Teams!$E$13)*MAX(0,Teams!$E$72*$C$62-Teams!$E$12)+Teams!$E$13*MAX(0,Teams!$E$73*$C$62-Teams!$E$12)),IF(Teams!$E$62=1,G66*$C$62,0))</f>
        <v>0</v>
      </c>
      <c r="H68" s="44">
        <f>H$5*IF(Teams!$E$61=1,H65*((1-Teams!$E$13)*MAX(0,Teams!$E$72*$C$62-Teams!$E$12)+Teams!$E$13*MAX(0,Teams!$E$73*$C$62-Teams!$E$12)),IF(Teams!$E$62=1,H66*$C$62,0))</f>
        <v>0</v>
      </c>
      <c r="I68" s="44">
        <f>I$5*IF(Teams!$E$61=1,I65*((1-Teams!$E$13)*MAX(0,Teams!$E$72*$C$62-Teams!$E$12)+Teams!$E$13*MAX(0,Teams!$E$73*$C$62-Teams!$E$12)),IF(Teams!$E$62=1,I66*$C$62,0))</f>
        <v>0</v>
      </c>
      <c r="J68" s="44">
        <f>J$5*IF(Teams!$E$61=1,J65*((1-Teams!$E$13)*MAX(0,Teams!$E$72*$C$62-Teams!$E$12)+Teams!$E$13*MAX(0,Teams!$E$73*$C$62-Teams!$E$12)),IF(Teams!$E$62=1,J66*$C$62,0))</f>
        <v>0</v>
      </c>
      <c r="K68" s="44">
        <f>K$5*IF(Teams!$E$61=1,K65*((1-Teams!$E$13)*MAX(0,Teams!$E$72*$C$62-Teams!$E$12)+Teams!$E$13*MAX(0,Teams!$E$73*$C$62-Teams!$E$12)),IF(Teams!$E$62=1,K66*$C$62,0))</f>
        <v>0</v>
      </c>
      <c r="L68" s="44">
        <f>L$5*IF(Teams!$E$61=1,L65*((1-Teams!$E$13)*MAX(0,Teams!$E$72*$C$62-Teams!$E$12)+Teams!$E$13*MAX(0,Teams!$E$73*$C$62-Teams!$E$12)),IF(Teams!$E$62=1,L66*$C$62,0))</f>
        <v>0</v>
      </c>
      <c r="M68" s="44">
        <f>M$5*IF(Teams!$E$61=1,M65*((1-Teams!$E$13)*MAX(0,Teams!$E$72*$C$62-Teams!$E$12)+Teams!$E$13*MAX(0,Teams!$E$73*$C$62-Teams!$E$12)),IF(Teams!$E$62=1,M66*$C$62,0))</f>
        <v>0</v>
      </c>
      <c r="N68" s="44">
        <f>N$5*IF(Teams!$E$61=1,N65*((1-Teams!$E$13)*MAX(0,Teams!$E$72*$C$62-Teams!$E$12)+Teams!$E$13*MAX(0,Teams!$E$73*$C$62-Teams!$E$12)),IF(Teams!$E$62=1,N66*$C$62,0))</f>
        <v>0</v>
      </c>
      <c r="O68" s="44">
        <f>O$5*IF(Teams!$E$61=1,O65*((1-Teams!$E$13)*MAX(0,Teams!$E$72*$C$62-Teams!$E$12)+Teams!$E$13*MAX(0,Teams!$E$73*$C$62-Teams!$E$12)),IF(Teams!$E$62=1,O66*$C$62,0))</f>
        <v>0</v>
      </c>
      <c r="P68" s="44">
        <f>P$5*IF(Teams!$E$61=1,P65*((1-Teams!$E$13)*MAX(0,Teams!$E$72*$C$62-Teams!$E$12)+Teams!$E$13*MAX(0,Teams!$E$73*$C$62-Teams!$E$12)),IF(Teams!$E$62=1,P66*$C$62,0))</f>
        <v>0</v>
      </c>
      <c r="Q68" s="44">
        <f>Q$5*IF(Teams!$E$61=1,Q65*((1-Teams!$E$13)*MAX(0,Teams!$E$72*$C$62-Teams!$E$12)+Teams!$E$13*MAX(0,Teams!$E$73*$C$62-Teams!$E$12)),IF(Teams!$E$62=1,Q66*$C$62,0))</f>
        <v>0</v>
      </c>
      <c r="R68" s="44">
        <f>R$5*IF(Teams!$E$61=1,R65*((1-Teams!$E$13)*MAX(0,Teams!$E$72*$C$62-Teams!$E$12)+Teams!$E$13*MAX(0,Teams!$E$73*$C$62-Teams!$E$12)),IF(Teams!$E$62=1,R66*$C$62,0))</f>
        <v>0</v>
      </c>
      <c r="S68" s="44">
        <f>S$5*IF(Teams!$E$61=1,S65*((1-Teams!$E$13)*MAX(0,Teams!$E$72*$C$62-Teams!$E$12)+Teams!$E$13*MAX(0,Teams!$E$73*$C$62-Teams!$E$12)),IF(Teams!$E$62=1,S66*$C$62,0))</f>
        <v>0</v>
      </c>
      <c r="T68" s="44">
        <f>T$5*IF(Teams!$E$61=1,T65*((1-Teams!$E$13)*MAX(0,Teams!$E$72*$C$62-Teams!$E$12)+Teams!$E$13*MAX(0,Teams!$E$73*$C$62-Teams!$E$12)),IF(Teams!$E$62=1,T66*$C$62,0))</f>
        <v>0</v>
      </c>
      <c r="U68" s="44">
        <f>U$5*IF(Teams!$E$61=1,U65*((1-Teams!$E$13)*MAX(0,Teams!$E$72*$C$62-Teams!$E$12)+Teams!$E$13*MAX(0,Teams!$E$73*$C$62-Teams!$E$12)),IF(Teams!$E$62=1,U66*$C$62,0))</f>
        <v>0</v>
      </c>
      <c r="V68" s="44">
        <f>V$5*IF(Teams!$E$61=1,V65*((1-Teams!$E$13)*MAX(0,Teams!$E$72*$C$62-Teams!$E$12)+Teams!$E$13*MAX(0,Teams!$E$73*$C$62-Teams!$E$12)),IF(Teams!$E$62=1,V66*$C$62,0))</f>
        <v>0</v>
      </c>
      <c r="W68" s="44">
        <f>W$5*IF(Teams!$E$61=1,W65*((1-Teams!$E$13)*MAX(0,Teams!$E$72*$C$62-Teams!$E$12)+Teams!$E$13*MAX(0,Teams!$E$73*$C$62-Teams!$E$12)),IF(Teams!$E$62=1,W66*$C$62,0))</f>
        <v>0</v>
      </c>
      <c r="X68" s="44">
        <f>X$5*IF(Teams!$E$61=1,X65*((1-Teams!$E$13)*MAX(0,Teams!$E$72*$C$62-Teams!$E$12)+Teams!$E$13*MAX(0,Teams!$E$73*$C$62-Teams!$E$12)),IF(Teams!$E$62=1,X66*$C$62,0))</f>
        <v>0</v>
      </c>
      <c r="Y68" s="44">
        <f>Y$5*IF(Teams!$E$61=1,Y65*((1-Teams!$E$13)*MAX(0,Teams!$E$72*$C$62-Teams!$E$12)+Teams!$E$13*MAX(0,Teams!$E$73*$C$62-Teams!$E$12)),IF(Teams!$E$62=1,Y66*$C$62,0))</f>
        <v>0</v>
      </c>
      <c r="Z68" s="44">
        <f>Z$5*IF(Teams!$E$61=1,Z65*((1-Teams!$E$13)*MAX(0,Teams!$E$72*$C$62-Teams!$E$12)+Teams!$E$13*MAX(0,Teams!$E$73*$C$62-Teams!$E$12)),IF(Teams!$E$62=1,Z66*$C$62,0))</f>
        <v>0</v>
      </c>
      <c r="AA68" s="44">
        <f>AA$5*IF(Teams!$E$61=1,AA65*((1-Teams!$E$13)*MAX(0,Teams!$E$72*$C$62-Teams!$E$12)+Teams!$E$13*MAX(0,Teams!$E$73*$C$62-Teams!$E$12)),IF(Teams!$E$62=1,AA66*$C$62,0))</f>
        <v>0</v>
      </c>
      <c r="AB68" s="44">
        <f>AB$5*IF(Teams!$E$61=1,AB65*((1-Teams!$E$13)*MAX(0,Teams!$E$72*$C$62-Teams!$E$12)+Teams!$E$13*MAX(0,Teams!$E$73*$C$62-Teams!$E$12)),IF(Teams!$E$62=1,AB66*$C$62,0))</f>
        <v>0</v>
      </c>
      <c r="AC68" s="44">
        <f>AC$5*IF(Teams!$E$61=1,AC65*((1-Teams!$E$13)*MAX(0,Teams!$E$72*$C$62-Teams!$E$12)+Teams!$E$13*MAX(0,Teams!$E$73*$C$62-Teams!$E$12)),IF(Teams!$E$62=1,AC66*$C$62,0))</f>
        <v>0</v>
      </c>
      <c r="AD68" s="44">
        <f>AD$5*IF(Teams!$E$61=1,AD65*((1-Teams!$E$13)*MAX(0,Teams!$E$72*$C$62-Teams!$E$12)+Teams!$E$13*MAX(0,Teams!$E$73*$C$62-Teams!$E$12)),IF(Teams!$E$62=1,AD66*$C$62,0))</f>
        <v>0</v>
      </c>
      <c r="AE68" s="44">
        <f>AE$5*IF(Teams!$E$61=1,AE65*((1-Teams!$E$13)*MAX(0,Teams!$E$72*$C$62-Teams!$E$12)+Teams!$E$13*MAX(0,Teams!$E$73*$C$62-Teams!$E$12)),IF(Teams!$E$62=1,AE66*$C$62,0))</f>
        <v>0</v>
      </c>
      <c r="AF68" s="44">
        <f>AF$5*IF(Teams!$E$61=1,AF65*((1-Teams!$E$13)*MAX(0,Teams!$E$72*$C$62-Teams!$E$12)+Teams!$E$13*MAX(0,Teams!$E$73*$C$62-Teams!$E$12)),IF(Teams!$E$62=1,AF66*$C$62,0))</f>
        <v>0</v>
      </c>
      <c r="AG68" s="44">
        <f>AG$5*IF(Teams!$E$61=1,AG65*((1-Teams!$E$13)*MAX(0,Teams!$E$72*$C$62-Teams!$E$12)+Teams!$E$13*MAX(0,Teams!$E$73*$C$62-Teams!$E$12)),IF(Teams!$E$62=1,AG66*$C$62,0))</f>
        <v>0</v>
      </c>
      <c r="AH68" s="44">
        <f>AH$5*IF(Teams!$E$61=1,AH65*((1-Teams!$E$13)*MAX(0,Teams!$E$72*$C$62-Teams!$E$12)+Teams!$E$13*MAX(0,Teams!$E$73*$C$62-Teams!$E$12)),IF(Teams!$E$62=1,AH66*$C$62,0))</f>
        <v>0</v>
      </c>
      <c r="AI68" s="44">
        <f>AI$5*IF(Teams!$E$61=1,AI65*((1-Teams!$E$13)*MAX(0,Teams!$E$72*$C$62-Teams!$E$12)+Teams!$E$13*MAX(0,Teams!$E$73*$C$62-Teams!$E$12)),IF(Teams!$E$62=1,AI66*$C$62,0))</f>
        <v>0</v>
      </c>
      <c r="AJ68" s="44">
        <f>AJ$5*IF(Teams!$E$61=1,AJ65*((1-Teams!$E$13)*MAX(0,Teams!$E$72*$C$62-Teams!$E$12)+Teams!$E$13*MAX(0,Teams!$E$73*$C$62-Teams!$E$12)),IF(Teams!$E$62=1,AJ66*$C$62,0))</f>
        <v>0</v>
      </c>
      <c r="AK68" s="44">
        <f>AK$5*IF(Teams!$E$61=1,AK65*((1-Teams!$E$13)*MAX(0,Teams!$E$72*$C$62-Teams!$E$12)+Teams!$E$13*MAX(0,Teams!$E$73*$C$62-Teams!$E$12)),IF(Teams!$E$62=1,AK66*$C$62,0))</f>
        <v>0</v>
      </c>
      <c r="AL68" s="44">
        <f>AL$5*IF(Teams!$E$61=1,AL65*((1-Teams!$E$13)*MAX(0,Teams!$E$72*$C$62-Teams!$E$12)+Teams!$E$13*MAX(0,Teams!$E$73*$C$62-Teams!$E$12)),IF(Teams!$E$62=1,AL66*$C$62,0))</f>
        <v>0</v>
      </c>
      <c r="AM68" s="44">
        <f>AM$5*IF(Teams!$E$61=1,AM65*((1-Teams!$E$13)*MAX(0,Teams!$E$72*$C$62-Teams!$E$12)+Teams!$E$13*MAX(0,Teams!$E$73*$C$62-Teams!$E$12)),IF(Teams!$E$62=1,AM66*$C$62,0))</f>
        <v>0</v>
      </c>
      <c r="AN68" s="44">
        <f>AN$5*IF(Teams!$E$61=1,AN65*((1-Teams!$E$13)*MAX(0,Teams!$E$72*$C$62-Teams!$E$12)+Teams!$E$13*MAX(0,Teams!$E$73*$C$62-Teams!$E$12)),IF(Teams!$E$62=1,AN66*$C$62,0))</f>
        <v>0</v>
      </c>
      <c r="AO68" s="44">
        <f>AO$5*IF(Teams!$E$61=1,AO65*((1-Teams!$E$13)*MAX(0,Teams!$E$72*$C$62-Teams!$E$12)+Teams!$E$13*MAX(0,Teams!$E$73*$C$62-Teams!$E$12)),IF(Teams!$E$62=1,AO66*$C$62,0))</f>
        <v>0</v>
      </c>
      <c r="AP68" s="44">
        <f>AP$5*IF(Teams!$E$61=1,AP65*((1-Teams!$E$13)*MAX(0,Teams!$E$72*$C$62-Teams!$E$12)+Teams!$E$13*MAX(0,Teams!$E$73*$C$62-Teams!$E$12)),IF(Teams!$E$62=1,AP66*$C$62,0))</f>
        <v>0</v>
      </c>
      <c r="AQ68" s="44">
        <f>AQ$5*IF(Teams!$E$61=1,AQ65*((1-Teams!$E$13)*MAX(0,Teams!$E$72*$C$62-Teams!$E$12)+Teams!$E$13*MAX(0,Teams!$E$73*$C$62-Teams!$E$12)),IF(Teams!$E$62=1,AQ66*$C$62,0))</f>
        <v>0</v>
      </c>
      <c r="AR68" s="44">
        <f>AR$5*IF(Teams!$E$61=1,AR65*((1-Teams!$E$13)*MAX(0,Teams!$E$72*$C$62-Teams!$E$12)+Teams!$E$13*MAX(0,Teams!$E$73*$C$62-Teams!$E$12)),IF(Teams!$E$62=1,AR66*$C$62,0))</f>
        <v>0</v>
      </c>
      <c r="AS68" s="44">
        <f>AS$5*IF(Teams!$E$61=1,AS65*((1-Teams!$E$13)*MAX(0,Teams!$E$72*$C$62-Teams!$E$12)+Teams!$E$13*MAX(0,Teams!$E$73*$C$62-Teams!$E$12)),IF(Teams!$E$62=1,AS66*$C$62,0))</f>
        <v>0</v>
      </c>
      <c r="AT68" s="44">
        <f>AT$5*IF(Teams!$E$61=1,AT65*((1-Teams!$E$13)*MAX(0,Teams!$E$72*$C$62-Teams!$E$12)+Teams!$E$13*MAX(0,Teams!$E$73*$C$62-Teams!$E$12)),IF(Teams!$E$62=1,AT66*$C$62,0))</f>
        <v>0</v>
      </c>
      <c r="AU68" s="44">
        <f>AU$5*IF(Teams!$E$61=1,AU65*((1-Teams!$E$13)*MAX(0,Teams!$E$72*$C$62-Teams!$E$12)+Teams!$E$13*MAX(0,Teams!$E$73*$C$62-Teams!$E$12)),IF(Teams!$E$62=1,AU66*$C$62,0))</f>
        <v>0</v>
      </c>
      <c r="AV68" s="44">
        <f>AV$5*IF(Teams!$E$61=1,AV65*((1-Teams!$E$13)*MAX(0,Teams!$E$72*$C$62-Teams!$E$12)+Teams!$E$13*MAX(0,Teams!$E$73*$C$62-Teams!$E$12)),IF(Teams!$E$62=1,AV66*$C$62,0))</f>
        <v>0</v>
      </c>
      <c r="AW68" s="44">
        <f>AW$5*IF(Teams!$E$61=1,AW65*((1-Teams!$E$13)*MAX(0,Teams!$E$72*$C$62-Teams!$E$12)+Teams!$E$13*MAX(0,Teams!$E$73*$C$62-Teams!$E$12)),IF(Teams!$E$62=1,AW66*$C$62,0))</f>
        <v>0</v>
      </c>
      <c r="AX68" s="44">
        <f>AX$5*IF(Teams!$E$61=1,AX65*((1-Teams!$E$13)*MAX(0,Teams!$E$72*$C$62-Teams!$E$12)+Teams!$E$13*MAX(0,Teams!$E$73*$C$62-Teams!$E$12)),IF(Teams!$E$62=1,AX66*$C$62,0))</f>
        <v>0</v>
      </c>
      <c r="AY68" s="44">
        <f>AY$5*IF(Teams!$E$61=1,AY65*((1-Teams!$E$13)*MAX(0,Teams!$E$72*$C$62-Teams!$E$12)+Teams!$E$13*MAX(0,Teams!$E$73*$C$62-Teams!$E$12)),IF(Teams!$E$62=1,AY66*$C$62,0))</f>
        <v>0</v>
      </c>
      <c r="AZ68" s="44">
        <f>AZ$5*IF(Teams!$E$61=1,AZ65*((1-Teams!$E$13)*MAX(0,Teams!$E$72*$C$62-Teams!$E$12)+Teams!$E$13*MAX(0,Teams!$E$73*$C$62-Teams!$E$12)),IF(Teams!$E$62=1,AZ66*$C$62,0))</f>
        <v>0</v>
      </c>
      <c r="BA68" s="44">
        <f>BA$5*IF(Teams!$E$61=1,BA65*((1-Teams!$E$13)*MAX(0,Teams!$E$72*$C$62-Teams!$E$12)+Teams!$E$13*MAX(0,Teams!$E$73*$C$62-Teams!$E$12)),IF(Teams!$E$62=1,BA66*$C$62,0))</f>
        <v>0</v>
      </c>
      <c r="BB68" s="44">
        <f>BB$5*IF(Teams!$E$61=1,BB65*((1-Teams!$E$13)*MAX(0,Teams!$E$72*$C$62-Teams!$E$12)+Teams!$E$13*MAX(0,Teams!$E$73*$C$62-Teams!$E$12)),IF(Teams!$E$62=1,BB66*$C$62,0))</f>
        <v>0</v>
      </c>
      <c r="BC68" s="44">
        <f>BC$5*IF(Teams!$E$61=1,BC65*((1-Teams!$E$13)*MAX(0,Teams!$E$72*$C$62-Teams!$E$12)+Teams!$E$13*MAX(0,Teams!$E$73*$C$62-Teams!$E$12)),IF(Teams!$E$62=1,BC66*$C$62,0))</f>
        <v>0</v>
      </c>
      <c r="BD68" s="44">
        <f>BD$5*IF(Teams!$E$61=1,BD65*((1-Teams!$E$13)*MAX(0,Teams!$E$72*$C$62-Teams!$E$12)+Teams!$E$13*MAX(0,Teams!$E$73*$C$62-Teams!$E$12)),IF(Teams!$E$62=1,BD66*$C$62,0))</f>
        <v>0</v>
      </c>
      <c r="BE68" s="44">
        <f>BE$5*IF(Teams!$E$61=1,BE65*((1-Teams!$E$13)*MAX(0,Teams!$E$72*$C$62-Teams!$E$12)+Teams!$E$13*MAX(0,Teams!$E$73*$C$62-Teams!$E$12)),IF(Teams!$E$62=1,BE66*$C$62,0))</f>
        <v>0</v>
      </c>
      <c r="BF68" s="44">
        <f>BF$5*IF(Teams!$E$61=1,BF65*((1-Teams!$E$13)*MAX(0,Teams!$E$72*$C$62-Teams!$E$12)+Teams!$E$13*MAX(0,Teams!$E$73*$C$62-Teams!$E$12)),IF(Teams!$E$62=1,BF66*$C$62,0))</f>
        <v>0</v>
      </c>
      <c r="BG68" s="44">
        <f>BG$5*IF(Teams!$E$61=1,BG65*((1-Teams!$E$13)*MAX(0,Teams!$E$72*$C$62-Teams!$E$12)+Teams!$E$13*MAX(0,Teams!$E$73*$C$62-Teams!$E$12)),IF(Teams!$E$62=1,BG66*$C$62,0))</f>
        <v>0</v>
      </c>
      <c r="BH68" s="44">
        <f>BH$5*IF(Teams!$E$61=1,BH65*((1-Teams!$E$13)*MAX(0,Teams!$E$72*$C$62-Teams!$E$12)+Teams!$E$13*MAX(0,Teams!$E$73*$C$62-Teams!$E$12)),IF(Teams!$E$62=1,BH66*$C$62,0))</f>
        <v>0</v>
      </c>
      <c r="BI68" s="44">
        <f>BI$5*IF(Teams!$E$61=1,BI65*((1-Teams!$E$13)*MAX(0,Teams!$E$72*$C$62-Teams!$E$12)+Teams!$E$13*MAX(0,Teams!$E$73*$C$62-Teams!$E$12)),IF(Teams!$E$62=1,BI66*$C$62,0))</f>
        <v>0</v>
      </c>
      <c r="BJ68" s="44">
        <f>BJ$5*IF(Teams!$E$61=1,BJ65*((1-Teams!$E$13)*MAX(0,Teams!$E$72*$C$62-Teams!$E$12)+Teams!$E$13*MAX(0,Teams!$E$73*$C$62-Teams!$E$12)),IF(Teams!$E$62=1,BJ66*$C$62,0))</f>
        <v>0</v>
      </c>
      <c r="BK68" s="44">
        <f>BK$5*IF(Teams!$E$61=1,BK65*((1-Teams!$E$13)*MAX(0,Teams!$E$72*$C$62-Teams!$E$12)+Teams!$E$13*MAX(0,Teams!$E$73*$C$62-Teams!$E$12)),IF(Teams!$E$62=1,BK66*$C$62,0))</f>
        <v>0</v>
      </c>
      <c r="BL68" s="44">
        <f>BL$5*IF(Teams!$E$61=1,BL65*((1-Teams!$E$13)*MAX(0,Teams!$E$72*$C$62-Teams!$E$12)+Teams!$E$13*MAX(0,Teams!$E$73*$C$62-Teams!$E$12)),IF(Teams!$E$62=1,BL66*$C$62,0))</f>
        <v>0</v>
      </c>
    </row>
    <row r="69" spans="1:64" x14ac:dyDescent="0.3">
      <c r="A69" s="8" t="s">
        <v>667</v>
      </c>
      <c r="B69" s="18" t="s">
        <v>435</v>
      </c>
      <c r="C69" s="44">
        <f t="shared" si="20"/>
        <v>1287000</v>
      </c>
      <c r="E69" s="44">
        <f>E$5*Teams!$E$63*E66*Teams!$E$67</f>
        <v>0</v>
      </c>
      <c r="F69" s="44">
        <f>F$5*Teams!$E$63*F66*Teams!$E$67</f>
        <v>2933.333333333333</v>
      </c>
      <c r="G69" s="44">
        <f>G$5*Teams!$E$63*G66*Teams!$E$67</f>
        <v>10266.666666666666</v>
      </c>
      <c r="H69" s="44">
        <f>H$5*Teams!$E$63*H66*Teams!$E$67</f>
        <v>19800</v>
      </c>
      <c r="I69" s="44">
        <f>I$5*Teams!$E$63*I66*Teams!$E$67</f>
        <v>29333.333333333332</v>
      </c>
      <c r="J69" s="44">
        <f>J$5*Teams!$E$63*J66*Teams!$E$67</f>
        <v>36666.666666666672</v>
      </c>
      <c r="K69" s="44">
        <f>K$5*Teams!$E$63*K66*Teams!$E$67</f>
        <v>39600</v>
      </c>
      <c r="L69" s="44">
        <f>L$5*Teams!$E$63*L66*Teams!$E$67</f>
        <v>39600</v>
      </c>
      <c r="M69" s="44">
        <f>M$5*Teams!$E$63*M66*Teams!$E$67</f>
        <v>39600</v>
      </c>
      <c r="N69" s="44">
        <f>N$5*Teams!$E$63*N66*Teams!$E$67</f>
        <v>39600</v>
      </c>
      <c r="O69" s="44">
        <f>O$5*Teams!$E$63*O66*Teams!$E$67</f>
        <v>39600</v>
      </c>
      <c r="P69" s="44">
        <f>P$5*Teams!$E$63*P66*Teams!$E$67</f>
        <v>39600</v>
      </c>
      <c r="Q69" s="44">
        <f>Q$5*Teams!$E$63*Q66*Teams!$E$67</f>
        <v>39600</v>
      </c>
      <c r="R69" s="44">
        <f>R$5*Teams!$E$63*R66*Teams!$E$67</f>
        <v>39600</v>
      </c>
      <c r="S69" s="44">
        <f>S$5*Teams!$E$63*S66*Teams!$E$67</f>
        <v>39600</v>
      </c>
      <c r="T69" s="44">
        <f>T$5*Teams!$E$63*T66*Teams!$E$67</f>
        <v>39600</v>
      </c>
      <c r="U69" s="44">
        <f>U$5*Teams!$E$63*U66*Teams!$E$67</f>
        <v>39600</v>
      </c>
      <c r="V69" s="44">
        <f>V$5*Teams!$E$63*V66*Teams!$E$67</f>
        <v>39600</v>
      </c>
      <c r="W69" s="44">
        <f>W$5*Teams!$E$63*W66*Teams!$E$67</f>
        <v>39600</v>
      </c>
      <c r="X69" s="44">
        <f>X$5*Teams!$E$63*X66*Teams!$E$67</f>
        <v>39600</v>
      </c>
      <c r="Y69" s="44">
        <f>Y$5*Teams!$E$63*Y66*Teams!$E$67</f>
        <v>39600</v>
      </c>
      <c r="Z69" s="44">
        <f>Z$5*Teams!$E$63*Z66*Teams!$E$67</f>
        <v>39600</v>
      </c>
      <c r="AA69" s="44">
        <f>AA$5*Teams!$E$63*AA66*Teams!$E$67</f>
        <v>39600</v>
      </c>
      <c r="AB69" s="44">
        <f>AB$5*Teams!$E$63*AB66*Teams!$E$67</f>
        <v>39600</v>
      </c>
      <c r="AC69" s="44">
        <f>AC$5*Teams!$E$63*AC66*Teams!$E$67</f>
        <v>39600</v>
      </c>
      <c r="AD69" s="44">
        <f>AD$5*Teams!$E$63*AD66*Teams!$E$67</f>
        <v>39600</v>
      </c>
      <c r="AE69" s="44">
        <f>AE$5*Teams!$E$63*AE66*Teams!$E$67</f>
        <v>39600</v>
      </c>
      <c r="AF69" s="44">
        <f>AF$5*Teams!$E$63*AF66*Teams!$E$67</f>
        <v>39600</v>
      </c>
      <c r="AG69" s="44">
        <f>AG$5*Teams!$E$63*AG66*Teams!$E$67</f>
        <v>39600</v>
      </c>
      <c r="AH69" s="44">
        <f>AH$5*Teams!$E$63*AH66*Teams!$E$67</f>
        <v>39600</v>
      </c>
      <c r="AI69" s="44">
        <f>AI$5*Teams!$E$63*AI66*Teams!$E$67</f>
        <v>39600</v>
      </c>
      <c r="AJ69" s="44">
        <f>AJ$5*Teams!$E$63*AJ66*Teams!$E$67</f>
        <v>39600</v>
      </c>
      <c r="AK69" s="44">
        <f>AK$5*Teams!$E$63*AK66*Teams!$E$67</f>
        <v>39600</v>
      </c>
      <c r="AL69" s="44">
        <f>AL$5*Teams!$E$63*AL66*Teams!$E$67</f>
        <v>39600</v>
      </c>
      <c r="AM69" s="44">
        <f>AM$5*Teams!$E$63*AM66*Teams!$E$67</f>
        <v>39600</v>
      </c>
      <c r="AN69" s="44">
        <f>AN$5*Teams!$E$63*AN66*Teams!$E$67</f>
        <v>39600</v>
      </c>
      <c r="AO69" s="44">
        <f>AO$5*Teams!$E$63*AO66*Teams!$E$67</f>
        <v>0</v>
      </c>
      <c r="AP69" s="44">
        <f>AP$5*Teams!$E$63*AP66*Teams!$E$67</f>
        <v>0</v>
      </c>
      <c r="AQ69" s="44">
        <f>AQ$5*Teams!$E$63*AQ66*Teams!$E$67</f>
        <v>0</v>
      </c>
      <c r="AR69" s="44">
        <f>AR$5*Teams!$E$63*AR66*Teams!$E$67</f>
        <v>0</v>
      </c>
      <c r="AS69" s="44">
        <f>AS$5*Teams!$E$63*AS66*Teams!$E$67</f>
        <v>0</v>
      </c>
      <c r="AT69" s="44">
        <f>AT$5*Teams!$E$63*AT66*Teams!$E$67</f>
        <v>0</v>
      </c>
      <c r="AU69" s="44">
        <f>AU$5*Teams!$E$63*AU66*Teams!$E$67</f>
        <v>0</v>
      </c>
      <c r="AV69" s="44">
        <f>AV$5*Teams!$E$63*AV66*Teams!$E$67</f>
        <v>0</v>
      </c>
      <c r="AW69" s="44">
        <f>AW$5*Teams!$E$63*AW66*Teams!$E$67</f>
        <v>0</v>
      </c>
      <c r="AX69" s="44">
        <f>AX$5*Teams!$E$63*AX66*Teams!$E$67</f>
        <v>0</v>
      </c>
      <c r="AY69" s="44">
        <f>AY$5*Teams!$E$63*AY66*Teams!$E$67</f>
        <v>0</v>
      </c>
      <c r="AZ69" s="44">
        <f>AZ$5*Teams!$E$63*AZ66*Teams!$E$67</f>
        <v>0</v>
      </c>
      <c r="BA69" s="44">
        <f>BA$5*Teams!$E$63*BA66*Teams!$E$67</f>
        <v>0</v>
      </c>
      <c r="BB69" s="44">
        <f>BB$5*Teams!$E$63*BB66*Teams!$E$67</f>
        <v>0</v>
      </c>
      <c r="BC69" s="44">
        <f>BC$5*Teams!$E$63*BC66*Teams!$E$67</f>
        <v>0</v>
      </c>
      <c r="BD69" s="44">
        <f>BD$5*Teams!$E$63*BD66*Teams!$E$67</f>
        <v>0</v>
      </c>
      <c r="BE69" s="44">
        <f>BE$5*Teams!$E$63*BE66*Teams!$E$67</f>
        <v>0</v>
      </c>
      <c r="BF69" s="44">
        <f>BF$5*Teams!$E$63*BF66*Teams!$E$67</f>
        <v>0</v>
      </c>
      <c r="BG69" s="44">
        <f>BG$5*Teams!$E$63*BG66*Teams!$E$67</f>
        <v>0</v>
      </c>
      <c r="BH69" s="44">
        <f>BH$5*Teams!$E$63*BH66*Teams!$E$67</f>
        <v>0</v>
      </c>
      <c r="BI69" s="44">
        <f>BI$5*Teams!$E$63*BI66*Teams!$E$67</f>
        <v>0</v>
      </c>
      <c r="BJ69" s="44">
        <f>BJ$5*Teams!$E$63*BJ66*Teams!$E$67</f>
        <v>0</v>
      </c>
      <c r="BK69" s="44">
        <f>BK$5*Teams!$E$63*BK66*Teams!$E$67</f>
        <v>0</v>
      </c>
      <c r="BL69" s="44">
        <f>BL$5*Teams!$E$63*BL66*Teams!$E$67</f>
        <v>0</v>
      </c>
    </row>
    <row r="70" spans="1:64" x14ac:dyDescent="0.3">
      <c r="A70" s="8" t="s">
        <v>668</v>
      </c>
      <c r="B70" s="18" t="s">
        <v>435</v>
      </c>
      <c r="C70" s="44">
        <f t="shared" si="20"/>
        <v>0</v>
      </c>
      <c r="E70" s="44">
        <f>E$5*Teams!$E$65*E66*Teams!$E$74</f>
        <v>0</v>
      </c>
      <c r="F70" s="44">
        <f>F$5*Teams!$E$65*F66*Teams!$E$74</f>
        <v>0</v>
      </c>
      <c r="G70" s="44">
        <f>G$5*Teams!$E$65*G66*Teams!$E$74</f>
        <v>0</v>
      </c>
      <c r="H70" s="44">
        <f>H$5*Teams!$E$65*H66*Teams!$E$74</f>
        <v>0</v>
      </c>
      <c r="I70" s="44">
        <f>I$5*Teams!$E$65*I66*Teams!$E$74</f>
        <v>0</v>
      </c>
      <c r="J70" s="44">
        <f>J$5*Teams!$E$65*J66*Teams!$E$74</f>
        <v>0</v>
      </c>
      <c r="K70" s="44">
        <f>K$5*Teams!$E$65*K66*Teams!$E$74</f>
        <v>0</v>
      </c>
      <c r="L70" s="44">
        <f>L$5*Teams!$E$65*L66*Teams!$E$74</f>
        <v>0</v>
      </c>
      <c r="M70" s="44">
        <f>M$5*Teams!$E$65*M66*Teams!$E$74</f>
        <v>0</v>
      </c>
      <c r="N70" s="44">
        <f>N$5*Teams!$E$65*N66*Teams!$E$74</f>
        <v>0</v>
      </c>
      <c r="O70" s="44">
        <f>O$5*Teams!$E$65*O66*Teams!$E$74</f>
        <v>0</v>
      </c>
      <c r="P70" s="44">
        <f>P$5*Teams!$E$65*P66*Teams!$E$74</f>
        <v>0</v>
      </c>
      <c r="Q70" s="44">
        <f>Q$5*Teams!$E$65*Q66*Teams!$E$74</f>
        <v>0</v>
      </c>
      <c r="R70" s="44">
        <f>R$5*Teams!$E$65*R66*Teams!$E$74</f>
        <v>0</v>
      </c>
      <c r="S70" s="44">
        <f>S$5*Teams!$E$65*S66*Teams!$E$74</f>
        <v>0</v>
      </c>
      <c r="T70" s="44">
        <f>T$5*Teams!$E$65*T66*Teams!$E$74</f>
        <v>0</v>
      </c>
      <c r="U70" s="44">
        <f>U$5*Teams!$E$65*U66*Teams!$E$74</f>
        <v>0</v>
      </c>
      <c r="V70" s="44">
        <f>V$5*Teams!$E$65*V66*Teams!$E$74</f>
        <v>0</v>
      </c>
      <c r="W70" s="44">
        <f>W$5*Teams!$E$65*W66*Teams!$E$74</f>
        <v>0</v>
      </c>
      <c r="X70" s="44">
        <f>X$5*Teams!$E$65*X66*Teams!$E$74</f>
        <v>0</v>
      </c>
      <c r="Y70" s="44">
        <f>Y$5*Teams!$E$65*Y66*Teams!$E$74</f>
        <v>0</v>
      </c>
      <c r="Z70" s="44">
        <f>Z$5*Teams!$E$65*Z66*Teams!$E$74</f>
        <v>0</v>
      </c>
      <c r="AA70" s="44">
        <f>AA$5*Teams!$E$65*AA66*Teams!$E$74</f>
        <v>0</v>
      </c>
      <c r="AB70" s="44">
        <f>AB$5*Teams!$E$65*AB66*Teams!$E$74</f>
        <v>0</v>
      </c>
      <c r="AC70" s="44">
        <f>AC$5*Teams!$E$65*AC66*Teams!$E$74</f>
        <v>0</v>
      </c>
      <c r="AD70" s="44">
        <f>AD$5*Teams!$E$65*AD66*Teams!$E$74</f>
        <v>0</v>
      </c>
      <c r="AE70" s="44">
        <f>AE$5*Teams!$E$65*AE66*Teams!$E$74</f>
        <v>0</v>
      </c>
      <c r="AF70" s="44">
        <f>AF$5*Teams!$E$65*AF66*Teams!$E$74</f>
        <v>0</v>
      </c>
      <c r="AG70" s="44">
        <f>AG$5*Teams!$E$65*AG66*Teams!$E$74</f>
        <v>0</v>
      </c>
      <c r="AH70" s="44">
        <f>AH$5*Teams!$E$65*AH66*Teams!$E$74</f>
        <v>0</v>
      </c>
      <c r="AI70" s="44">
        <f>AI$5*Teams!$E$65*AI66*Teams!$E$74</f>
        <v>0</v>
      </c>
      <c r="AJ70" s="44">
        <f>AJ$5*Teams!$E$65*AJ66*Teams!$E$74</f>
        <v>0</v>
      </c>
      <c r="AK70" s="44">
        <f>AK$5*Teams!$E$65*AK66*Teams!$E$74</f>
        <v>0</v>
      </c>
      <c r="AL70" s="44">
        <f>AL$5*Teams!$E$65*AL66*Teams!$E$74</f>
        <v>0</v>
      </c>
      <c r="AM70" s="44">
        <f>AM$5*Teams!$E$65*AM66*Teams!$E$74</f>
        <v>0</v>
      </c>
      <c r="AN70" s="44">
        <f>AN$5*Teams!$E$65*AN66*Teams!$E$74</f>
        <v>0</v>
      </c>
      <c r="AO70" s="44">
        <f>AO$5*Teams!$E$65*AO66*Teams!$E$74</f>
        <v>0</v>
      </c>
      <c r="AP70" s="44">
        <f>AP$5*Teams!$E$65*AP66*Teams!$E$74</f>
        <v>0</v>
      </c>
      <c r="AQ70" s="44">
        <f>AQ$5*Teams!$E$65*AQ66*Teams!$E$74</f>
        <v>0</v>
      </c>
      <c r="AR70" s="44">
        <f>AR$5*Teams!$E$65*AR66*Teams!$E$74</f>
        <v>0</v>
      </c>
      <c r="AS70" s="44">
        <f>AS$5*Teams!$E$65*AS66*Teams!$E$74</f>
        <v>0</v>
      </c>
      <c r="AT70" s="44">
        <f>AT$5*Teams!$E$65*AT66*Teams!$E$74</f>
        <v>0</v>
      </c>
      <c r="AU70" s="44">
        <f>AU$5*Teams!$E$65*AU66*Teams!$E$74</f>
        <v>0</v>
      </c>
      <c r="AV70" s="44">
        <f>AV$5*Teams!$E$65*AV66*Teams!$E$74</f>
        <v>0</v>
      </c>
      <c r="AW70" s="44">
        <f>AW$5*Teams!$E$65*AW66*Teams!$E$74</f>
        <v>0</v>
      </c>
      <c r="AX70" s="44">
        <f>AX$5*Teams!$E$65*AX66*Teams!$E$74</f>
        <v>0</v>
      </c>
      <c r="AY70" s="44">
        <f>AY$5*Teams!$E$65*AY66*Teams!$E$74</f>
        <v>0</v>
      </c>
      <c r="AZ70" s="44">
        <f>AZ$5*Teams!$E$65*AZ66*Teams!$E$74</f>
        <v>0</v>
      </c>
      <c r="BA70" s="44">
        <f>BA$5*Teams!$E$65*BA66*Teams!$E$74</f>
        <v>0</v>
      </c>
      <c r="BB70" s="44">
        <f>BB$5*Teams!$E$65*BB66*Teams!$E$74</f>
        <v>0</v>
      </c>
      <c r="BC70" s="44">
        <f>BC$5*Teams!$E$65*BC66*Teams!$E$74</f>
        <v>0</v>
      </c>
      <c r="BD70" s="44">
        <f>BD$5*Teams!$E$65*BD66*Teams!$E$74</f>
        <v>0</v>
      </c>
      <c r="BE70" s="44">
        <f>BE$5*Teams!$E$65*BE66*Teams!$E$74</f>
        <v>0</v>
      </c>
      <c r="BF70" s="44">
        <f>BF$5*Teams!$E$65*BF66*Teams!$E$74</f>
        <v>0</v>
      </c>
      <c r="BG70" s="44">
        <f>BG$5*Teams!$E$65*BG66*Teams!$E$74</f>
        <v>0</v>
      </c>
      <c r="BH70" s="44">
        <f>BH$5*Teams!$E$65*BH66*Teams!$E$74</f>
        <v>0</v>
      </c>
      <c r="BI70" s="44">
        <f>BI$5*Teams!$E$65*BI66*Teams!$E$74</f>
        <v>0</v>
      </c>
      <c r="BJ70" s="44">
        <f>BJ$5*Teams!$E$65*BJ66*Teams!$E$74</f>
        <v>0</v>
      </c>
      <c r="BK70" s="44">
        <f>BK$5*Teams!$E$65*BK66*Teams!$E$74</f>
        <v>0</v>
      </c>
      <c r="BL70" s="44">
        <f>BL$5*Teams!$E$65*BL66*Teams!$E$74</f>
        <v>0</v>
      </c>
    </row>
    <row r="71" spans="1:64" x14ac:dyDescent="0.3">
      <c r="A71" s="8" t="s">
        <v>669</v>
      </c>
      <c r="B71" s="18" t="s">
        <v>505</v>
      </c>
      <c r="C71" s="44">
        <f t="shared" si="20"/>
        <v>0</v>
      </c>
      <c r="E71" s="44">
        <f>E$5*Teams!$E$64*Teams!$E$16*IF(E$4&gt;=Teams!$E$80,1,0)</f>
        <v>0</v>
      </c>
      <c r="F71" s="44">
        <f>F$5*Teams!$E$64*Teams!$E$16*IF(F$4&gt;=Teams!$E$80,1,0)</f>
        <v>0</v>
      </c>
      <c r="G71" s="44">
        <f>G$5*Teams!$E$64*Teams!$E$16*IF(G$4&gt;=Teams!$E$80,1,0)</f>
        <v>0</v>
      </c>
      <c r="H71" s="44">
        <f>H$5*Teams!$E$64*Teams!$E$16*IF(H$4&gt;=Teams!$E$80,1,0)</f>
        <v>0</v>
      </c>
      <c r="I71" s="44">
        <f>I$5*Teams!$E$64*Teams!$E$16*IF(I$4&gt;=Teams!$E$80,1,0)</f>
        <v>0</v>
      </c>
      <c r="J71" s="44">
        <f>J$5*Teams!$E$64*Teams!$E$16*IF(J$4&gt;=Teams!$E$80,1,0)</f>
        <v>0</v>
      </c>
      <c r="K71" s="44">
        <f>K$5*Teams!$E$64*Teams!$E$16*IF(K$4&gt;=Teams!$E$80,1,0)</f>
        <v>0</v>
      </c>
      <c r="L71" s="44">
        <f>L$5*Teams!$E$64*Teams!$E$16*IF(L$4&gt;=Teams!$E$80,1,0)</f>
        <v>0</v>
      </c>
      <c r="M71" s="44">
        <f>M$5*Teams!$E$64*Teams!$E$16*IF(M$4&gt;=Teams!$E$80,1,0)</f>
        <v>0</v>
      </c>
      <c r="N71" s="44">
        <f>N$5*Teams!$E$64*Teams!$E$16*IF(N$4&gt;=Teams!$E$80,1,0)</f>
        <v>0</v>
      </c>
      <c r="O71" s="44">
        <f>O$5*Teams!$E$64*Teams!$E$16*IF(O$4&gt;=Teams!$E$80,1,0)</f>
        <v>0</v>
      </c>
      <c r="P71" s="44">
        <f>P$5*Teams!$E$64*Teams!$E$16*IF(P$4&gt;=Teams!$E$80,1,0)</f>
        <v>0</v>
      </c>
      <c r="Q71" s="44">
        <f>Q$5*Teams!$E$64*Teams!$E$16*IF(Q$4&gt;=Teams!$E$80,1,0)</f>
        <v>0</v>
      </c>
      <c r="R71" s="44">
        <f>R$5*Teams!$E$64*Teams!$E$16*IF(R$4&gt;=Teams!$E$80,1,0)</f>
        <v>0</v>
      </c>
      <c r="S71" s="44">
        <f>S$5*Teams!$E$64*Teams!$E$16*IF(S$4&gt;=Teams!$E$80,1,0)</f>
        <v>0</v>
      </c>
      <c r="T71" s="44">
        <f>T$5*Teams!$E$64*Teams!$E$16*IF(T$4&gt;=Teams!$E$80,1,0)</f>
        <v>0</v>
      </c>
      <c r="U71" s="44">
        <f>U$5*Teams!$E$64*Teams!$E$16*IF(U$4&gt;=Teams!$E$80,1,0)</f>
        <v>0</v>
      </c>
      <c r="V71" s="44">
        <f>V$5*Teams!$E$64*Teams!$E$16*IF(V$4&gt;=Teams!$E$80,1,0)</f>
        <v>0</v>
      </c>
      <c r="W71" s="44">
        <f>W$5*Teams!$E$64*Teams!$E$16*IF(W$4&gt;=Teams!$E$80,1,0)</f>
        <v>0</v>
      </c>
      <c r="X71" s="44">
        <f>X$5*Teams!$E$64*Teams!$E$16*IF(X$4&gt;=Teams!$E$80,1,0)</f>
        <v>0</v>
      </c>
      <c r="Y71" s="44">
        <f>Y$5*Teams!$E$64*Teams!$E$16*IF(Y$4&gt;=Teams!$E$80,1,0)</f>
        <v>0</v>
      </c>
      <c r="Z71" s="44">
        <f>Z$5*Teams!$E$64*Teams!$E$16*IF(Z$4&gt;=Teams!$E$80,1,0)</f>
        <v>0</v>
      </c>
      <c r="AA71" s="44">
        <f>AA$5*Teams!$E$64*Teams!$E$16*IF(AA$4&gt;=Teams!$E$80,1,0)</f>
        <v>0</v>
      </c>
      <c r="AB71" s="44">
        <f>AB$5*Teams!$E$64*Teams!$E$16*IF(AB$4&gt;=Teams!$E$80,1,0)</f>
        <v>0</v>
      </c>
      <c r="AC71" s="44">
        <f>AC$5*Teams!$E$64*Teams!$E$16*IF(AC$4&gt;=Teams!$E$80,1,0)</f>
        <v>0</v>
      </c>
      <c r="AD71" s="44">
        <f>AD$5*Teams!$E$64*Teams!$E$16*IF(AD$4&gt;=Teams!$E$80,1,0)</f>
        <v>0</v>
      </c>
      <c r="AE71" s="44">
        <f>AE$5*Teams!$E$64*Teams!$E$16*IF(AE$4&gt;=Teams!$E$80,1,0)</f>
        <v>0</v>
      </c>
      <c r="AF71" s="44">
        <f>AF$5*Teams!$E$64*Teams!$E$16*IF(AF$4&gt;=Teams!$E$80,1,0)</f>
        <v>0</v>
      </c>
      <c r="AG71" s="44">
        <f>AG$5*Teams!$E$64*Teams!$E$16*IF(AG$4&gt;=Teams!$E$80,1,0)</f>
        <v>0</v>
      </c>
      <c r="AH71" s="44">
        <f>AH$5*Teams!$E$64*Teams!$E$16*IF(AH$4&gt;=Teams!$E$80,1,0)</f>
        <v>0</v>
      </c>
      <c r="AI71" s="44">
        <f>AI$5*Teams!$E$64*Teams!$E$16*IF(AI$4&gt;=Teams!$E$80,1,0)</f>
        <v>0</v>
      </c>
      <c r="AJ71" s="44">
        <f>AJ$5*Teams!$E$64*Teams!$E$16*IF(AJ$4&gt;=Teams!$E$80,1,0)</f>
        <v>0</v>
      </c>
      <c r="AK71" s="44">
        <f>AK$5*Teams!$E$64*Teams!$E$16*IF(AK$4&gt;=Teams!$E$80,1,0)</f>
        <v>0</v>
      </c>
      <c r="AL71" s="44">
        <f>AL$5*Teams!$E$64*Teams!$E$16*IF(AL$4&gt;=Teams!$E$80,1,0)</f>
        <v>0</v>
      </c>
      <c r="AM71" s="44">
        <f>AM$5*Teams!$E$64*Teams!$E$16*IF(AM$4&gt;=Teams!$E$80,1,0)</f>
        <v>0</v>
      </c>
      <c r="AN71" s="44">
        <f>AN$5*Teams!$E$64*Teams!$E$16*IF(AN$4&gt;=Teams!$E$80,1,0)</f>
        <v>0</v>
      </c>
      <c r="AO71" s="44">
        <f>AO$5*Teams!$E$64*Teams!$E$16*IF(AO$4&gt;=Teams!$E$80,1,0)</f>
        <v>0</v>
      </c>
      <c r="AP71" s="44">
        <f>AP$5*Teams!$E$64*Teams!$E$16*IF(AP$4&gt;=Teams!$E$80,1,0)</f>
        <v>0</v>
      </c>
      <c r="AQ71" s="44">
        <f>AQ$5*Teams!$E$64*Teams!$E$16*IF(AQ$4&gt;=Teams!$E$80,1,0)</f>
        <v>0</v>
      </c>
      <c r="AR71" s="44">
        <f>AR$5*Teams!$E$64*Teams!$E$16*IF(AR$4&gt;=Teams!$E$80,1,0)</f>
        <v>0</v>
      </c>
      <c r="AS71" s="44">
        <f>AS$5*Teams!$E$64*Teams!$E$16*IF(AS$4&gt;=Teams!$E$80,1,0)</f>
        <v>0</v>
      </c>
      <c r="AT71" s="44">
        <f>AT$5*Teams!$E$64*Teams!$E$16*IF(AT$4&gt;=Teams!$E$80,1,0)</f>
        <v>0</v>
      </c>
      <c r="AU71" s="44">
        <f>AU$5*Teams!$E$64*Teams!$E$16*IF(AU$4&gt;=Teams!$E$80,1,0)</f>
        <v>0</v>
      </c>
      <c r="AV71" s="44">
        <f>AV$5*Teams!$E$64*Teams!$E$16*IF(AV$4&gt;=Teams!$E$80,1,0)</f>
        <v>0</v>
      </c>
      <c r="AW71" s="44">
        <f>AW$5*Teams!$E$64*Teams!$E$16*IF(AW$4&gt;=Teams!$E$80,1,0)</f>
        <v>0</v>
      </c>
      <c r="AX71" s="44">
        <f>AX$5*Teams!$E$64*Teams!$E$16*IF(AX$4&gt;=Teams!$E$80,1,0)</f>
        <v>0</v>
      </c>
      <c r="AY71" s="44">
        <f>AY$5*Teams!$E$64*Teams!$E$16*IF(AY$4&gt;=Teams!$E$80,1,0)</f>
        <v>0</v>
      </c>
      <c r="AZ71" s="44">
        <f>AZ$5*Teams!$E$64*Teams!$E$16*IF(AZ$4&gt;=Teams!$E$80,1,0)</f>
        <v>0</v>
      </c>
      <c r="BA71" s="44">
        <f>BA$5*Teams!$E$64*Teams!$E$16*IF(BA$4&gt;=Teams!$E$80,1,0)</f>
        <v>0</v>
      </c>
      <c r="BB71" s="44">
        <f>BB$5*Teams!$E$64*Teams!$E$16*IF(BB$4&gt;=Teams!$E$80,1,0)</f>
        <v>0</v>
      </c>
      <c r="BC71" s="44">
        <f>BC$5*Teams!$E$64*Teams!$E$16*IF(BC$4&gt;=Teams!$E$80,1,0)</f>
        <v>0</v>
      </c>
      <c r="BD71" s="44">
        <f>BD$5*Teams!$E$64*Teams!$E$16*IF(BD$4&gt;=Teams!$E$80,1,0)</f>
        <v>0</v>
      </c>
      <c r="BE71" s="44">
        <f>BE$5*Teams!$E$64*Teams!$E$16*IF(BE$4&gt;=Teams!$E$80,1,0)</f>
        <v>0</v>
      </c>
      <c r="BF71" s="44">
        <f>BF$5*Teams!$E$64*Teams!$E$16*IF(BF$4&gt;=Teams!$E$80,1,0)</f>
        <v>0</v>
      </c>
      <c r="BG71" s="44">
        <f>BG$5*Teams!$E$64*Teams!$E$16*IF(BG$4&gt;=Teams!$E$80,1,0)</f>
        <v>0</v>
      </c>
      <c r="BH71" s="44">
        <f>BH$5*Teams!$E$64*Teams!$E$16*IF(BH$4&gt;=Teams!$E$80,1,0)</f>
        <v>0</v>
      </c>
      <c r="BI71" s="44">
        <f>BI$5*Teams!$E$64*Teams!$E$16*IF(BI$4&gt;=Teams!$E$80,1,0)</f>
        <v>0</v>
      </c>
      <c r="BJ71" s="44">
        <f>BJ$5*Teams!$E$64*Teams!$E$16*IF(BJ$4&gt;=Teams!$E$80,1,0)</f>
        <v>0</v>
      </c>
      <c r="BK71" s="44">
        <f>BK$5*Teams!$E$64*Teams!$E$16*IF(BK$4&gt;=Teams!$E$80,1,0)</f>
        <v>0</v>
      </c>
      <c r="BL71" s="44">
        <f>BL$5*Teams!$E$64*Teams!$E$16*IF(BL$4&gt;=Teams!$E$80,1,0)</f>
        <v>0</v>
      </c>
    </row>
    <row r="72" spans="1:64" x14ac:dyDescent="0.3">
      <c r="A72" s="8" t="s">
        <v>670</v>
      </c>
      <c r="B72" s="18" t="s">
        <v>435</v>
      </c>
      <c r="C72" s="44">
        <f t="shared" si="20"/>
        <v>0</v>
      </c>
      <c r="E72" s="44">
        <f>E$5*IF(AND(E$4&gt;=Teams!$E$80,Teams!$E$49=1),Teams!$E$44*Params!$D$10*Teams!$E$45*Teams!$E$75+Teams!$E$44*Params!$D$10*Teams!$E$47*Teams!$E$76/1000000+Teams!$E$77+Teams!$E$50*Teams!$E$78+E66*Teams!$E$51*Teams!$E$79/1000000,0)</f>
        <v>0</v>
      </c>
      <c r="F72" s="44">
        <f>F$5*IF(AND(F$4&gt;=Teams!$E$80,Teams!$E$49=1),Teams!$E$44*Params!$D$10*Teams!$E$45*Teams!$E$75+Teams!$E$44*Params!$D$10*Teams!$E$47*Teams!$E$76/1000000+Teams!$E$77+Teams!$E$50*Teams!$E$78+F66*Teams!$E$51*Teams!$E$79/1000000,0)</f>
        <v>0</v>
      </c>
      <c r="G72" s="44">
        <f>G$5*IF(AND(G$4&gt;=Teams!$E$80,Teams!$E$49=1),Teams!$E$44*Params!$D$10*Teams!$E$45*Teams!$E$75+Teams!$E$44*Params!$D$10*Teams!$E$47*Teams!$E$76/1000000+Teams!$E$77+Teams!$E$50*Teams!$E$78+G66*Teams!$E$51*Teams!$E$79/1000000,0)</f>
        <v>0</v>
      </c>
      <c r="H72" s="44">
        <f>H$5*IF(AND(H$4&gt;=Teams!$E$80,Teams!$E$49=1),Teams!$E$44*Params!$D$10*Teams!$E$45*Teams!$E$75+Teams!$E$44*Params!$D$10*Teams!$E$47*Teams!$E$76/1000000+Teams!$E$77+Teams!$E$50*Teams!$E$78+H66*Teams!$E$51*Teams!$E$79/1000000,0)</f>
        <v>0</v>
      </c>
      <c r="I72" s="44">
        <f>I$5*IF(AND(I$4&gt;=Teams!$E$80,Teams!$E$49=1),Teams!$E$44*Params!$D$10*Teams!$E$45*Teams!$E$75+Teams!$E$44*Params!$D$10*Teams!$E$47*Teams!$E$76/1000000+Teams!$E$77+Teams!$E$50*Teams!$E$78+I66*Teams!$E$51*Teams!$E$79/1000000,0)</f>
        <v>0</v>
      </c>
      <c r="J72" s="44">
        <f>J$5*IF(AND(J$4&gt;=Teams!$E$80,Teams!$E$49=1),Teams!$E$44*Params!$D$10*Teams!$E$45*Teams!$E$75+Teams!$E$44*Params!$D$10*Teams!$E$47*Teams!$E$76/1000000+Teams!$E$77+Teams!$E$50*Teams!$E$78+J66*Teams!$E$51*Teams!$E$79/1000000,0)</f>
        <v>0</v>
      </c>
      <c r="K72" s="44">
        <f>K$5*IF(AND(K$4&gt;=Teams!$E$80,Teams!$E$49=1),Teams!$E$44*Params!$D$10*Teams!$E$45*Teams!$E$75+Teams!$E$44*Params!$D$10*Teams!$E$47*Teams!$E$76/1000000+Teams!$E$77+Teams!$E$50*Teams!$E$78+K66*Teams!$E$51*Teams!$E$79/1000000,0)</f>
        <v>0</v>
      </c>
      <c r="L72" s="44">
        <f>L$5*IF(AND(L$4&gt;=Teams!$E$80,Teams!$E$49=1),Teams!$E$44*Params!$D$10*Teams!$E$45*Teams!$E$75+Teams!$E$44*Params!$D$10*Teams!$E$47*Teams!$E$76/1000000+Teams!$E$77+Teams!$E$50*Teams!$E$78+L66*Teams!$E$51*Teams!$E$79/1000000,0)</f>
        <v>0</v>
      </c>
      <c r="M72" s="44">
        <f>M$5*IF(AND(M$4&gt;=Teams!$E$80,Teams!$E$49=1),Teams!$E$44*Params!$D$10*Teams!$E$45*Teams!$E$75+Teams!$E$44*Params!$D$10*Teams!$E$47*Teams!$E$76/1000000+Teams!$E$77+Teams!$E$50*Teams!$E$78+M66*Teams!$E$51*Teams!$E$79/1000000,0)</f>
        <v>0</v>
      </c>
      <c r="N72" s="44">
        <f>N$5*IF(AND(N$4&gt;=Teams!$E$80,Teams!$E$49=1),Teams!$E$44*Params!$D$10*Teams!$E$45*Teams!$E$75+Teams!$E$44*Params!$D$10*Teams!$E$47*Teams!$E$76/1000000+Teams!$E$77+Teams!$E$50*Teams!$E$78+N66*Teams!$E$51*Teams!$E$79/1000000,0)</f>
        <v>0</v>
      </c>
      <c r="O72" s="44">
        <f>O$5*IF(AND(O$4&gt;=Teams!$E$80,Teams!$E$49=1),Teams!$E$44*Params!$D$10*Teams!$E$45*Teams!$E$75+Teams!$E$44*Params!$D$10*Teams!$E$47*Teams!$E$76/1000000+Teams!$E$77+Teams!$E$50*Teams!$E$78+O66*Teams!$E$51*Teams!$E$79/1000000,0)</f>
        <v>0</v>
      </c>
      <c r="P72" s="44">
        <f>P$5*IF(AND(P$4&gt;=Teams!$E$80,Teams!$E$49=1),Teams!$E$44*Params!$D$10*Teams!$E$45*Teams!$E$75+Teams!$E$44*Params!$D$10*Teams!$E$47*Teams!$E$76/1000000+Teams!$E$77+Teams!$E$50*Teams!$E$78+P66*Teams!$E$51*Teams!$E$79/1000000,0)</f>
        <v>0</v>
      </c>
      <c r="Q72" s="44">
        <f>Q$5*IF(AND(Q$4&gt;=Teams!$E$80,Teams!$E$49=1),Teams!$E$44*Params!$D$10*Teams!$E$45*Teams!$E$75+Teams!$E$44*Params!$D$10*Teams!$E$47*Teams!$E$76/1000000+Teams!$E$77+Teams!$E$50*Teams!$E$78+Q66*Teams!$E$51*Teams!$E$79/1000000,0)</f>
        <v>0</v>
      </c>
      <c r="R72" s="44">
        <f>R$5*IF(AND(R$4&gt;=Teams!$E$80,Teams!$E$49=1),Teams!$E$44*Params!$D$10*Teams!$E$45*Teams!$E$75+Teams!$E$44*Params!$D$10*Teams!$E$47*Teams!$E$76/1000000+Teams!$E$77+Teams!$E$50*Teams!$E$78+R66*Teams!$E$51*Teams!$E$79/1000000,0)</f>
        <v>0</v>
      </c>
      <c r="S72" s="44">
        <f>S$5*IF(AND(S$4&gt;=Teams!$E$80,Teams!$E$49=1),Teams!$E$44*Params!$D$10*Teams!$E$45*Teams!$E$75+Teams!$E$44*Params!$D$10*Teams!$E$47*Teams!$E$76/1000000+Teams!$E$77+Teams!$E$50*Teams!$E$78+S66*Teams!$E$51*Teams!$E$79/1000000,0)</f>
        <v>0</v>
      </c>
      <c r="T72" s="44">
        <f>T$5*IF(AND(T$4&gt;=Teams!$E$80,Teams!$E$49=1),Teams!$E$44*Params!$D$10*Teams!$E$45*Teams!$E$75+Teams!$E$44*Params!$D$10*Teams!$E$47*Teams!$E$76/1000000+Teams!$E$77+Teams!$E$50*Teams!$E$78+T66*Teams!$E$51*Teams!$E$79/1000000,0)</f>
        <v>0</v>
      </c>
      <c r="U72" s="44">
        <f>U$5*IF(AND(U$4&gt;=Teams!$E$80,Teams!$E$49=1),Teams!$E$44*Params!$D$10*Teams!$E$45*Teams!$E$75+Teams!$E$44*Params!$D$10*Teams!$E$47*Teams!$E$76/1000000+Teams!$E$77+Teams!$E$50*Teams!$E$78+U66*Teams!$E$51*Teams!$E$79/1000000,0)</f>
        <v>0</v>
      </c>
      <c r="V72" s="44">
        <f>V$5*IF(AND(V$4&gt;=Teams!$E$80,Teams!$E$49=1),Teams!$E$44*Params!$D$10*Teams!$E$45*Teams!$E$75+Teams!$E$44*Params!$D$10*Teams!$E$47*Teams!$E$76/1000000+Teams!$E$77+Teams!$E$50*Teams!$E$78+V66*Teams!$E$51*Teams!$E$79/1000000,0)</f>
        <v>0</v>
      </c>
      <c r="W72" s="44">
        <f>W$5*IF(AND(W$4&gt;=Teams!$E$80,Teams!$E$49=1),Teams!$E$44*Params!$D$10*Teams!$E$45*Teams!$E$75+Teams!$E$44*Params!$D$10*Teams!$E$47*Teams!$E$76/1000000+Teams!$E$77+Teams!$E$50*Teams!$E$78+W66*Teams!$E$51*Teams!$E$79/1000000,0)</f>
        <v>0</v>
      </c>
      <c r="X72" s="44">
        <f>X$5*IF(AND(X$4&gt;=Teams!$E$80,Teams!$E$49=1),Teams!$E$44*Params!$D$10*Teams!$E$45*Teams!$E$75+Teams!$E$44*Params!$D$10*Teams!$E$47*Teams!$E$76/1000000+Teams!$E$77+Teams!$E$50*Teams!$E$78+X66*Teams!$E$51*Teams!$E$79/1000000,0)</f>
        <v>0</v>
      </c>
      <c r="Y72" s="44">
        <f>Y$5*IF(AND(Y$4&gt;=Teams!$E$80,Teams!$E$49=1),Teams!$E$44*Params!$D$10*Teams!$E$45*Teams!$E$75+Teams!$E$44*Params!$D$10*Teams!$E$47*Teams!$E$76/1000000+Teams!$E$77+Teams!$E$50*Teams!$E$78+Y66*Teams!$E$51*Teams!$E$79/1000000,0)</f>
        <v>0</v>
      </c>
      <c r="Z72" s="44">
        <f>Z$5*IF(AND(Z$4&gt;=Teams!$E$80,Teams!$E$49=1),Teams!$E$44*Params!$D$10*Teams!$E$45*Teams!$E$75+Teams!$E$44*Params!$D$10*Teams!$E$47*Teams!$E$76/1000000+Teams!$E$77+Teams!$E$50*Teams!$E$78+Z66*Teams!$E$51*Teams!$E$79/1000000,0)</f>
        <v>0</v>
      </c>
      <c r="AA72" s="44">
        <f>AA$5*IF(AND(AA$4&gt;=Teams!$E$80,Teams!$E$49=1),Teams!$E$44*Params!$D$10*Teams!$E$45*Teams!$E$75+Teams!$E$44*Params!$D$10*Teams!$E$47*Teams!$E$76/1000000+Teams!$E$77+Teams!$E$50*Teams!$E$78+AA66*Teams!$E$51*Teams!$E$79/1000000,0)</f>
        <v>0</v>
      </c>
      <c r="AB72" s="44">
        <f>AB$5*IF(AND(AB$4&gt;=Teams!$E$80,Teams!$E$49=1),Teams!$E$44*Params!$D$10*Teams!$E$45*Teams!$E$75+Teams!$E$44*Params!$D$10*Teams!$E$47*Teams!$E$76/1000000+Teams!$E$77+Teams!$E$50*Teams!$E$78+AB66*Teams!$E$51*Teams!$E$79/1000000,0)</f>
        <v>0</v>
      </c>
      <c r="AC72" s="44">
        <f>AC$5*IF(AND(AC$4&gt;=Teams!$E$80,Teams!$E$49=1),Teams!$E$44*Params!$D$10*Teams!$E$45*Teams!$E$75+Teams!$E$44*Params!$D$10*Teams!$E$47*Teams!$E$76/1000000+Teams!$E$77+Teams!$E$50*Teams!$E$78+AC66*Teams!$E$51*Teams!$E$79/1000000,0)</f>
        <v>0</v>
      </c>
      <c r="AD72" s="44">
        <f>AD$5*IF(AND(AD$4&gt;=Teams!$E$80,Teams!$E$49=1),Teams!$E$44*Params!$D$10*Teams!$E$45*Teams!$E$75+Teams!$E$44*Params!$D$10*Teams!$E$47*Teams!$E$76/1000000+Teams!$E$77+Teams!$E$50*Teams!$E$78+AD66*Teams!$E$51*Teams!$E$79/1000000,0)</f>
        <v>0</v>
      </c>
      <c r="AE72" s="44">
        <f>AE$5*IF(AND(AE$4&gt;=Teams!$E$80,Teams!$E$49=1),Teams!$E$44*Params!$D$10*Teams!$E$45*Teams!$E$75+Teams!$E$44*Params!$D$10*Teams!$E$47*Teams!$E$76/1000000+Teams!$E$77+Teams!$E$50*Teams!$E$78+AE66*Teams!$E$51*Teams!$E$79/1000000,0)</f>
        <v>0</v>
      </c>
      <c r="AF72" s="44">
        <f>AF$5*IF(AND(AF$4&gt;=Teams!$E$80,Teams!$E$49=1),Teams!$E$44*Params!$D$10*Teams!$E$45*Teams!$E$75+Teams!$E$44*Params!$D$10*Teams!$E$47*Teams!$E$76/1000000+Teams!$E$77+Teams!$E$50*Teams!$E$78+AF66*Teams!$E$51*Teams!$E$79/1000000,0)</f>
        <v>0</v>
      </c>
      <c r="AG72" s="44">
        <f>AG$5*IF(AND(AG$4&gt;=Teams!$E$80,Teams!$E$49=1),Teams!$E$44*Params!$D$10*Teams!$E$45*Teams!$E$75+Teams!$E$44*Params!$D$10*Teams!$E$47*Teams!$E$76/1000000+Teams!$E$77+Teams!$E$50*Teams!$E$78+AG66*Teams!$E$51*Teams!$E$79/1000000,0)</f>
        <v>0</v>
      </c>
      <c r="AH72" s="44">
        <f>AH$5*IF(AND(AH$4&gt;=Teams!$E$80,Teams!$E$49=1),Teams!$E$44*Params!$D$10*Teams!$E$45*Teams!$E$75+Teams!$E$44*Params!$D$10*Teams!$E$47*Teams!$E$76/1000000+Teams!$E$77+Teams!$E$50*Teams!$E$78+AH66*Teams!$E$51*Teams!$E$79/1000000,0)</f>
        <v>0</v>
      </c>
      <c r="AI72" s="44">
        <f>AI$5*IF(AND(AI$4&gt;=Teams!$E$80,Teams!$E$49=1),Teams!$E$44*Params!$D$10*Teams!$E$45*Teams!$E$75+Teams!$E$44*Params!$D$10*Teams!$E$47*Teams!$E$76/1000000+Teams!$E$77+Teams!$E$50*Teams!$E$78+AI66*Teams!$E$51*Teams!$E$79/1000000,0)</f>
        <v>0</v>
      </c>
      <c r="AJ72" s="44">
        <f>AJ$5*IF(AND(AJ$4&gt;=Teams!$E$80,Teams!$E$49=1),Teams!$E$44*Params!$D$10*Teams!$E$45*Teams!$E$75+Teams!$E$44*Params!$D$10*Teams!$E$47*Teams!$E$76/1000000+Teams!$E$77+Teams!$E$50*Teams!$E$78+AJ66*Teams!$E$51*Teams!$E$79/1000000,0)</f>
        <v>0</v>
      </c>
      <c r="AK72" s="44">
        <f>AK$5*IF(AND(AK$4&gt;=Teams!$E$80,Teams!$E$49=1),Teams!$E$44*Params!$D$10*Teams!$E$45*Teams!$E$75+Teams!$E$44*Params!$D$10*Teams!$E$47*Teams!$E$76/1000000+Teams!$E$77+Teams!$E$50*Teams!$E$78+AK66*Teams!$E$51*Teams!$E$79/1000000,0)</f>
        <v>0</v>
      </c>
      <c r="AL72" s="44">
        <f>AL$5*IF(AND(AL$4&gt;=Teams!$E$80,Teams!$E$49=1),Teams!$E$44*Params!$D$10*Teams!$E$45*Teams!$E$75+Teams!$E$44*Params!$D$10*Teams!$E$47*Teams!$E$76/1000000+Teams!$E$77+Teams!$E$50*Teams!$E$78+AL66*Teams!$E$51*Teams!$E$79/1000000,0)</f>
        <v>0</v>
      </c>
      <c r="AM72" s="44">
        <f>AM$5*IF(AND(AM$4&gt;=Teams!$E$80,Teams!$E$49=1),Teams!$E$44*Params!$D$10*Teams!$E$45*Teams!$E$75+Teams!$E$44*Params!$D$10*Teams!$E$47*Teams!$E$76/1000000+Teams!$E$77+Teams!$E$50*Teams!$E$78+AM66*Teams!$E$51*Teams!$E$79/1000000,0)</f>
        <v>0</v>
      </c>
      <c r="AN72" s="44">
        <f>AN$5*IF(AND(AN$4&gt;=Teams!$E$80,Teams!$E$49=1),Teams!$E$44*Params!$D$10*Teams!$E$45*Teams!$E$75+Teams!$E$44*Params!$D$10*Teams!$E$47*Teams!$E$76/1000000+Teams!$E$77+Teams!$E$50*Teams!$E$78+AN66*Teams!$E$51*Teams!$E$79/1000000,0)</f>
        <v>0</v>
      </c>
      <c r="AO72" s="44">
        <f>AO$5*IF(AND(AO$4&gt;=Teams!$E$80,Teams!$E$49=1),Teams!$E$44*Params!$D$10*Teams!$E$45*Teams!$E$75+Teams!$E$44*Params!$D$10*Teams!$E$47*Teams!$E$76/1000000+Teams!$E$77+Teams!$E$50*Teams!$E$78+AO66*Teams!$E$51*Teams!$E$79/1000000,0)</f>
        <v>0</v>
      </c>
      <c r="AP72" s="44">
        <f>AP$5*IF(AND(AP$4&gt;=Teams!$E$80,Teams!$E$49=1),Teams!$E$44*Params!$D$10*Teams!$E$45*Teams!$E$75+Teams!$E$44*Params!$D$10*Teams!$E$47*Teams!$E$76/1000000+Teams!$E$77+Teams!$E$50*Teams!$E$78+AP66*Teams!$E$51*Teams!$E$79/1000000,0)</f>
        <v>0</v>
      </c>
      <c r="AQ72" s="44">
        <f>AQ$5*IF(AND(AQ$4&gt;=Teams!$E$80,Teams!$E$49=1),Teams!$E$44*Params!$D$10*Teams!$E$45*Teams!$E$75+Teams!$E$44*Params!$D$10*Teams!$E$47*Teams!$E$76/1000000+Teams!$E$77+Teams!$E$50*Teams!$E$78+AQ66*Teams!$E$51*Teams!$E$79/1000000,0)</f>
        <v>0</v>
      </c>
      <c r="AR72" s="44">
        <f>AR$5*IF(AND(AR$4&gt;=Teams!$E$80,Teams!$E$49=1),Teams!$E$44*Params!$D$10*Teams!$E$45*Teams!$E$75+Teams!$E$44*Params!$D$10*Teams!$E$47*Teams!$E$76/1000000+Teams!$E$77+Teams!$E$50*Teams!$E$78+AR66*Teams!$E$51*Teams!$E$79/1000000,0)</f>
        <v>0</v>
      </c>
      <c r="AS72" s="44">
        <f>AS$5*IF(AND(AS$4&gt;=Teams!$E$80,Teams!$E$49=1),Teams!$E$44*Params!$D$10*Teams!$E$45*Teams!$E$75+Teams!$E$44*Params!$D$10*Teams!$E$47*Teams!$E$76/1000000+Teams!$E$77+Teams!$E$50*Teams!$E$78+AS66*Teams!$E$51*Teams!$E$79/1000000,0)</f>
        <v>0</v>
      </c>
      <c r="AT72" s="44">
        <f>AT$5*IF(AND(AT$4&gt;=Teams!$E$80,Teams!$E$49=1),Teams!$E$44*Params!$D$10*Teams!$E$45*Teams!$E$75+Teams!$E$44*Params!$D$10*Teams!$E$47*Teams!$E$76/1000000+Teams!$E$77+Teams!$E$50*Teams!$E$78+AT66*Teams!$E$51*Teams!$E$79/1000000,0)</f>
        <v>0</v>
      </c>
      <c r="AU72" s="44">
        <f>AU$5*IF(AND(AU$4&gt;=Teams!$E$80,Teams!$E$49=1),Teams!$E$44*Params!$D$10*Teams!$E$45*Teams!$E$75+Teams!$E$44*Params!$D$10*Teams!$E$47*Teams!$E$76/1000000+Teams!$E$77+Teams!$E$50*Teams!$E$78+AU66*Teams!$E$51*Teams!$E$79/1000000,0)</f>
        <v>0</v>
      </c>
      <c r="AV72" s="44">
        <f>AV$5*IF(AND(AV$4&gt;=Teams!$E$80,Teams!$E$49=1),Teams!$E$44*Params!$D$10*Teams!$E$45*Teams!$E$75+Teams!$E$44*Params!$D$10*Teams!$E$47*Teams!$E$76/1000000+Teams!$E$77+Teams!$E$50*Teams!$E$78+AV66*Teams!$E$51*Teams!$E$79/1000000,0)</f>
        <v>0</v>
      </c>
      <c r="AW72" s="44">
        <f>AW$5*IF(AND(AW$4&gt;=Teams!$E$80,Teams!$E$49=1),Teams!$E$44*Params!$D$10*Teams!$E$45*Teams!$E$75+Teams!$E$44*Params!$D$10*Teams!$E$47*Teams!$E$76/1000000+Teams!$E$77+Teams!$E$50*Teams!$E$78+AW66*Teams!$E$51*Teams!$E$79/1000000,0)</f>
        <v>0</v>
      </c>
      <c r="AX72" s="44">
        <f>AX$5*IF(AND(AX$4&gt;=Teams!$E$80,Teams!$E$49=1),Teams!$E$44*Params!$D$10*Teams!$E$45*Teams!$E$75+Teams!$E$44*Params!$D$10*Teams!$E$47*Teams!$E$76/1000000+Teams!$E$77+Teams!$E$50*Teams!$E$78+AX66*Teams!$E$51*Teams!$E$79/1000000,0)</f>
        <v>0</v>
      </c>
      <c r="AY72" s="44">
        <f>AY$5*IF(AND(AY$4&gt;=Teams!$E$80,Teams!$E$49=1),Teams!$E$44*Params!$D$10*Teams!$E$45*Teams!$E$75+Teams!$E$44*Params!$D$10*Teams!$E$47*Teams!$E$76/1000000+Teams!$E$77+Teams!$E$50*Teams!$E$78+AY66*Teams!$E$51*Teams!$E$79/1000000,0)</f>
        <v>0</v>
      </c>
      <c r="AZ72" s="44">
        <f>AZ$5*IF(AND(AZ$4&gt;=Teams!$E$80,Teams!$E$49=1),Teams!$E$44*Params!$D$10*Teams!$E$45*Teams!$E$75+Teams!$E$44*Params!$D$10*Teams!$E$47*Teams!$E$76/1000000+Teams!$E$77+Teams!$E$50*Teams!$E$78+AZ66*Teams!$E$51*Teams!$E$79/1000000,0)</f>
        <v>0</v>
      </c>
      <c r="BA72" s="44">
        <f>BA$5*IF(AND(BA$4&gt;=Teams!$E$80,Teams!$E$49=1),Teams!$E$44*Params!$D$10*Teams!$E$45*Teams!$E$75+Teams!$E$44*Params!$D$10*Teams!$E$47*Teams!$E$76/1000000+Teams!$E$77+Teams!$E$50*Teams!$E$78+BA66*Teams!$E$51*Teams!$E$79/1000000,0)</f>
        <v>0</v>
      </c>
      <c r="BB72" s="44">
        <f>BB$5*IF(AND(BB$4&gt;=Teams!$E$80,Teams!$E$49=1),Teams!$E$44*Params!$D$10*Teams!$E$45*Teams!$E$75+Teams!$E$44*Params!$D$10*Teams!$E$47*Teams!$E$76/1000000+Teams!$E$77+Teams!$E$50*Teams!$E$78+BB66*Teams!$E$51*Teams!$E$79/1000000,0)</f>
        <v>0</v>
      </c>
      <c r="BC72" s="44">
        <f>BC$5*IF(AND(BC$4&gt;=Teams!$E$80,Teams!$E$49=1),Teams!$E$44*Params!$D$10*Teams!$E$45*Teams!$E$75+Teams!$E$44*Params!$D$10*Teams!$E$47*Teams!$E$76/1000000+Teams!$E$77+Teams!$E$50*Teams!$E$78+BC66*Teams!$E$51*Teams!$E$79/1000000,0)</f>
        <v>0</v>
      </c>
      <c r="BD72" s="44">
        <f>BD$5*IF(AND(BD$4&gt;=Teams!$E$80,Teams!$E$49=1),Teams!$E$44*Params!$D$10*Teams!$E$45*Teams!$E$75+Teams!$E$44*Params!$D$10*Teams!$E$47*Teams!$E$76/1000000+Teams!$E$77+Teams!$E$50*Teams!$E$78+BD66*Teams!$E$51*Teams!$E$79/1000000,0)</f>
        <v>0</v>
      </c>
      <c r="BE72" s="44">
        <f>BE$5*IF(AND(BE$4&gt;=Teams!$E$80,Teams!$E$49=1),Teams!$E$44*Params!$D$10*Teams!$E$45*Teams!$E$75+Teams!$E$44*Params!$D$10*Teams!$E$47*Teams!$E$76/1000000+Teams!$E$77+Teams!$E$50*Teams!$E$78+BE66*Teams!$E$51*Teams!$E$79/1000000,0)</f>
        <v>0</v>
      </c>
      <c r="BF72" s="44">
        <f>BF$5*IF(AND(BF$4&gt;=Teams!$E$80,Teams!$E$49=1),Teams!$E$44*Params!$D$10*Teams!$E$45*Teams!$E$75+Teams!$E$44*Params!$D$10*Teams!$E$47*Teams!$E$76/1000000+Teams!$E$77+Teams!$E$50*Teams!$E$78+BF66*Teams!$E$51*Teams!$E$79/1000000,0)</f>
        <v>0</v>
      </c>
      <c r="BG72" s="44">
        <f>BG$5*IF(AND(BG$4&gt;=Teams!$E$80,Teams!$E$49=1),Teams!$E$44*Params!$D$10*Teams!$E$45*Teams!$E$75+Teams!$E$44*Params!$D$10*Teams!$E$47*Teams!$E$76/1000000+Teams!$E$77+Teams!$E$50*Teams!$E$78+BG66*Teams!$E$51*Teams!$E$79/1000000,0)</f>
        <v>0</v>
      </c>
      <c r="BH72" s="44">
        <f>BH$5*IF(AND(BH$4&gt;=Teams!$E$80,Teams!$E$49=1),Teams!$E$44*Params!$D$10*Teams!$E$45*Teams!$E$75+Teams!$E$44*Params!$D$10*Teams!$E$47*Teams!$E$76/1000000+Teams!$E$77+Teams!$E$50*Teams!$E$78+BH66*Teams!$E$51*Teams!$E$79/1000000,0)</f>
        <v>0</v>
      </c>
      <c r="BI72" s="44">
        <f>BI$5*IF(AND(BI$4&gt;=Teams!$E$80,Teams!$E$49=1),Teams!$E$44*Params!$D$10*Teams!$E$45*Teams!$E$75+Teams!$E$44*Params!$D$10*Teams!$E$47*Teams!$E$76/1000000+Teams!$E$77+Teams!$E$50*Teams!$E$78+BI66*Teams!$E$51*Teams!$E$79/1000000,0)</f>
        <v>0</v>
      </c>
      <c r="BJ72" s="44">
        <f>BJ$5*IF(AND(BJ$4&gt;=Teams!$E$80,Teams!$E$49=1),Teams!$E$44*Params!$D$10*Teams!$E$45*Teams!$E$75+Teams!$E$44*Params!$D$10*Teams!$E$47*Teams!$E$76/1000000+Teams!$E$77+Teams!$E$50*Teams!$E$78+BJ66*Teams!$E$51*Teams!$E$79/1000000,0)</f>
        <v>0</v>
      </c>
      <c r="BK72" s="44">
        <f>BK$5*IF(AND(BK$4&gt;=Teams!$E$80,Teams!$E$49=1),Teams!$E$44*Params!$D$10*Teams!$E$45*Teams!$E$75+Teams!$E$44*Params!$D$10*Teams!$E$47*Teams!$E$76/1000000+Teams!$E$77+Teams!$E$50*Teams!$E$78+BK66*Teams!$E$51*Teams!$E$79/1000000,0)</f>
        <v>0</v>
      </c>
      <c r="BL72" s="44">
        <f>BL$5*IF(AND(BL$4&gt;=Teams!$E$80,Teams!$E$49=1),Teams!$E$44*Params!$D$10*Teams!$E$45*Teams!$E$75+Teams!$E$44*Params!$D$10*Teams!$E$47*Teams!$E$76/1000000+Teams!$E$77+Teams!$E$50*Teams!$E$78+BL66*Teams!$E$51*Teams!$E$79/1000000,0)</f>
        <v>0</v>
      </c>
    </row>
    <row r="73" spans="1:64" x14ac:dyDescent="0.3">
      <c r="A73" s="8" t="s">
        <v>671</v>
      </c>
      <c r="B73" s="18" t="s">
        <v>169</v>
      </c>
      <c r="C73" s="44">
        <f t="shared" si="20"/>
        <v>3500</v>
      </c>
      <c r="E73" s="44">
        <f>E$5*IF(E$4&gt;=Teams!$E$80,Teams!$E$43*Params!$D$6*Org!$B$10*Params!$D$7/12,0)</f>
        <v>0</v>
      </c>
      <c r="F73" s="44">
        <f>F$5*IF(F$4&gt;=Teams!$E$80,Teams!$E$43*Params!$D$6*Org!$B$10*Params!$D$7/12,0)</f>
        <v>100</v>
      </c>
      <c r="G73" s="44">
        <f>G$5*IF(G$4&gt;=Teams!$E$80,Teams!$E$43*Params!$D$6*Org!$B$10*Params!$D$7/12,0)</f>
        <v>100</v>
      </c>
      <c r="H73" s="44">
        <f>H$5*IF(H$4&gt;=Teams!$E$80,Teams!$E$43*Params!$D$6*Org!$B$10*Params!$D$7/12,0)</f>
        <v>100</v>
      </c>
      <c r="I73" s="44">
        <f>I$5*IF(I$4&gt;=Teams!$E$80,Teams!$E$43*Params!$D$6*Org!$B$10*Params!$D$7/12,0)</f>
        <v>100</v>
      </c>
      <c r="J73" s="44">
        <f>J$5*IF(J$4&gt;=Teams!$E$80,Teams!$E$43*Params!$D$6*Org!$B$10*Params!$D$7/12,0)</f>
        <v>100</v>
      </c>
      <c r="K73" s="44">
        <f>K$5*IF(K$4&gt;=Teams!$E$80,Teams!$E$43*Params!$D$6*Org!$B$10*Params!$D$7/12,0)</f>
        <v>100</v>
      </c>
      <c r="L73" s="44">
        <f>L$5*IF(L$4&gt;=Teams!$E$80,Teams!$E$43*Params!$D$6*Org!$B$10*Params!$D$7/12,0)</f>
        <v>100</v>
      </c>
      <c r="M73" s="44">
        <f>M$5*IF(M$4&gt;=Teams!$E$80,Teams!$E$43*Params!$D$6*Org!$B$10*Params!$D$7/12,0)</f>
        <v>100</v>
      </c>
      <c r="N73" s="44">
        <f>N$5*IF(N$4&gt;=Teams!$E$80,Teams!$E$43*Params!$D$6*Org!$B$10*Params!$D$7/12,0)</f>
        <v>100</v>
      </c>
      <c r="O73" s="44">
        <f>O$5*IF(O$4&gt;=Teams!$E$80,Teams!$E$43*Params!$D$6*Org!$B$10*Params!$D$7/12,0)</f>
        <v>100</v>
      </c>
      <c r="P73" s="44">
        <f>P$5*IF(P$4&gt;=Teams!$E$80,Teams!$E$43*Params!$D$6*Org!$B$10*Params!$D$7/12,0)</f>
        <v>100</v>
      </c>
      <c r="Q73" s="44">
        <f>Q$5*IF(Q$4&gt;=Teams!$E$80,Teams!$E$43*Params!$D$6*Org!$B$10*Params!$D$7/12,0)</f>
        <v>100</v>
      </c>
      <c r="R73" s="44">
        <f>R$5*IF(R$4&gt;=Teams!$E$80,Teams!$E$43*Params!$D$6*Org!$B$10*Params!$D$7/12,0)</f>
        <v>100</v>
      </c>
      <c r="S73" s="44">
        <f>S$5*IF(S$4&gt;=Teams!$E$80,Teams!$E$43*Params!$D$6*Org!$B$10*Params!$D$7/12,0)</f>
        <v>100</v>
      </c>
      <c r="T73" s="44">
        <f>T$5*IF(T$4&gt;=Teams!$E$80,Teams!$E$43*Params!$D$6*Org!$B$10*Params!$D$7/12,0)</f>
        <v>100</v>
      </c>
      <c r="U73" s="44">
        <f>U$5*IF(U$4&gt;=Teams!$E$80,Teams!$E$43*Params!$D$6*Org!$B$10*Params!$D$7/12,0)</f>
        <v>100</v>
      </c>
      <c r="V73" s="44">
        <f>V$5*IF(V$4&gt;=Teams!$E$80,Teams!$E$43*Params!$D$6*Org!$B$10*Params!$D$7/12,0)</f>
        <v>100</v>
      </c>
      <c r="W73" s="44">
        <f>W$5*IF(W$4&gt;=Teams!$E$80,Teams!$E$43*Params!$D$6*Org!$B$10*Params!$D$7/12,0)</f>
        <v>100</v>
      </c>
      <c r="X73" s="44">
        <f>X$5*IF(X$4&gt;=Teams!$E$80,Teams!$E$43*Params!$D$6*Org!$B$10*Params!$D$7/12,0)</f>
        <v>100</v>
      </c>
      <c r="Y73" s="44">
        <f>Y$5*IF(Y$4&gt;=Teams!$E$80,Teams!$E$43*Params!$D$6*Org!$B$10*Params!$D$7/12,0)</f>
        <v>100</v>
      </c>
      <c r="Z73" s="44">
        <f>Z$5*IF(Z$4&gt;=Teams!$E$80,Teams!$E$43*Params!$D$6*Org!$B$10*Params!$D$7/12,0)</f>
        <v>100</v>
      </c>
      <c r="AA73" s="44">
        <f>AA$5*IF(AA$4&gt;=Teams!$E$80,Teams!$E$43*Params!$D$6*Org!$B$10*Params!$D$7/12,0)</f>
        <v>100</v>
      </c>
      <c r="AB73" s="44">
        <f>AB$5*IF(AB$4&gt;=Teams!$E$80,Teams!$E$43*Params!$D$6*Org!$B$10*Params!$D$7/12,0)</f>
        <v>100</v>
      </c>
      <c r="AC73" s="44">
        <f>AC$5*IF(AC$4&gt;=Teams!$E$80,Teams!$E$43*Params!$D$6*Org!$B$10*Params!$D$7/12,0)</f>
        <v>100</v>
      </c>
      <c r="AD73" s="44">
        <f>AD$5*IF(AD$4&gt;=Teams!$E$80,Teams!$E$43*Params!$D$6*Org!$B$10*Params!$D$7/12,0)</f>
        <v>100</v>
      </c>
      <c r="AE73" s="44">
        <f>AE$5*IF(AE$4&gt;=Teams!$E$80,Teams!$E$43*Params!$D$6*Org!$B$10*Params!$D$7/12,0)</f>
        <v>100</v>
      </c>
      <c r="AF73" s="44">
        <f>AF$5*IF(AF$4&gt;=Teams!$E$80,Teams!$E$43*Params!$D$6*Org!$B$10*Params!$D$7/12,0)</f>
        <v>100</v>
      </c>
      <c r="AG73" s="44">
        <f>AG$5*IF(AG$4&gt;=Teams!$E$80,Teams!$E$43*Params!$D$6*Org!$B$10*Params!$D$7/12,0)</f>
        <v>100</v>
      </c>
      <c r="AH73" s="44">
        <f>AH$5*IF(AH$4&gt;=Teams!$E$80,Teams!$E$43*Params!$D$6*Org!$B$10*Params!$D$7/12,0)</f>
        <v>100</v>
      </c>
      <c r="AI73" s="44">
        <f>AI$5*IF(AI$4&gt;=Teams!$E$80,Teams!$E$43*Params!$D$6*Org!$B$10*Params!$D$7/12,0)</f>
        <v>100</v>
      </c>
      <c r="AJ73" s="44">
        <f>AJ$5*IF(AJ$4&gt;=Teams!$E$80,Teams!$E$43*Params!$D$6*Org!$B$10*Params!$D$7/12,0)</f>
        <v>100</v>
      </c>
      <c r="AK73" s="44">
        <f>AK$5*IF(AK$4&gt;=Teams!$E$80,Teams!$E$43*Params!$D$6*Org!$B$10*Params!$D$7/12,0)</f>
        <v>100</v>
      </c>
      <c r="AL73" s="44">
        <f>AL$5*IF(AL$4&gt;=Teams!$E$80,Teams!$E$43*Params!$D$6*Org!$B$10*Params!$D$7/12,0)</f>
        <v>100</v>
      </c>
      <c r="AM73" s="44">
        <f>AM$5*IF(AM$4&gt;=Teams!$E$80,Teams!$E$43*Params!$D$6*Org!$B$10*Params!$D$7/12,0)</f>
        <v>100</v>
      </c>
      <c r="AN73" s="44">
        <f>AN$5*IF(AN$4&gt;=Teams!$E$80,Teams!$E$43*Params!$D$6*Org!$B$10*Params!$D$7/12,0)</f>
        <v>100</v>
      </c>
      <c r="AO73" s="44">
        <f>AO$5*IF(AO$4&gt;=Teams!$E$80,Teams!$E$43*Params!$D$6*Org!$B$10*Params!$D$7/12,0)</f>
        <v>0</v>
      </c>
      <c r="AP73" s="44">
        <f>AP$5*IF(AP$4&gt;=Teams!$E$80,Teams!$E$43*Params!$D$6*Org!$B$10*Params!$D$7/12,0)</f>
        <v>0</v>
      </c>
      <c r="AQ73" s="44">
        <f>AQ$5*IF(AQ$4&gt;=Teams!$E$80,Teams!$E$43*Params!$D$6*Org!$B$10*Params!$D$7/12,0)</f>
        <v>0</v>
      </c>
      <c r="AR73" s="44">
        <f>AR$5*IF(AR$4&gt;=Teams!$E$80,Teams!$E$43*Params!$D$6*Org!$B$10*Params!$D$7/12,0)</f>
        <v>0</v>
      </c>
      <c r="AS73" s="44">
        <f>AS$5*IF(AS$4&gt;=Teams!$E$80,Teams!$E$43*Params!$D$6*Org!$B$10*Params!$D$7/12,0)</f>
        <v>0</v>
      </c>
      <c r="AT73" s="44">
        <f>AT$5*IF(AT$4&gt;=Teams!$E$80,Teams!$E$43*Params!$D$6*Org!$B$10*Params!$D$7/12,0)</f>
        <v>0</v>
      </c>
      <c r="AU73" s="44">
        <f>AU$5*IF(AU$4&gt;=Teams!$E$80,Teams!$E$43*Params!$D$6*Org!$B$10*Params!$D$7/12,0)</f>
        <v>0</v>
      </c>
      <c r="AV73" s="44">
        <f>AV$5*IF(AV$4&gt;=Teams!$E$80,Teams!$E$43*Params!$D$6*Org!$B$10*Params!$D$7/12,0)</f>
        <v>0</v>
      </c>
      <c r="AW73" s="44">
        <f>AW$5*IF(AW$4&gt;=Teams!$E$80,Teams!$E$43*Params!$D$6*Org!$B$10*Params!$D$7/12,0)</f>
        <v>0</v>
      </c>
      <c r="AX73" s="44">
        <f>AX$5*IF(AX$4&gt;=Teams!$E$80,Teams!$E$43*Params!$D$6*Org!$B$10*Params!$D$7/12,0)</f>
        <v>0</v>
      </c>
      <c r="AY73" s="44">
        <f>AY$5*IF(AY$4&gt;=Teams!$E$80,Teams!$E$43*Params!$D$6*Org!$B$10*Params!$D$7/12,0)</f>
        <v>0</v>
      </c>
      <c r="AZ73" s="44">
        <f>AZ$5*IF(AZ$4&gt;=Teams!$E$80,Teams!$E$43*Params!$D$6*Org!$B$10*Params!$D$7/12,0)</f>
        <v>0</v>
      </c>
      <c r="BA73" s="44">
        <f>BA$5*IF(BA$4&gt;=Teams!$E$80,Teams!$E$43*Params!$D$6*Org!$B$10*Params!$D$7/12,0)</f>
        <v>0</v>
      </c>
      <c r="BB73" s="44">
        <f>BB$5*IF(BB$4&gt;=Teams!$E$80,Teams!$E$43*Params!$D$6*Org!$B$10*Params!$D$7/12,0)</f>
        <v>0</v>
      </c>
      <c r="BC73" s="44">
        <f>BC$5*IF(BC$4&gt;=Teams!$E$80,Teams!$E$43*Params!$D$6*Org!$B$10*Params!$D$7/12,0)</f>
        <v>0</v>
      </c>
      <c r="BD73" s="44">
        <f>BD$5*IF(BD$4&gt;=Teams!$E$80,Teams!$E$43*Params!$D$6*Org!$B$10*Params!$D$7/12,0)</f>
        <v>0</v>
      </c>
      <c r="BE73" s="44">
        <f>BE$5*IF(BE$4&gt;=Teams!$E$80,Teams!$E$43*Params!$D$6*Org!$B$10*Params!$D$7/12,0)</f>
        <v>0</v>
      </c>
      <c r="BF73" s="44">
        <f>BF$5*IF(BF$4&gt;=Teams!$E$80,Teams!$E$43*Params!$D$6*Org!$B$10*Params!$D$7/12,0)</f>
        <v>0</v>
      </c>
      <c r="BG73" s="44">
        <f>BG$5*IF(BG$4&gt;=Teams!$E$80,Teams!$E$43*Params!$D$6*Org!$B$10*Params!$D$7/12,0)</f>
        <v>0</v>
      </c>
      <c r="BH73" s="44">
        <f>BH$5*IF(BH$4&gt;=Teams!$E$80,Teams!$E$43*Params!$D$6*Org!$B$10*Params!$D$7/12,0)</f>
        <v>0</v>
      </c>
      <c r="BI73" s="44">
        <f>BI$5*IF(BI$4&gt;=Teams!$E$80,Teams!$E$43*Params!$D$6*Org!$B$10*Params!$D$7/12,0)</f>
        <v>0</v>
      </c>
      <c r="BJ73" s="44">
        <f>BJ$5*IF(BJ$4&gt;=Teams!$E$80,Teams!$E$43*Params!$D$6*Org!$B$10*Params!$D$7/12,0)</f>
        <v>0</v>
      </c>
      <c r="BK73" s="44">
        <f>BK$5*IF(BK$4&gt;=Teams!$E$80,Teams!$E$43*Params!$D$6*Org!$B$10*Params!$D$7/12,0)</f>
        <v>0</v>
      </c>
      <c r="BL73" s="44">
        <f>BL$5*IF(BL$4&gt;=Teams!$E$80,Teams!$E$43*Params!$D$6*Org!$B$10*Params!$D$7/12,0)</f>
        <v>0</v>
      </c>
    </row>
    <row r="74" spans="1:64" x14ac:dyDescent="0.3">
      <c r="A74" s="8" t="s">
        <v>672</v>
      </c>
      <c r="B74" s="18" t="s">
        <v>169</v>
      </c>
      <c r="C74" s="44">
        <f t="shared" si="20"/>
        <v>16747.708333333325</v>
      </c>
      <c r="E74" s="44">
        <f>E$5*IF(E$4&gt;=Teams!$E$80,Params!$D$23*Params!$D$24/60*(Org!$B$10/Org!$B$11)+Params!$D$27/12*Params!$D$13*Org!$B$10+E65/1000*Params!$D$28*Params!$D$29*(Org!$B$10/Org!$B$11),0)</f>
        <v>0</v>
      </c>
      <c r="F74" s="44">
        <f>F$5*IF(F$4&gt;=Teams!$E$80,Params!$D$23*Params!$D$24/60*(Org!$B$10/Org!$B$11)+Params!$D$27/12*Params!$D$13*Org!$B$10+F65/1000*Params!$D$28*Params!$D$29*(Org!$B$10/Org!$B$11),0)</f>
        <v>467.61111111111114</v>
      </c>
      <c r="G74" s="44">
        <f>G$5*IF(G$4&gt;=Teams!$E$80,Params!$D$23*Params!$D$24/60*(Org!$B$10/Org!$B$11)+Params!$D$27/12*Params!$D$13*Org!$B$10+G65/1000*Params!$D$28*Params!$D$29*(Org!$B$10/Org!$B$11),0)</f>
        <v>469.97222222222223</v>
      </c>
      <c r="H74" s="44">
        <f>H$5*IF(H$4&gt;=Teams!$E$80,Params!$D$23*Params!$D$24/60*(Org!$B$10/Org!$B$11)+Params!$D$27/12*Params!$D$13*Org!$B$10+H65/1000*Params!$D$28*Params!$D$29*(Org!$B$10/Org!$B$11),0)</f>
        <v>473.04166666666669</v>
      </c>
      <c r="I74" s="44">
        <f>I$5*IF(I$4&gt;=Teams!$E$80,Params!$D$23*Params!$D$24/60*(Org!$B$10/Org!$B$11)+Params!$D$27/12*Params!$D$13*Org!$B$10+I65/1000*Params!$D$28*Params!$D$29*(Org!$B$10/Org!$B$11),0)</f>
        <v>476.11111111111114</v>
      </c>
      <c r="J74" s="44">
        <f>J$5*IF(J$4&gt;=Teams!$E$80,Params!$D$23*Params!$D$24/60*(Org!$B$10/Org!$B$11)+Params!$D$27/12*Params!$D$13*Org!$B$10+J65/1000*Params!$D$28*Params!$D$29*(Org!$B$10/Org!$B$11),0)</f>
        <v>478.47222222222223</v>
      </c>
      <c r="K74" s="44">
        <f>K$5*IF(K$4&gt;=Teams!$E$80,Params!$D$23*Params!$D$24/60*(Org!$B$10/Org!$B$11)+Params!$D$27/12*Params!$D$13*Org!$B$10+K65/1000*Params!$D$28*Params!$D$29*(Org!$B$10/Org!$B$11),0)</f>
        <v>479.41666666666669</v>
      </c>
      <c r="L74" s="44">
        <f>L$5*IF(L$4&gt;=Teams!$E$80,Params!$D$23*Params!$D$24/60*(Org!$B$10/Org!$B$11)+Params!$D$27/12*Params!$D$13*Org!$B$10+L65/1000*Params!$D$28*Params!$D$29*(Org!$B$10/Org!$B$11),0)</f>
        <v>479.41666666666669</v>
      </c>
      <c r="M74" s="44">
        <f>M$5*IF(M$4&gt;=Teams!$E$80,Params!$D$23*Params!$D$24/60*(Org!$B$10/Org!$B$11)+Params!$D$27/12*Params!$D$13*Org!$B$10+M65/1000*Params!$D$28*Params!$D$29*(Org!$B$10/Org!$B$11),0)</f>
        <v>479.41666666666669</v>
      </c>
      <c r="N74" s="44">
        <f>N$5*IF(N$4&gt;=Teams!$E$80,Params!$D$23*Params!$D$24/60*(Org!$B$10/Org!$B$11)+Params!$D$27/12*Params!$D$13*Org!$B$10+N65/1000*Params!$D$28*Params!$D$29*(Org!$B$10/Org!$B$11),0)</f>
        <v>479.41666666666669</v>
      </c>
      <c r="O74" s="44">
        <f>O$5*IF(O$4&gt;=Teams!$E$80,Params!$D$23*Params!$D$24/60*(Org!$B$10/Org!$B$11)+Params!$D$27/12*Params!$D$13*Org!$B$10+O65/1000*Params!$D$28*Params!$D$29*(Org!$B$10/Org!$B$11),0)</f>
        <v>479.41666666666669</v>
      </c>
      <c r="P74" s="44">
        <f>P$5*IF(P$4&gt;=Teams!$E$80,Params!$D$23*Params!$D$24/60*(Org!$B$10/Org!$B$11)+Params!$D$27/12*Params!$D$13*Org!$B$10+P65/1000*Params!$D$28*Params!$D$29*(Org!$B$10/Org!$B$11),0)</f>
        <v>479.41666666666669</v>
      </c>
      <c r="Q74" s="44">
        <f>Q$5*IF(Q$4&gt;=Teams!$E$80,Params!$D$23*Params!$D$24/60*(Org!$B$10/Org!$B$11)+Params!$D$27/12*Params!$D$13*Org!$B$10+Q65/1000*Params!$D$28*Params!$D$29*(Org!$B$10/Org!$B$11),0)</f>
        <v>479.41666666666669</v>
      </c>
      <c r="R74" s="44">
        <f>R$5*IF(R$4&gt;=Teams!$E$80,Params!$D$23*Params!$D$24/60*(Org!$B$10/Org!$B$11)+Params!$D$27/12*Params!$D$13*Org!$B$10+R65/1000*Params!$D$28*Params!$D$29*(Org!$B$10/Org!$B$11),0)</f>
        <v>479.41666666666669</v>
      </c>
      <c r="S74" s="44">
        <f>S$5*IF(S$4&gt;=Teams!$E$80,Params!$D$23*Params!$D$24/60*(Org!$B$10/Org!$B$11)+Params!$D$27/12*Params!$D$13*Org!$B$10+S65/1000*Params!$D$28*Params!$D$29*(Org!$B$10/Org!$B$11),0)</f>
        <v>479.41666666666669</v>
      </c>
      <c r="T74" s="44">
        <f>T$5*IF(T$4&gt;=Teams!$E$80,Params!$D$23*Params!$D$24/60*(Org!$B$10/Org!$B$11)+Params!$D$27/12*Params!$D$13*Org!$B$10+T65/1000*Params!$D$28*Params!$D$29*(Org!$B$10/Org!$B$11),0)</f>
        <v>479.41666666666669</v>
      </c>
      <c r="U74" s="44">
        <f>U$5*IF(U$4&gt;=Teams!$E$80,Params!$D$23*Params!$D$24/60*(Org!$B$10/Org!$B$11)+Params!$D$27/12*Params!$D$13*Org!$B$10+U65/1000*Params!$D$28*Params!$D$29*(Org!$B$10/Org!$B$11),0)</f>
        <v>479.41666666666669</v>
      </c>
      <c r="V74" s="44">
        <f>V$5*IF(V$4&gt;=Teams!$E$80,Params!$D$23*Params!$D$24/60*(Org!$B$10/Org!$B$11)+Params!$D$27/12*Params!$D$13*Org!$B$10+V65/1000*Params!$D$28*Params!$D$29*(Org!$B$10/Org!$B$11),0)</f>
        <v>479.41666666666669</v>
      </c>
      <c r="W74" s="44">
        <f>W$5*IF(W$4&gt;=Teams!$E$80,Params!$D$23*Params!$D$24/60*(Org!$B$10/Org!$B$11)+Params!$D$27/12*Params!$D$13*Org!$B$10+W65/1000*Params!$D$28*Params!$D$29*(Org!$B$10/Org!$B$11),0)</f>
        <v>479.41666666666669</v>
      </c>
      <c r="X74" s="44">
        <f>X$5*IF(X$4&gt;=Teams!$E$80,Params!$D$23*Params!$D$24/60*(Org!$B$10/Org!$B$11)+Params!$D$27/12*Params!$D$13*Org!$B$10+X65/1000*Params!$D$28*Params!$D$29*(Org!$B$10/Org!$B$11),0)</f>
        <v>479.41666666666669</v>
      </c>
      <c r="Y74" s="44">
        <f>Y$5*IF(Y$4&gt;=Teams!$E$80,Params!$D$23*Params!$D$24/60*(Org!$B$10/Org!$B$11)+Params!$D$27/12*Params!$D$13*Org!$B$10+Y65/1000*Params!$D$28*Params!$D$29*(Org!$B$10/Org!$B$11),0)</f>
        <v>479.41666666666669</v>
      </c>
      <c r="Z74" s="44">
        <f>Z$5*IF(Z$4&gt;=Teams!$E$80,Params!$D$23*Params!$D$24/60*(Org!$B$10/Org!$B$11)+Params!$D$27/12*Params!$D$13*Org!$B$10+Z65/1000*Params!$D$28*Params!$D$29*(Org!$B$10/Org!$B$11),0)</f>
        <v>479.41666666666669</v>
      </c>
      <c r="AA74" s="44">
        <f>AA$5*IF(AA$4&gt;=Teams!$E$80,Params!$D$23*Params!$D$24/60*(Org!$B$10/Org!$B$11)+Params!$D$27/12*Params!$D$13*Org!$B$10+AA65/1000*Params!$D$28*Params!$D$29*(Org!$B$10/Org!$B$11),0)</f>
        <v>479.41666666666669</v>
      </c>
      <c r="AB74" s="44">
        <f>AB$5*IF(AB$4&gt;=Teams!$E$80,Params!$D$23*Params!$D$24/60*(Org!$B$10/Org!$B$11)+Params!$D$27/12*Params!$D$13*Org!$B$10+AB65/1000*Params!$D$28*Params!$D$29*(Org!$B$10/Org!$B$11),0)</f>
        <v>479.41666666666669</v>
      </c>
      <c r="AC74" s="44">
        <f>AC$5*IF(AC$4&gt;=Teams!$E$80,Params!$D$23*Params!$D$24/60*(Org!$B$10/Org!$B$11)+Params!$D$27/12*Params!$D$13*Org!$B$10+AC65/1000*Params!$D$28*Params!$D$29*(Org!$B$10/Org!$B$11),0)</f>
        <v>479.41666666666669</v>
      </c>
      <c r="AD74" s="44">
        <f>AD$5*IF(AD$4&gt;=Teams!$E$80,Params!$D$23*Params!$D$24/60*(Org!$B$10/Org!$B$11)+Params!$D$27/12*Params!$D$13*Org!$B$10+AD65/1000*Params!$D$28*Params!$D$29*(Org!$B$10/Org!$B$11),0)</f>
        <v>479.41666666666669</v>
      </c>
      <c r="AE74" s="44">
        <f>AE$5*IF(AE$4&gt;=Teams!$E$80,Params!$D$23*Params!$D$24/60*(Org!$B$10/Org!$B$11)+Params!$D$27/12*Params!$D$13*Org!$B$10+AE65/1000*Params!$D$28*Params!$D$29*(Org!$B$10/Org!$B$11),0)</f>
        <v>479.41666666666669</v>
      </c>
      <c r="AF74" s="44">
        <f>AF$5*IF(AF$4&gt;=Teams!$E$80,Params!$D$23*Params!$D$24/60*(Org!$B$10/Org!$B$11)+Params!$D$27/12*Params!$D$13*Org!$B$10+AF65/1000*Params!$D$28*Params!$D$29*(Org!$B$10/Org!$B$11),0)</f>
        <v>479.41666666666669</v>
      </c>
      <c r="AG74" s="44">
        <f>AG$5*IF(AG$4&gt;=Teams!$E$80,Params!$D$23*Params!$D$24/60*(Org!$B$10/Org!$B$11)+Params!$D$27/12*Params!$D$13*Org!$B$10+AG65/1000*Params!$D$28*Params!$D$29*(Org!$B$10/Org!$B$11),0)</f>
        <v>479.41666666666669</v>
      </c>
      <c r="AH74" s="44">
        <f>AH$5*IF(AH$4&gt;=Teams!$E$80,Params!$D$23*Params!$D$24/60*(Org!$B$10/Org!$B$11)+Params!$D$27/12*Params!$D$13*Org!$B$10+AH65/1000*Params!$D$28*Params!$D$29*(Org!$B$10/Org!$B$11),0)</f>
        <v>479.41666666666669</v>
      </c>
      <c r="AI74" s="44">
        <f>AI$5*IF(AI$4&gt;=Teams!$E$80,Params!$D$23*Params!$D$24/60*(Org!$B$10/Org!$B$11)+Params!$D$27/12*Params!$D$13*Org!$B$10+AI65/1000*Params!$D$28*Params!$D$29*(Org!$B$10/Org!$B$11),0)</f>
        <v>479.41666666666669</v>
      </c>
      <c r="AJ74" s="44">
        <f>AJ$5*IF(AJ$4&gt;=Teams!$E$80,Params!$D$23*Params!$D$24/60*(Org!$B$10/Org!$B$11)+Params!$D$27/12*Params!$D$13*Org!$B$10+AJ65/1000*Params!$D$28*Params!$D$29*(Org!$B$10/Org!$B$11),0)</f>
        <v>479.41666666666669</v>
      </c>
      <c r="AK74" s="44">
        <f>AK$5*IF(AK$4&gt;=Teams!$E$80,Params!$D$23*Params!$D$24/60*(Org!$B$10/Org!$B$11)+Params!$D$27/12*Params!$D$13*Org!$B$10+AK65/1000*Params!$D$28*Params!$D$29*(Org!$B$10/Org!$B$11),0)</f>
        <v>479.41666666666669</v>
      </c>
      <c r="AL74" s="44">
        <f>AL$5*IF(AL$4&gt;=Teams!$E$80,Params!$D$23*Params!$D$24/60*(Org!$B$10/Org!$B$11)+Params!$D$27/12*Params!$D$13*Org!$B$10+AL65/1000*Params!$D$28*Params!$D$29*(Org!$B$10/Org!$B$11),0)</f>
        <v>479.41666666666669</v>
      </c>
      <c r="AM74" s="44">
        <f>AM$5*IF(AM$4&gt;=Teams!$E$80,Params!$D$23*Params!$D$24/60*(Org!$B$10/Org!$B$11)+Params!$D$27/12*Params!$D$13*Org!$B$10+AM65/1000*Params!$D$28*Params!$D$29*(Org!$B$10/Org!$B$11),0)</f>
        <v>479.41666666666669</v>
      </c>
      <c r="AN74" s="44">
        <f>AN$5*IF(AN$4&gt;=Teams!$E$80,Params!$D$23*Params!$D$24/60*(Org!$B$10/Org!$B$11)+Params!$D$27/12*Params!$D$13*Org!$B$10+AN65/1000*Params!$D$28*Params!$D$29*(Org!$B$10/Org!$B$11),0)</f>
        <v>479.41666666666669</v>
      </c>
      <c r="AO74" s="44">
        <f>AO$5*IF(AO$4&gt;=Teams!$E$80,Params!$D$23*Params!$D$24/60*(Org!$B$10/Org!$B$11)+Params!$D$27/12*Params!$D$13*Org!$B$10+AO65/1000*Params!$D$28*Params!$D$29*(Org!$B$10/Org!$B$11),0)</f>
        <v>0</v>
      </c>
      <c r="AP74" s="44">
        <f>AP$5*IF(AP$4&gt;=Teams!$E$80,Params!$D$23*Params!$D$24/60*(Org!$B$10/Org!$B$11)+Params!$D$27/12*Params!$D$13*Org!$B$10+AP65/1000*Params!$D$28*Params!$D$29*(Org!$B$10/Org!$B$11),0)</f>
        <v>0</v>
      </c>
      <c r="AQ74" s="44">
        <f>AQ$5*IF(AQ$4&gt;=Teams!$E$80,Params!$D$23*Params!$D$24/60*(Org!$B$10/Org!$B$11)+Params!$D$27/12*Params!$D$13*Org!$B$10+AQ65/1000*Params!$D$28*Params!$D$29*(Org!$B$10/Org!$B$11),0)</f>
        <v>0</v>
      </c>
      <c r="AR74" s="44">
        <f>AR$5*IF(AR$4&gt;=Teams!$E$80,Params!$D$23*Params!$D$24/60*(Org!$B$10/Org!$B$11)+Params!$D$27/12*Params!$D$13*Org!$B$10+AR65/1000*Params!$D$28*Params!$D$29*(Org!$B$10/Org!$B$11),0)</f>
        <v>0</v>
      </c>
      <c r="AS74" s="44">
        <f>AS$5*IF(AS$4&gt;=Teams!$E$80,Params!$D$23*Params!$D$24/60*(Org!$B$10/Org!$B$11)+Params!$D$27/12*Params!$D$13*Org!$B$10+AS65/1000*Params!$D$28*Params!$D$29*(Org!$B$10/Org!$B$11),0)</f>
        <v>0</v>
      </c>
      <c r="AT74" s="44">
        <f>AT$5*IF(AT$4&gt;=Teams!$E$80,Params!$D$23*Params!$D$24/60*(Org!$B$10/Org!$B$11)+Params!$D$27/12*Params!$D$13*Org!$B$10+AT65/1000*Params!$D$28*Params!$D$29*(Org!$B$10/Org!$B$11),0)</f>
        <v>0</v>
      </c>
      <c r="AU74" s="44">
        <f>AU$5*IF(AU$4&gt;=Teams!$E$80,Params!$D$23*Params!$D$24/60*(Org!$B$10/Org!$B$11)+Params!$D$27/12*Params!$D$13*Org!$B$10+AU65/1000*Params!$D$28*Params!$D$29*(Org!$B$10/Org!$B$11),0)</f>
        <v>0</v>
      </c>
      <c r="AV74" s="44">
        <f>AV$5*IF(AV$4&gt;=Teams!$E$80,Params!$D$23*Params!$D$24/60*(Org!$B$10/Org!$B$11)+Params!$D$27/12*Params!$D$13*Org!$B$10+AV65/1000*Params!$D$28*Params!$D$29*(Org!$B$10/Org!$B$11),0)</f>
        <v>0</v>
      </c>
      <c r="AW74" s="44">
        <f>AW$5*IF(AW$4&gt;=Teams!$E$80,Params!$D$23*Params!$D$24/60*(Org!$B$10/Org!$B$11)+Params!$D$27/12*Params!$D$13*Org!$B$10+AW65/1000*Params!$D$28*Params!$D$29*(Org!$B$10/Org!$B$11),0)</f>
        <v>0</v>
      </c>
      <c r="AX74" s="44">
        <f>AX$5*IF(AX$4&gt;=Teams!$E$80,Params!$D$23*Params!$D$24/60*(Org!$B$10/Org!$B$11)+Params!$D$27/12*Params!$D$13*Org!$B$10+AX65/1000*Params!$D$28*Params!$D$29*(Org!$B$10/Org!$B$11),0)</f>
        <v>0</v>
      </c>
      <c r="AY74" s="44">
        <f>AY$5*IF(AY$4&gt;=Teams!$E$80,Params!$D$23*Params!$D$24/60*(Org!$B$10/Org!$B$11)+Params!$D$27/12*Params!$D$13*Org!$B$10+AY65/1000*Params!$D$28*Params!$D$29*(Org!$B$10/Org!$B$11),0)</f>
        <v>0</v>
      </c>
      <c r="AZ74" s="44">
        <f>AZ$5*IF(AZ$4&gt;=Teams!$E$80,Params!$D$23*Params!$D$24/60*(Org!$B$10/Org!$B$11)+Params!$D$27/12*Params!$D$13*Org!$B$10+AZ65/1000*Params!$D$28*Params!$D$29*(Org!$B$10/Org!$B$11),0)</f>
        <v>0</v>
      </c>
      <c r="BA74" s="44">
        <f>BA$5*IF(BA$4&gt;=Teams!$E$80,Params!$D$23*Params!$D$24/60*(Org!$B$10/Org!$B$11)+Params!$D$27/12*Params!$D$13*Org!$B$10+BA65/1000*Params!$D$28*Params!$D$29*(Org!$B$10/Org!$B$11),0)</f>
        <v>0</v>
      </c>
      <c r="BB74" s="44">
        <f>BB$5*IF(BB$4&gt;=Teams!$E$80,Params!$D$23*Params!$D$24/60*(Org!$B$10/Org!$B$11)+Params!$D$27/12*Params!$D$13*Org!$B$10+BB65/1000*Params!$D$28*Params!$D$29*(Org!$B$10/Org!$B$11),0)</f>
        <v>0</v>
      </c>
      <c r="BC74" s="44">
        <f>BC$5*IF(BC$4&gt;=Teams!$E$80,Params!$D$23*Params!$D$24/60*(Org!$B$10/Org!$B$11)+Params!$D$27/12*Params!$D$13*Org!$B$10+BC65/1000*Params!$D$28*Params!$D$29*(Org!$B$10/Org!$B$11),0)</f>
        <v>0</v>
      </c>
      <c r="BD74" s="44">
        <f>BD$5*IF(BD$4&gt;=Teams!$E$80,Params!$D$23*Params!$D$24/60*(Org!$B$10/Org!$B$11)+Params!$D$27/12*Params!$D$13*Org!$B$10+BD65/1000*Params!$D$28*Params!$D$29*(Org!$B$10/Org!$B$11),0)</f>
        <v>0</v>
      </c>
      <c r="BE74" s="44">
        <f>BE$5*IF(BE$4&gt;=Teams!$E$80,Params!$D$23*Params!$D$24/60*(Org!$B$10/Org!$B$11)+Params!$D$27/12*Params!$D$13*Org!$B$10+BE65/1000*Params!$D$28*Params!$D$29*(Org!$B$10/Org!$B$11),0)</f>
        <v>0</v>
      </c>
      <c r="BF74" s="44">
        <f>BF$5*IF(BF$4&gt;=Teams!$E$80,Params!$D$23*Params!$D$24/60*(Org!$B$10/Org!$B$11)+Params!$D$27/12*Params!$D$13*Org!$B$10+BF65/1000*Params!$D$28*Params!$D$29*(Org!$B$10/Org!$B$11),0)</f>
        <v>0</v>
      </c>
      <c r="BG74" s="44">
        <f>BG$5*IF(BG$4&gt;=Teams!$E$80,Params!$D$23*Params!$D$24/60*(Org!$B$10/Org!$B$11)+Params!$D$27/12*Params!$D$13*Org!$B$10+BG65/1000*Params!$D$28*Params!$D$29*(Org!$B$10/Org!$B$11),0)</f>
        <v>0</v>
      </c>
      <c r="BH74" s="44">
        <f>BH$5*IF(BH$4&gt;=Teams!$E$80,Params!$D$23*Params!$D$24/60*(Org!$B$10/Org!$B$11)+Params!$D$27/12*Params!$D$13*Org!$B$10+BH65/1000*Params!$D$28*Params!$D$29*(Org!$B$10/Org!$B$11),0)</f>
        <v>0</v>
      </c>
      <c r="BI74" s="44">
        <f>BI$5*IF(BI$4&gt;=Teams!$E$80,Params!$D$23*Params!$D$24/60*(Org!$B$10/Org!$B$11)+Params!$D$27/12*Params!$D$13*Org!$B$10+BI65/1000*Params!$D$28*Params!$D$29*(Org!$B$10/Org!$B$11),0)</f>
        <v>0</v>
      </c>
      <c r="BJ74" s="44">
        <f>BJ$5*IF(BJ$4&gt;=Teams!$E$80,Params!$D$23*Params!$D$24/60*(Org!$B$10/Org!$B$11)+Params!$D$27/12*Params!$D$13*Org!$B$10+BJ65/1000*Params!$D$28*Params!$D$29*(Org!$B$10/Org!$B$11),0)</f>
        <v>0</v>
      </c>
      <c r="BK74" s="44">
        <f>BK$5*IF(BK$4&gt;=Teams!$E$80,Params!$D$23*Params!$D$24/60*(Org!$B$10/Org!$B$11)+Params!$D$27/12*Params!$D$13*Org!$B$10+BK65/1000*Params!$D$28*Params!$D$29*(Org!$B$10/Org!$B$11),0)</f>
        <v>0</v>
      </c>
      <c r="BL74" s="44">
        <f>BL$5*IF(BL$4&gt;=Teams!$E$80,Params!$D$23*Params!$D$24/60*(Org!$B$10/Org!$B$11)+Params!$D$27/12*Params!$D$13*Org!$B$10+BL65/1000*Params!$D$28*Params!$D$29*(Org!$B$10/Org!$B$11),0)</f>
        <v>0</v>
      </c>
    </row>
    <row r="75" spans="1:64" x14ac:dyDescent="0.3">
      <c r="A75" s="8" t="s">
        <v>673</v>
      </c>
      <c r="B75" s="18" t="s">
        <v>604</v>
      </c>
      <c r="C75" s="44">
        <f t="shared" si="20"/>
        <v>1760.0000000000002</v>
      </c>
      <c r="E75" s="44">
        <f>E$5*IF(AND(E$4&gt;Teams!$E$80,MOD(E$4-Teams!$E$80,MAX(1,ROUND(Params!$D$25,0)))=0),(Params!$D$26+Params!$D$17*Params!$D$16)*Org!$B$10,0)</f>
        <v>0</v>
      </c>
      <c r="F75" s="44">
        <f>F$5*IF(AND(F$4&gt;Teams!$E$80,MOD(F$4-Teams!$E$80,MAX(1,ROUND(Params!$D$25,0)))=0),(Params!$D$26+Params!$D$17*Params!$D$16)*Org!$B$10,0)</f>
        <v>0</v>
      </c>
      <c r="G75" s="44">
        <f>G$5*IF(AND(G$4&gt;Teams!$E$80,MOD(G$4-Teams!$E$80,MAX(1,ROUND(Params!$D$25,0)))=0),(Params!$D$26+Params!$D$17*Params!$D$16)*Org!$B$10,0)</f>
        <v>0</v>
      </c>
      <c r="H75" s="44">
        <f>H$5*IF(AND(H$4&gt;Teams!$E$80,MOD(H$4-Teams!$E$80,MAX(1,ROUND(Params!$D$25,0)))=0),(Params!$D$26+Params!$D$17*Params!$D$16)*Org!$B$10,0)</f>
        <v>0</v>
      </c>
      <c r="I75" s="44">
        <f>I$5*IF(AND(I$4&gt;Teams!$E$80,MOD(I$4-Teams!$E$80,MAX(1,ROUND(Params!$D$25,0)))=0),(Params!$D$26+Params!$D$17*Params!$D$16)*Org!$B$10,0)</f>
        <v>0</v>
      </c>
      <c r="J75" s="44">
        <f>J$5*IF(AND(J$4&gt;Teams!$E$80,MOD(J$4-Teams!$E$80,MAX(1,ROUND(Params!$D$25,0)))=0),(Params!$D$26+Params!$D$17*Params!$D$16)*Org!$B$10,0)</f>
        <v>0</v>
      </c>
      <c r="K75" s="44">
        <f>K$5*IF(AND(K$4&gt;Teams!$E$80,MOD(K$4-Teams!$E$80,MAX(1,ROUND(Params!$D$25,0)))=0),(Params!$D$26+Params!$D$17*Params!$D$16)*Org!$B$10,0)</f>
        <v>0</v>
      </c>
      <c r="L75" s="44">
        <f>L$5*IF(AND(L$4&gt;Teams!$E$80,MOD(L$4-Teams!$E$80,MAX(1,ROUND(Params!$D$25,0)))=0),(Params!$D$26+Params!$D$17*Params!$D$16)*Org!$B$10,0)</f>
        <v>0</v>
      </c>
      <c r="M75" s="44">
        <f>M$5*IF(AND(M$4&gt;Teams!$E$80,MOD(M$4-Teams!$E$80,MAX(1,ROUND(Params!$D$25,0)))=0),(Params!$D$26+Params!$D$17*Params!$D$16)*Org!$B$10,0)</f>
        <v>0</v>
      </c>
      <c r="N75" s="44">
        <f>N$5*IF(AND(N$4&gt;Teams!$E$80,MOD(N$4-Teams!$E$80,MAX(1,ROUND(Params!$D$25,0)))=0),(Params!$D$26+Params!$D$17*Params!$D$16)*Org!$B$10,0)</f>
        <v>0</v>
      </c>
      <c r="O75" s="44">
        <f>O$5*IF(AND(O$4&gt;Teams!$E$80,MOD(O$4-Teams!$E$80,MAX(1,ROUND(Params!$D$25,0)))=0),(Params!$D$26+Params!$D$17*Params!$D$16)*Org!$B$10,0)</f>
        <v>0</v>
      </c>
      <c r="P75" s="44">
        <f>P$5*IF(AND(P$4&gt;Teams!$E$80,MOD(P$4-Teams!$E$80,MAX(1,ROUND(Params!$D$25,0)))=0),(Params!$D$26+Params!$D$17*Params!$D$16)*Org!$B$10,0)</f>
        <v>0</v>
      </c>
      <c r="Q75" s="44">
        <f>Q$5*IF(AND(Q$4&gt;Teams!$E$80,MOD(Q$4-Teams!$E$80,MAX(1,ROUND(Params!$D$25,0)))=0),(Params!$D$26+Params!$D$17*Params!$D$16)*Org!$B$10,0)</f>
        <v>0</v>
      </c>
      <c r="R75" s="44">
        <f>R$5*IF(AND(R$4&gt;Teams!$E$80,MOD(R$4-Teams!$E$80,MAX(1,ROUND(Params!$D$25,0)))=0),(Params!$D$26+Params!$D$17*Params!$D$16)*Org!$B$10,0)</f>
        <v>0</v>
      </c>
      <c r="S75" s="44">
        <f>S$5*IF(AND(S$4&gt;Teams!$E$80,MOD(S$4-Teams!$E$80,MAX(1,ROUND(Params!$D$25,0)))=0),(Params!$D$26+Params!$D$17*Params!$D$16)*Org!$B$10,0)</f>
        <v>0</v>
      </c>
      <c r="T75" s="44">
        <f>T$5*IF(AND(T$4&gt;Teams!$E$80,MOD(T$4-Teams!$E$80,MAX(1,ROUND(Params!$D$25,0)))=0),(Params!$D$26+Params!$D$17*Params!$D$16)*Org!$B$10,0)</f>
        <v>0</v>
      </c>
      <c r="U75" s="44">
        <f>U$5*IF(AND(U$4&gt;Teams!$E$80,MOD(U$4-Teams!$E$80,MAX(1,ROUND(Params!$D$25,0)))=0),(Params!$D$26+Params!$D$17*Params!$D$16)*Org!$B$10,0)</f>
        <v>0</v>
      </c>
      <c r="V75" s="44">
        <f>V$5*IF(AND(V$4&gt;Teams!$E$80,MOD(V$4-Teams!$E$80,MAX(1,ROUND(Params!$D$25,0)))=0),(Params!$D$26+Params!$D$17*Params!$D$16)*Org!$B$10,0)</f>
        <v>0</v>
      </c>
      <c r="W75" s="44">
        <f>W$5*IF(AND(W$4&gt;Teams!$E$80,MOD(W$4-Teams!$E$80,MAX(1,ROUND(Params!$D$25,0)))=0),(Params!$D$26+Params!$D$17*Params!$D$16)*Org!$B$10,0)</f>
        <v>0</v>
      </c>
      <c r="X75" s="44">
        <f>X$5*IF(AND(X$4&gt;Teams!$E$80,MOD(X$4-Teams!$E$80,MAX(1,ROUND(Params!$D$25,0)))=0),(Params!$D$26+Params!$D$17*Params!$D$16)*Org!$B$10,0)</f>
        <v>0</v>
      </c>
      <c r="Y75" s="44">
        <f>Y$5*IF(AND(Y$4&gt;Teams!$E$80,MOD(Y$4-Teams!$E$80,MAX(1,ROUND(Params!$D$25,0)))=0),(Params!$D$26+Params!$D$17*Params!$D$16)*Org!$B$10,0)</f>
        <v>0</v>
      </c>
      <c r="Z75" s="44">
        <f>Z$5*IF(AND(Z$4&gt;Teams!$E$80,MOD(Z$4-Teams!$E$80,MAX(1,ROUND(Params!$D$25,0)))=0),(Params!$D$26+Params!$D$17*Params!$D$16)*Org!$B$10,0)</f>
        <v>0</v>
      </c>
      <c r="AA75" s="44">
        <f>AA$5*IF(AND(AA$4&gt;Teams!$E$80,MOD(AA$4-Teams!$E$80,MAX(1,ROUND(Params!$D$25,0)))=0),(Params!$D$26+Params!$D$17*Params!$D$16)*Org!$B$10,0)</f>
        <v>0</v>
      </c>
      <c r="AB75" s="44">
        <f>AB$5*IF(AND(AB$4&gt;Teams!$E$80,MOD(AB$4-Teams!$E$80,MAX(1,ROUND(Params!$D$25,0)))=0),(Params!$D$26+Params!$D$17*Params!$D$16)*Org!$B$10,0)</f>
        <v>0</v>
      </c>
      <c r="AC75" s="44">
        <f>AC$5*IF(AND(AC$4&gt;Teams!$E$80,MOD(AC$4-Teams!$E$80,MAX(1,ROUND(Params!$D$25,0)))=0),(Params!$D$26+Params!$D$17*Params!$D$16)*Org!$B$10,0)</f>
        <v>0</v>
      </c>
      <c r="AD75" s="44">
        <f>AD$5*IF(AND(AD$4&gt;Teams!$E$80,MOD(AD$4-Teams!$E$80,MAX(1,ROUND(Params!$D$25,0)))=0),(Params!$D$26+Params!$D$17*Params!$D$16)*Org!$B$10,0)</f>
        <v>0</v>
      </c>
      <c r="AE75" s="44">
        <f>AE$5*IF(AND(AE$4&gt;Teams!$E$80,MOD(AE$4-Teams!$E$80,MAX(1,ROUND(Params!$D$25,0)))=0),(Params!$D$26+Params!$D$17*Params!$D$16)*Org!$B$10,0)</f>
        <v>1760.0000000000002</v>
      </c>
      <c r="AF75" s="44">
        <f>AF$5*IF(AND(AF$4&gt;Teams!$E$80,MOD(AF$4-Teams!$E$80,MAX(1,ROUND(Params!$D$25,0)))=0),(Params!$D$26+Params!$D$17*Params!$D$16)*Org!$B$10,0)</f>
        <v>0</v>
      </c>
      <c r="AG75" s="44">
        <f>AG$5*IF(AND(AG$4&gt;Teams!$E$80,MOD(AG$4-Teams!$E$80,MAX(1,ROUND(Params!$D$25,0)))=0),(Params!$D$26+Params!$D$17*Params!$D$16)*Org!$B$10,0)</f>
        <v>0</v>
      </c>
      <c r="AH75" s="44">
        <f>AH$5*IF(AND(AH$4&gt;Teams!$E$80,MOD(AH$4-Teams!$E$80,MAX(1,ROUND(Params!$D$25,0)))=0),(Params!$D$26+Params!$D$17*Params!$D$16)*Org!$B$10,0)</f>
        <v>0</v>
      </c>
      <c r="AI75" s="44">
        <f>AI$5*IF(AND(AI$4&gt;Teams!$E$80,MOD(AI$4-Teams!$E$80,MAX(1,ROUND(Params!$D$25,0)))=0),(Params!$D$26+Params!$D$17*Params!$D$16)*Org!$B$10,0)</f>
        <v>0</v>
      </c>
      <c r="AJ75" s="44">
        <f>AJ$5*IF(AND(AJ$4&gt;Teams!$E$80,MOD(AJ$4-Teams!$E$80,MAX(1,ROUND(Params!$D$25,0)))=0),(Params!$D$26+Params!$D$17*Params!$D$16)*Org!$B$10,0)</f>
        <v>0</v>
      </c>
      <c r="AK75" s="44">
        <f>AK$5*IF(AND(AK$4&gt;Teams!$E$80,MOD(AK$4-Teams!$E$80,MAX(1,ROUND(Params!$D$25,0)))=0),(Params!$D$26+Params!$D$17*Params!$D$16)*Org!$B$10,0)</f>
        <v>0</v>
      </c>
      <c r="AL75" s="44">
        <f>AL$5*IF(AND(AL$4&gt;Teams!$E$80,MOD(AL$4-Teams!$E$80,MAX(1,ROUND(Params!$D$25,0)))=0),(Params!$D$26+Params!$D$17*Params!$D$16)*Org!$B$10,0)</f>
        <v>0</v>
      </c>
      <c r="AM75" s="44">
        <f>AM$5*IF(AND(AM$4&gt;Teams!$E$80,MOD(AM$4-Teams!$E$80,MAX(1,ROUND(Params!$D$25,0)))=0),(Params!$D$26+Params!$D$17*Params!$D$16)*Org!$B$10,0)</f>
        <v>0</v>
      </c>
      <c r="AN75" s="44">
        <f>AN$5*IF(AND(AN$4&gt;Teams!$E$80,MOD(AN$4-Teams!$E$80,MAX(1,ROUND(Params!$D$25,0)))=0),(Params!$D$26+Params!$D$17*Params!$D$16)*Org!$B$10,0)</f>
        <v>0</v>
      </c>
      <c r="AO75" s="44">
        <f>AO$5*IF(AND(AO$4&gt;Teams!$E$80,MOD(AO$4-Teams!$E$80,MAX(1,ROUND(Params!$D$25,0)))=0),(Params!$D$26+Params!$D$17*Params!$D$16)*Org!$B$10,0)</f>
        <v>0</v>
      </c>
      <c r="AP75" s="44">
        <f>AP$5*IF(AND(AP$4&gt;Teams!$E$80,MOD(AP$4-Teams!$E$80,MAX(1,ROUND(Params!$D$25,0)))=0),(Params!$D$26+Params!$D$17*Params!$D$16)*Org!$B$10,0)</f>
        <v>0</v>
      </c>
      <c r="AQ75" s="44">
        <f>AQ$5*IF(AND(AQ$4&gt;Teams!$E$80,MOD(AQ$4-Teams!$E$80,MAX(1,ROUND(Params!$D$25,0)))=0),(Params!$D$26+Params!$D$17*Params!$D$16)*Org!$B$10,0)</f>
        <v>0</v>
      </c>
      <c r="AR75" s="44">
        <f>AR$5*IF(AND(AR$4&gt;Teams!$E$80,MOD(AR$4-Teams!$E$80,MAX(1,ROUND(Params!$D$25,0)))=0),(Params!$D$26+Params!$D$17*Params!$D$16)*Org!$B$10,0)</f>
        <v>0</v>
      </c>
      <c r="AS75" s="44">
        <f>AS$5*IF(AND(AS$4&gt;Teams!$E$80,MOD(AS$4-Teams!$E$80,MAX(1,ROUND(Params!$D$25,0)))=0),(Params!$D$26+Params!$D$17*Params!$D$16)*Org!$B$10,0)</f>
        <v>0</v>
      </c>
      <c r="AT75" s="44">
        <f>AT$5*IF(AND(AT$4&gt;Teams!$E$80,MOD(AT$4-Teams!$E$80,MAX(1,ROUND(Params!$D$25,0)))=0),(Params!$D$26+Params!$D$17*Params!$D$16)*Org!$B$10,0)</f>
        <v>0</v>
      </c>
      <c r="AU75" s="44">
        <f>AU$5*IF(AND(AU$4&gt;Teams!$E$80,MOD(AU$4-Teams!$E$80,MAX(1,ROUND(Params!$D$25,0)))=0),(Params!$D$26+Params!$D$17*Params!$D$16)*Org!$B$10,0)</f>
        <v>0</v>
      </c>
      <c r="AV75" s="44">
        <f>AV$5*IF(AND(AV$4&gt;Teams!$E$80,MOD(AV$4-Teams!$E$80,MAX(1,ROUND(Params!$D$25,0)))=0),(Params!$D$26+Params!$D$17*Params!$D$16)*Org!$B$10,0)</f>
        <v>0</v>
      </c>
      <c r="AW75" s="44">
        <f>AW$5*IF(AND(AW$4&gt;Teams!$E$80,MOD(AW$4-Teams!$E$80,MAX(1,ROUND(Params!$D$25,0)))=0),(Params!$D$26+Params!$D$17*Params!$D$16)*Org!$B$10,0)</f>
        <v>0</v>
      </c>
      <c r="AX75" s="44">
        <f>AX$5*IF(AND(AX$4&gt;Teams!$E$80,MOD(AX$4-Teams!$E$80,MAX(1,ROUND(Params!$D$25,0)))=0),(Params!$D$26+Params!$D$17*Params!$D$16)*Org!$B$10,0)</f>
        <v>0</v>
      </c>
      <c r="AY75" s="44">
        <f>AY$5*IF(AND(AY$4&gt;Teams!$E$80,MOD(AY$4-Teams!$E$80,MAX(1,ROUND(Params!$D$25,0)))=0),(Params!$D$26+Params!$D$17*Params!$D$16)*Org!$B$10,0)</f>
        <v>0</v>
      </c>
      <c r="AZ75" s="44">
        <f>AZ$5*IF(AND(AZ$4&gt;Teams!$E$80,MOD(AZ$4-Teams!$E$80,MAX(1,ROUND(Params!$D$25,0)))=0),(Params!$D$26+Params!$D$17*Params!$D$16)*Org!$B$10,0)</f>
        <v>0</v>
      </c>
      <c r="BA75" s="44">
        <f>BA$5*IF(AND(BA$4&gt;Teams!$E$80,MOD(BA$4-Teams!$E$80,MAX(1,ROUND(Params!$D$25,0)))=0),(Params!$D$26+Params!$D$17*Params!$D$16)*Org!$B$10,0)</f>
        <v>0</v>
      </c>
      <c r="BB75" s="44">
        <f>BB$5*IF(AND(BB$4&gt;Teams!$E$80,MOD(BB$4-Teams!$E$80,MAX(1,ROUND(Params!$D$25,0)))=0),(Params!$D$26+Params!$D$17*Params!$D$16)*Org!$B$10,0)</f>
        <v>0</v>
      </c>
      <c r="BC75" s="44">
        <f>BC$5*IF(AND(BC$4&gt;Teams!$E$80,MOD(BC$4-Teams!$E$80,MAX(1,ROUND(Params!$D$25,0)))=0),(Params!$D$26+Params!$D$17*Params!$D$16)*Org!$B$10,0)</f>
        <v>0</v>
      </c>
      <c r="BD75" s="44">
        <f>BD$5*IF(AND(BD$4&gt;Teams!$E$80,MOD(BD$4-Teams!$E$80,MAX(1,ROUND(Params!$D$25,0)))=0),(Params!$D$26+Params!$D$17*Params!$D$16)*Org!$B$10,0)</f>
        <v>0</v>
      </c>
      <c r="BE75" s="44">
        <f>BE$5*IF(AND(BE$4&gt;Teams!$E$80,MOD(BE$4-Teams!$E$80,MAX(1,ROUND(Params!$D$25,0)))=0),(Params!$D$26+Params!$D$17*Params!$D$16)*Org!$B$10,0)</f>
        <v>0</v>
      </c>
      <c r="BF75" s="44">
        <f>BF$5*IF(AND(BF$4&gt;Teams!$E$80,MOD(BF$4-Teams!$E$80,MAX(1,ROUND(Params!$D$25,0)))=0),(Params!$D$26+Params!$D$17*Params!$D$16)*Org!$B$10,0)</f>
        <v>0</v>
      </c>
      <c r="BG75" s="44">
        <f>BG$5*IF(AND(BG$4&gt;Teams!$E$80,MOD(BG$4-Teams!$E$80,MAX(1,ROUND(Params!$D$25,0)))=0),(Params!$D$26+Params!$D$17*Params!$D$16)*Org!$B$10,0)</f>
        <v>0</v>
      </c>
      <c r="BH75" s="44">
        <f>BH$5*IF(AND(BH$4&gt;Teams!$E$80,MOD(BH$4-Teams!$E$80,MAX(1,ROUND(Params!$D$25,0)))=0),(Params!$D$26+Params!$D$17*Params!$D$16)*Org!$B$10,0)</f>
        <v>0</v>
      </c>
      <c r="BI75" s="44">
        <f>BI$5*IF(AND(BI$4&gt;Teams!$E$80,MOD(BI$4-Teams!$E$80,MAX(1,ROUND(Params!$D$25,0)))=0),(Params!$D$26+Params!$D$17*Params!$D$16)*Org!$B$10,0)</f>
        <v>0</v>
      </c>
      <c r="BJ75" s="44">
        <f>BJ$5*IF(AND(BJ$4&gt;Teams!$E$80,MOD(BJ$4-Teams!$E$80,MAX(1,ROUND(Params!$D$25,0)))=0),(Params!$D$26+Params!$D$17*Params!$D$16)*Org!$B$10,0)</f>
        <v>0</v>
      </c>
      <c r="BK75" s="44">
        <f>BK$5*IF(AND(BK$4&gt;Teams!$E$80,MOD(BK$4-Teams!$E$80,MAX(1,ROUND(Params!$D$25,0)))=0),(Params!$D$26+Params!$D$17*Params!$D$16)*Org!$B$10,0)</f>
        <v>0</v>
      </c>
      <c r="BL75" s="44">
        <f>BL$5*IF(AND(BL$4&gt;Teams!$E$80,MOD(BL$4-Teams!$E$80,MAX(1,ROUND(Params!$D$25,0)))=0),(Params!$D$26+Params!$D$17*Params!$D$16)*Org!$B$10,0)</f>
        <v>0</v>
      </c>
    </row>
    <row r="76" spans="1:64" x14ac:dyDescent="0.3">
      <c r="A76" s="8" t="s">
        <v>674</v>
      </c>
      <c r="B76" s="18" t="s">
        <v>604</v>
      </c>
      <c r="C76" s="44">
        <f t="shared" si="20"/>
        <v>101595</v>
      </c>
      <c r="E76" s="44">
        <f>E$5*E66*MIN(1,Teams!$E$41*Params!$D$35)*Params!$D$36/60*Teams!$E$42</f>
        <v>0</v>
      </c>
      <c r="F76" s="44">
        <f>F$5*F66*MIN(1,Teams!$E$41*Params!$D$35)*Params!$D$36/60*Teams!$E$42</f>
        <v>231.55555555555551</v>
      </c>
      <c r="G76" s="44">
        <f>G$5*G66*MIN(1,Teams!$E$41*Params!$D$35)*Params!$D$36/60*Teams!$E$42</f>
        <v>810.44444444444457</v>
      </c>
      <c r="H76" s="44">
        <f>H$5*H66*MIN(1,Teams!$E$41*Params!$D$35)*Params!$D$36/60*Teams!$E$42</f>
        <v>1563.0000000000002</v>
      </c>
      <c r="I76" s="44">
        <f>I$5*I66*MIN(1,Teams!$E$41*Params!$D$35)*Params!$D$36/60*Teams!$E$42</f>
        <v>2315.5555555555557</v>
      </c>
      <c r="J76" s="44">
        <f>J$5*J66*MIN(1,Teams!$E$41*Params!$D$35)*Params!$D$36/60*Teams!$E$42</f>
        <v>2894.4444444444448</v>
      </c>
      <c r="K76" s="44">
        <f>K$5*K66*MIN(1,Teams!$E$41*Params!$D$35)*Params!$D$36/60*Teams!$E$42</f>
        <v>3126.0000000000005</v>
      </c>
      <c r="L76" s="44">
        <f>L$5*L66*MIN(1,Teams!$E$41*Params!$D$35)*Params!$D$36/60*Teams!$E$42</f>
        <v>3126.0000000000005</v>
      </c>
      <c r="M76" s="44">
        <f>M$5*M66*MIN(1,Teams!$E$41*Params!$D$35)*Params!$D$36/60*Teams!$E$42</f>
        <v>3126.0000000000005</v>
      </c>
      <c r="N76" s="44">
        <f>N$5*N66*MIN(1,Teams!$E$41*Params!$D$35)*Params!$D$36/60*Teams!$E$42</f>
        <v>3126.0000000000005</v>
      </c>
      <c r="O76" s="44">
        <f>O$5*O66*MIN(1,Teams!$E$41*Params!$D$35)*Params!$D$36/60*Teams!$E$42</f>
        <v>3126.0000000000005</v>
      </c>
      <c r="P76" s="44">
        <f>P$5*P66*MIN(1,Teams!$E$41*Params!$D$35)*Params!$D$36/60*Teams!$E$42</f>
        <v>3126.0000000000005</v>
      </c>
      <c r="Q76" s="44">
        <f>Q$5*Q66*MIN(1,Teams!$E$41*Params!$D$35)*Params!$D$36/60*Teams!$E$42</f>
        <v>3126.0000000000005</v>
      </c>
      <c r="R76" s="44">
        <f>R$5*R66*MIN(1,Teams!$E$41*Params!$D$35)*Params!$D$36/60*Teams!$E$42</f>
        <v>3126.0000000000005</v>
      </c>
      <c r="S76" s="44">
        <f>S$5*S66*MIN(1,Teams!$E$41*Params!$D$35)*Params!$D$36/60*Teams!$E$42</f>
        <v>3126.0000000000005</v>
      </c>
      <c r="T76" s="44">
        <f>T$5*T66*MIN(1,Teams!$E$41*Params!$D$35)*Params!$D$36/60*Teams!$E$42</f>
        <v>3126.0000000000005</v>
      </c>
      <c r="U76" s="44">
        <f>U$5*U66*MIN(1,Teams!$E$41*Params!$D$35)*Params!$D$36/60*Teams!$E$42</f>
        <v>3126.0000000000005</v>
      </c>
      <c r="V76" s="44">
        <f>V$5*V66*MIN(1,Teams!$E$41*Params!$D$35)*Params!$D$36/60*Teams!$E$42</f>
        <v>3126.0000000000005</v>
      </c>
      <c r="W76" s="44">
        <f>W$5*W66*MIN(1,Teams!$E$41*Params!$D$35)*Params!$D$36/60*Teams!$E$42</f>
        <v>3126.0000000000005</v>
      </c>
      <c r="X76" s="44">
        <f>X$5*X66*MIN(1,Teams!$E$41*Params!$D$35)*Params!$D$36/60*Teams!$E$42</f>
        <v>3126.0000000000005</v>
      </c>
      <c r="Y76" s="44">
        <f>Y$5*Y66*MIN(1,Teams!$E$41*Params!$D$35)*Params!$D$36/60*Teams!$E$42</f>
        <v>3126.0000000000005</v>
      </c>
      <c r="Z76" s="44">
        <f>Z$5*Z66*MIN(1,Teams!$E$41*Params!$D$35)*Params!$D$36/60*Teams!$E$42</f>
        <v>3126.0000000000005</v>
      </c>
      <c r="AA76" s="44">
        <f>AA$5*AA66*MIN(1,Teams!$E$41*Params!$D$35)*Params!$D$36/60*Teams!$E$42</f>
        <v>3126.0000000000005</v>
      </c>
      <c r="AB76" s="44">
        <f>AB$5*AB66*MIN(1,Teams!$E$41*Params!$D$35)*Params!$D$36/60*Teams!$E$42</f>
        <v>3126.0000000000005</v>
      </c>
      <c r="AC76" s="44">
        <f>AC$5*AC66*MIN(1,Teams!$E$41*Params!$D$35)*Params!$D$36/60*Teams!$E$42</f>
        <v>3126.0000000000005</v>
      </c>
      <c r="AD76" s="44">
        <f>AD$5*AD66*MIN(1,Teams!$E$41*Params!$D$35)*Params!$D$36/60*Teams!$E$42</f>
        <v>3126.0000000000005</v>
      </c>
      <c r="AE76" s="44">
        <f>AE$5*AE66*MIN(1,Teams!$E$41*Params!$D$35)*Params!$D$36/60*Teams!$E$42</f>
        <v>3126.0000000000005</v>
      </c>
      <c r="AF76" s="44">
        <f>AF$5*AF66*MIN(1,Teams!$E$41*Params!$D$35)*Params!$D$36/60*Teams!$E$42</f>
        <v>3126.0000000000005</v>
      </c>
      <c r="AG76" s="44">
        <f>AG$5*AG66*MIN(1,Teams!$E$41*Params!$D$35)*Params!$D$36/60*Teams!$E$42</f>
        <v>3126.0000000000005</v>
      </c>
      <c r="AH76" s="44">
        <f>AH$5*AH66*MIN(1,Teams!$E$41*Params!$D$35)*Params!$D$36/60*Teams!$E$42</f>
        <v>3126.0000000000005</v>
      </c>
      <c r="AI76" s="44">
        <f>AI$5*AI66*MIN(1,Teams!$E$41*Params!$D$35)*Params!$D$36/60*Teams!$E$42</f>
        <v>3126.0000000000005</v>
      </c>
      <c r="AJ76" s="44">
        <f>AJ$5*AJ66*MIN(1,Teams!$E$41*Params!$D$35)*Params!$D$36/60*Teams!$E$42</f>
        <v>3126.0000000000005</v>
      </c>
      <c r="AK76" s="44">
        <f>AK$5*AK66*MIN(1,Teams!$E$41*Params!$D$35)*Params!$D$36/60*Teams!$E$42</f>
        <v>3126.0000000000005</v>
      </c>
      <c r="AL76" s="44">
        <f>AL$5*AL66*MIN(1,Teams!$E$41*Params!$D$35)*Params!$D$36/60*Teams!$E$42</f>
        <v>3126.0000000000005</v>
      </c>
      <c r="AM76" s="44">
        <f>AM$5*AM66*MIN(1,Teams!$E$41*Params!$D$35)*Params!$D$36/60*Teams!$E$42</f>
        <v>3126.0000000000005</v>
      </c>
      <c r="AN76" s="44">
        <f>AN$5*AN66*MIN(1,Teams!$E$41*Params!$D$35)*Params!$D$36/60*Teams!$E$42</f>
        <v>3126.0000000000005</v>
      </c>
      <c r="AO76" s="44">
        <f>AO$5*AO66*MIN(1,Teams!$E$41*Params!$D$35)*Params!$D$36/60*Teams!$E$42</f>
        <v>0</v>
      </c>
      <c r="AP76" s="44">
        <f>AP$5*AP66*MIN(1,Teams!$E$41*Params!$D$35)*Params!$D$36/60*Teams!$E$42</f>
        <v>0</v>
      </c>
      <c r="AQ76" s="44">
        <f>AQ$5*AQ66*MIN(1,Teams!$E$41*Params!$D$35)*Params!$D$36/60*Teams!$E$42</f>
        <v>0</v>
      </c>
      <c r="AR76" s="44">
        <f>AR$5*AR66*MIN(1,Teams!$E$41*Params!$D$35)*Params!$D$36/60*Teams!$E$42</f>
        <v>0</v>
      </c>
      <c r="AS76" s="44">
        <f>AS$5*AS66*MIN(1,Teams!$E$41*Params!$D$35)*Params!$D$36/60*Teams!$E$42</f>
        <v>0</v>
      </c>
      <c r="AT76" s="44">
        <f>AT$5*AT66*MIN(1,Teams!$E$41*Params!$D$35)*Params!$D$36/60*Teams!$E$42</f>
        <v>0</v>
      </c>
      <c r="AU76" s="44">
        <f>AU$5*AU66*MIN(1,Teams!$E$41*Params!$D$35)*Params!$D$36/60*Teams!$E$42</f>
        <v>0</v>
      </c>
      <c r="AV76" s="44">
        <f>AV$5*AV66*MIN(1,Teams!$E$41*Params!$D$35)*Params!$D$36/60*Teams!$E$42</f>
        <v>0</v>
      </c>
      <c r="AW76" s="44">
        <f>AW$5*AW66*MIN(1,Teams!$E$41*Params!$D$35)*Params!$D$36/60*Teams!$E$42</f>
        <v>0</v>
      </c>
      <c r="AX76" s="44">
        <f>AX$5*AX66*MIN(1,Teams!$E$41*Params!$D$35)*Params!$D$36/60*Teams!$E$42</f>
        <v>0</v>
      </c>
      <c r="AY76" s="44">
        <f>AY$5*AY66*MIN(1,Teams!$E$41*Params!$D$35)*Params!$D$36/60*Teams!$E$42</f>
        <v>0</v>
      </c>
      <c r="AZ76" s="44">
        <f>AZ$5*AZ66*MIN(1,Teams!$E$41*Params!$D$35)*Params!$D$36/60*Teams!$E$42</f>
        <v>0</v>
      </c>
      <c r="BA76" s="44">
        <f>BA$5*BA66*MIN(1,Teams!$E$41*Params!$D$35)*Params!$D$36/60*Teams!$E$42</f>
        <v>0</v>
      </c>
      <c r="BB76" s="44">
        <f>BB$5*BB66*MIN(1,Teams!$E$41*Params!$D$35)*Params!$D$36/60*Teams!$E$42</f>
        <v>0</v>
      </c>
      <c r="BC76" s="44">
        <f>BC$5*BC66*MIN(1,Teams!$E$41*Params!$D$35)*Params!$D$36/60*Teams!$E$42</f>
        <v>0</v>
      </c>
      <c r="BD76" s="44">
        <f>BD$5*BD66*MIN(1,Teams!$E$41*Params!$D$35)*Params!$D$36/60*Teams!$E$42</f>
        <v>0</v>
      </c>
      <c r="BE76" s="44">
        <f>BE$5*BE66*MIN(1,Teams!$E$41*Params!$D$35)*Params!$D$36/60*Teams!$E$42</f>
        <v>0</v>
      </c>
      <c r="BF76" s="44">
        <f>BF$5*BF66*MIN(1,Teams!$E$41*Params!$D$35)*Params!$D$36/60*Teams!$E$42</f>
        <v>0</v>
      </c>
      <c r="BG76" s="44">
        <f>BG$5*BG66*MIN(1,Teams!$E$41*Params!$D$35)*Params!$D$36/60*Teams!$E$42</f>
        <v>0</v>
      </c>
      <c r="BH76" s="44">
        <f>BH$5*BH66*MIN(1,Teams!$E$41*Params!$D$35)*Params!$D$36/60*Teams!$E$42</f>
        <v>0</v>
      </c>
      <c r="BI76" s="44">
        <f>BI$5*BI66*MIN(1,Teams!$E$41*Params!$D$35)*Params!$D$36/60*Teams!$E$42</f>
        <v>0</v>
      </c>
      <c r="BJ76" s="44">
        <f>BJ$5*BJ66*MIN(1,Teams!$E$41*Params!$D$35)*Params!$D$36/60*Teams!$E$42</f>
        <v>0</v>
      </c>
      <c r="BK76" s="44">
        <f>BK$5*BK66*MIN(1,Teams!$E$41*Params!$D$35)*Params!$D$36/60*Teams!$E$42</f>
        <v>0</v>
      </c>
      <c r="BL76" s="44">
        <f>BL$5*BL66*MIN(1,Teams!$E$41*Params!$D$35)*Params!$D$36/60*Teams!$E$42</f>
        <v>0</v>
      </c>
    </row>
    <row r="77" spans="1:64" x14ac:dyDescent="0.3">
      <c r="A77" s="8" t="s">
        <v>675</v>
      </c>
      <c r="B77" s="18" t="s">
        <v>169</v>
      </c>
      <c r="C77" s="44">
        <f t="shared" si="20"/>
        <v>2596</v>
      </c>
      <c r="E77" s="44">
        <f>E$5*IF(E$4&gt;=Teams!$E$80,E64/1000*IF(E$4-Teams!$E$80&lt;6,Params!$D$37,Params!$D$38)*Org!$B$10*Org!$B$12/12,0)</f>
        <v>0</v>
      </c>
      <c r="F77" s="44">
        <f>F$5*IF(F$4&gt;=Teams!$E$80,F64/1000*IF(F$4-Teams!$E$80&lt;6,Params!$D$37,Params!$D$38)*Org!$B$10*Org!$B$12/12,0)</f>
        <v>220</v>
      </c>
      <c r="G77" s="44">
        <f>G$5*IF(G$4&gt;=Teams!$E$80,G64/1000*IF(G$4-Teams!$E$80&lt;6,Params!$D$37,Params!$D$38)*Org!$B$10*Org!$B$12/12,0)</f>
        <v>220</v>
      </c>
      <c r="H77" s="44">
        <f>H$5*IF(H$4&gt;=Teams!$E$80,H64/1000*IF(H$4-Teams!$E$80&lt;6,Params!$D$37,Params!$D$38)*Org!$B$10*Org!$B$12/12,0)</f>
        <v>220</v>
      </c>
      <c r="I77" s="44">
        <f>I$5*IF(I$4&gt;=Teams!$E$80,I64/1000*IF(I$4-Teams!$E$80&lt;6,Params!$D$37,Params!$D$38)*Org!$B$10*Org!$B$12/12,0)</f>
        <v>220</v>
      </c>
      <c r="J77" s="44">
        <f>J$5*IF(J$4&gt;=Teams!$E$80,J64/1000*IF(J$4-Teams!$E$80&lt;6,Params!$D$37,Params!$D$38)*Org!$B$10*Org!$B$12/12,0)</f>
        <v>220</v>
      </c>
      <c r="K77" s="44">
        <f>K$5*IF(K$4&gt;=Teams!$E$80,K64/1000*IF(K$4-Teams!$E$80&lt;6,Params!$D$37,Params!$D$38)*Org!$B$10*Org!$B$12/12,0)</f>
        <v>220</v>
      </c>
      <c r="L77" s="44">
        <f>L$5*IF(L$4&gt;=Teams!$E$80,L64/1000*IF(L$4-Teams!$E$80&lt;6,Params!$D$37,Params!$D$38)*Org!$B$10*Org!$B$12/12,0)</f>
        <v>44</v>
      </c>
      <c r="M77" s="44">
        <f>M$5*IF(M$4&gt;=Teams!$E$80,M64/1000*IF(M$4-Teams!$E$80&lt;6,Params!$D$37,Params!$D$38)*Org!$B$10*Org!$B$12/12,0)</f>
        <v>44</v>
      </c>
      <c r="N77" s="44">
        <f>N$5*IF(N$4&gt;=Teams!$E$80,N64/1000*IF(N$4-Teams!$E$80&lt;6,Params!$D$37,Params!$D$38)*Org!$B$10*Org!$B$12/12,0)</f>
        <v>44</v>
      </c>
      <c r="O77" s="44">
        <f>O$5*IF(O$4&gt;=Teams!$E$80,O64/1000*IF(O$4-Teams!$E$80&lt;6,Params!$D$37,Params!$D$38)*Org!$B$10*Org!$B$12/12,0)</f>
        <v>44</v>
      </c>
      <c r="P77" s="44">
        <f>P$5*IF(P$4&gt;=Teams!$E$80,P64/1000*IF(P$4-Teams!$E$80&lt;6,Params!$D$37,Params!$D$38)*Org!$B$10*Org!$B$12/12,0)</f>
        <v>44</v>
      </c>
      <c r="Q77" s="44">
        <f>Q$5*IF(Q$4&gt;=Teams!$E$80,Q64/1000*IF(Q$4-Teams!$E$80&lt;6,Params!$D$37,Params!$D$38)*Org!$B$10*Org!$B$12/12,0)</f>
        <v>44</v>
      </c>
      <c r="R77" s="44">
        <f>R$5*IF(R$4&gt;=Teams!$E$80,R64/1000*IF(R$4-Teams!$E$80&lt;6,Params!$D$37,Params!$D$38)*Org!$B$10*Org!$B$12/12,0)</f>
        <v>44</v>
      </c>
      <c r="S77" s="44">
        <f>S$5*IF(S$4&gt;=Teams!$E$80,S64/1000*IF(S$4-Teams!$E$80&lt;6,Params!$D$37,Params!$D$38)*Org!$B$10*Org!$B$12/12,0)</f>
        <v>44</v>
      </c>
      <c r="T77" s="44">
        <f>T$5*IF(T$4&gt;=Teams!$E$80,T64/1000*IF(T$4-Teams!$E$80&lt;6,Params!$D$37,Params!$D$38)*Org!$B$10*Org!$B$12/12,0)</f>
        <v>44</v>
      </c>
      <c r="U77" s="44">
        <f>U$5*IF(U$4&gt;=Teams!$E$80,U64/1000*IF(U$4-Teams!$E$80&lt;6,Params!$D$37,Params!$D$38)*Org!$B$10*Org!$B$12/12,0)</f>
        <v>44</v>
      </c>
      <c r="V77" s="44">
        <f>V$5*IF(V$4&gt;=Teams!$E$80,V64/1000*IF(V$4-Teams!$E$80&lt;6,Params!$D$37,Params!$D$38)*Org!$B$10*Org!$B$12/12,0)</f>
        <v>44</v>
      </c>
      <c r="W77" s="44">
        <f>W$5*IF(W$4&gt;=Teams!$E$80,W64/1000*IF(W$4-Teams!$E$80&lt;6,Params!$D$37,Params!$D$38)*Org!$B$10*Org!$B$12/12,0)</f>
        <v>44</v>
      </c>
      <c r="X77" s="44">
        <f>X$5*IF(X$4&gt;=Teams!$E$80,X64/1000*IF(X$4-Teams!$E$80&lt;6,Params!$D$37,Params!$D$38)*Org!$B$10*Org!$B$12/12,0)</f>
        <v>44</v>
      </c>
      <c r="Y77" s="44">
        <f>Y$5*IF(Y$4&gt;=Teams!$E$80,Y64/1000*IF(Y$4-Teams!$E$80&lt;6,Params!$D$37,Params!$D$38)*Org!$B$10*Org!$B$12/12,0)</f>
        <v>44</v>
      </c>
      <c r="Z77" s="44">
        <f>Z$5*IF(Z$4&gt;=Teams!$E$80,Z64/1000*IF(Z$4-Teams!$E$80&lt;6,Params!$D$37,Params!$D$38)*Org!$B$10*Org!$B$12/12,0)</f>
        <v>44</v>
      </c>
      <c r="AA77" s="44">
        <f>AA$5*IF(AA$4&gt;=Teams!$E$80,AA64/1000*IF(AA$4-Teams!$E$80&lt;6,Params!$D$37,Params!$D$38)*Org!$B$10*Org!$B$12/12,0)</f>
        <v>44</v>
      </c>
      <c r="AB77" s="44">
        <f>AB$5*IF(AB$4&gt;=Teams!$E$80,AB64/1000*IF(AB$4-Teams!$E$80&lt;6,Params!$D$37,Params!$D$38)*Org!$B$10*Org!$B$12/12,0)</f>
        <v>44</v>
      </c>
      <c r="AC77" s="44">
        <f>AC$5*IF(AC$4&gt;=Teams!$E$80,AC64/1000*IF(AC$4-Teams!$E$80&lt;6,Params!$D$37,Params!$D$38)*Org!$B$10*Org!$B$12/12,0)</f>
        <v>44</v>
      </c>
      <c r="AD77" s="44">
        <f>AD$5*IF(AD$4&gt;=Teams!$E$80,AD64/1000*IF(AD$4-Teams!$E$80&lt;6,Params!$D$37,Params!$D$38)*Org!$B$10*Org!$B$12/12,0)</f>
        <v>44</v>
      </c>
      <c r="AE77" s="44">
        <f>AE$5*IF(AE$4&gt;=Teams!$E$80,AE64/1000*IF(AE$4-Teams!$E$80&lt;6,Params!$D$37,Params!$D$38)*Org!$B$10*Org!$B$12/12,0)</f>
        <v>44</v>
      </c>
      <c r="AF77" s="44">
        <f>AF$5*IF(AF$4&gt;=Teams!$E$80,AF64/1000*IF(AF$4-Teams!$E$80&lt;6,Params!$D$37,Params!$D$38)*Org!$B$10*Org!$B$12/12,0)</f>
        <v>44</v>
      </c>
      <c r="AG77" s="44">
        <f>AG$5*IF(AG$4&gt;=Teams!$E$80,AG64/1000*IF(AG$4-Teams!$E$80&lt;6,Params!$D$37,Params!$D$38)*Org!$B$10*Org!$B$12/12,0)</f>
        <v>44</v>
      </c>
      <c r="AH77" s="44">
        <f>AH$5*IF(AH$4&gt;=Teams!$E$80,AH64/1000*IF(AH$4-Teams!$E$80&lt;6,Params!$D$37,Params!$D$38)*Org!$B$10*Org!$B$12/12,0)</f>
        <v>44</v>
      </c>
      <c r="AI77" s="44">
        <f>AI$5*IF(AI$4&gt;=Teams!$E$80,AI64/1000*IF(AI$4-Teams!$E$80&lt;6,Params!$D$37,Params!$D$38)*Org!$B$10*Org!$B$12/12,0)</f>
        <v>44</v>
      </c>
      <c r="AJ77" s="44">
        <f>AJ$5*IF(AJ$4&gt;=Teams!$E$80,AJ64/1000*IF(AJ$4-Teams!$E$80&lt;6,Params!$D$37,Params!$D$38)*Org!$B$10*Org!$B$12/12,0)</f>
        <v>44</v>
      </c>
      <c r="AK77" s="44">
        <f>AK$5*IF(AK$4&gt;=Teams!$E$80,AK64/1000*IF(AK$4-Teams!$E$80&lt;6,Params!$D$37,Params!$D$38)*Org!$B$10*Org!$B$12/12,0)</f>
        <v>44</v>
      </c>
      <c r="AL77" s="44">
        <f>AL$5*IF(AL$4&gt;=Teams!$E$80,AL64/1000*IF(AL$4-Teams!$E$80&lt;6,Params!$D$37,Params!$D$38)*Org!$B$10*Org!$B$12/12,0)</f>
        <v>44</v>
      </c>
      <c r="AM77" s="44">
        <f>AM$5*IF(AM$4&gt;=Teams!$E$80,AM64/1000*IF(AM$4-Teams!$E$80&lt;6,Params!$D$37,Params!$D$38)*Org!$B$10*Org!$B$12/12,0)</f>
        <v>44</v>
      </c>
      <c r="AN77" s="44">
        <f>AN$5*IF(AN$4&gt;=Teams!$E$80,AN64/1000*IF(AN$4-Teams!$E$80&lt;6,Params!$D$37,Params!$D$38)*Org!$B$10*Org!$B$12/12,0)</f>
        <v>44</v>
      </c>
      <c r="AO77" s="44">
        <f>AO$5*IF(AO$4&gt;=Teams!$E$80,AO64/1000*IF(AO$4-Teams!$E$80&lt;6,Params!$D$37,Params!$D$38)*Org!$B$10*Org!$B$12/12,0)</f>
        <v>0</v>
      </c>
      <c r="AP77" s="44">
        <f>AP$5*IF(AP$4&gt;=Teams!$E$80,AP64/1000*IF(AP$4-Teams!$E$80&lt;6,Params!$D$37,Params!$D$38)*Org!$B$10*Org!$B$12/12,0)</f>
        <v>0</v>
      </c>
      <c r="AQ77" s="44">
        <f>AQ$5*IF(AQ$4&gt;=Teams!$E$80,AQ64/1000*IF(AQ$4-Teams!$E$80&lt;6,Params!$D$37,Params!$D$38)*Org!$B$10*Org!$B$12/12,0)</f>
        <v>0</v>
      </c>
      <c r="AR77" s="44">
        <f>AR$5*IF(AR$4&gt;=Teams!$E$80,AR64/1000*IF(AR$4-Teams!$E$80&lt;6,Params!$D$37,Params!$D$38)*Org!$B$10*Org!$B$12/12,0)</f>
        <v>0</v>
      </c>
      <c r="AS77" s="44">
        <f>AS$5*IF(AS$4&gt;=Teams!$E$80,AS64/1000*IF(AS$4-Teams!$E$80&lt;6,Params!$D$37,Params!$D$38)*Org!$B$10*Org!$B$12/12,0)</f>
        <v>0</v>
      </c>
      <c r="AT77" s="44">
        <f>AT$5*IF(AT$4&gt;=Teams!$E$80,AT64/1000*IF(AT$4-Teams!$E$80&lt;6,Params!$D$37,Params!$D$38)*Org!$B$10*Org!$B$12/12,0)</f>
        <v>0</v>
      </c>
      <c r="AU77" s="44">
        <f>AU$5*IF(AU$4&gt;=Teams!$E$80,AU64/1000*IF(AU$4-Teams!$E$80&lt;6,Params!$D$37,Params!$D$38)*Org!$B$10*Org!$B$12/12,0)</f>
        <v>0</v>
      </c>
      <c r="AV77" s="44">
        <f>AV$5*IF(AV$4&gt;=Teams!$E$80,AV64/1000*IF(AV$4-Teams!$E$80&lt;6,Params!$D$37,Params!$D$38)*Org!$B$10*Org!$B$12/12,0)</f>
        <v>0</v>
      </c>
      <c r="AW77" s="44">
        <f>AW$5*IF(AW$4&gt;=Teams!$E$80,AW64/1000*IF(AW$4-Teams!$E$80&lt;6,Params!$D$37,Params!$D$38)*Org!$B$10*Org!$B$12/12,0)</f>
        <v>0</v>
      </c>
      <c r="AX77" s="44">
        <f>AX$5*IF(AX$4&gt;=Teams!$E$80,AX64/1000*IF(AX$4-Teams!$E$80&lt;6,Params!$D$37,Params!$D$38)*Org!$B$10*Org!$B$12/12,0)</f>
        <v>0</v>
      </c>
      <c r="AY77" s="44">
        <f>AY$5*IF(AY$4&gt;=Teams!$E$80,AY64/1000*IF(AY$4-Teams!$E$80&lt;6,Params!$D$37,Params!$D$38)*Org!$B$10*Org!$B$12/12,0)</f>
        <v>0</v>
      </c>
      <c r="AZ77" s="44">
        <f>AZ$5*IF(AZ$4&gt;=Teams!$E$80,AZ64/1000*IF(AZ$4-Teams!$E$80&lt;6,Params!$D$37,Params!$D$38)*Org!$B$10*Org!$B$12/12,0)</f>
        <v>0</v>
      </c>
      <c r="BA77" s="44">
        <f>BA$5*IF(BA$4&gt;=Teams!$E$80,BA64/1000*IF(BA$4-Teams!$E$80&lt;6,Params!$D$37,Params!$D$38)*Org!$B$10*Org!$B$12/12,0)</f>
        <v>0</v>
      </c>
      <c r="BB77" s="44">
        <f>BB$5*IF(BB$4&gt;=Teams!$E$80,BB64/1000*IF(BB$4-Teams!$E$80&lt;6,Params!$D$37,Params!$D$38)*Org!$B$10*Org!$B$12/12,0)</f>
        <v>0</v>
      </c>
      <c r="BC77" s="44">
        <f>BC$5*IF(BC$4&gt;=Teams!$E$80,BC64/1000*IF(BC$4-Teams!$E$80&lt;6,Params!$D$37,Params!$D$38)*Org!$B$10*Org!$B$12/12,0)</f>
        <v>0</v>
      </c>
      <c r="BD77" s="44">
        <f>BD$5*IF(BD$4&gt;=Teams!$E$80,BD64/1000*IF(BD$4-Teams!$E$80&lt;6,Params!$D$37,Params!$D$38)*Org!$B$10*Org!$B$12/12,0)</f>
        <v>0</v>
      </c>
      <c r="BE77" s="44">
        <f>BE$5*IF(BE$4&gt;=Teams!$E$80,BE64/1000*IF(BE$4-Teams!$E$80&lt;6,Params!$D$37,Params!$D$38)*Org!$B$10*Org!$B$12/12,0)</f>
        <v>0</v>
      </c>
      <c r="BF77" s="44">
        <f>BF$5*IF(BF$4&gt;=Teams!$E$80,BF64/1000*IF(BF$4-Teams!$E$80&lt;6,Params!$D$37,Params!$D$38)*Org!$B$10*Org!$B$12/12,0)</f>
        <v>0</v>
      </c>
      <c r="BG77" s="44">
        <f>BG$5*IF(BG$4&gt;=Teams!$E$80,BG64/1000*IF(BG$4-Teams!$E$80&lt;6,Params!$D$37,Params!$D$38)*Org!$B$10*Org!$B$12/12,0)</f>
        <v>0</v>
      </c>
      <c r="BH77" s="44">
        <f>BH$5*IF(BH$4&gt;=Teams!$E$80,BH64/1000*IF(BH$4-Teams!$E$80&lt;6,Params!$D$37,Params!$D$38)*Org!$B$10*Org!$B$12/12,0)</f>
        <v>0</v>
      </c>
      <c r="BI77" s="44">
        <f>BI$5*IF(BI$4&gt;=Teams!$E$80,BI64/1000*IF(BI$4-Teams!$E$80&lt;6,Params!$D$37,Params!$D$38)*Org!$B$10*Org!$B$12/12,0)</f>
        <v>0</v>
      </c>
      <c r="BJ77" s="44">
        <f>BJ$5*IF(BJ$4&gt;=Teams!$E$80,BJ64/1000*IF(BJ$4-Teams!$E$80&lt;6,Params!$D$37,Params!$D$38)*Org!$B$10*Org!$B$12/12,0)</f>
        <v>0</v>
      </c>
      <c r="BK77" s="44">
        <f>BK$5*IF(BK$4&gt;=Teams!$E$80,BK64/1000*IF(BK$4-Teams!$E$80&lt;6,Params!$D$37,Params!$D$38)*Org!$B$10*Org!$B$12/12,0)</f>
        <v>0</v>
      </c>
      <c r="BL77" s="44">
        <f>BL$5*IF(BL$4&gt;=Teams!$E$80,BL64/1000*IF(BL$4-Teams!$E$80&lt;6,Params!$D$37,Params!$D$38)*Org!$B$10*Org!$B$12/12,0)</f>
        <v>0</v>
      </c>
    </row>
    <row r="78" spans="1:64" x14ac:dyDescent="0.3">
      <c r="A78" s="8" t="s">
        <v>676</v>
      </c>
      <c r="B78" s="18" t="s">
        <v>169</v>
      </c>
      <c r="C78" s="44">
        <f t="shared" si="20"/>
        <v>14719.999999999998</v>
      </c>
      <c r="D78" s="44">
        <f>Teams!$E$5*((Teams!$E$43*Params!$D$4+Teams!$E$44/100000*Params!$D$5+Teams!$E$43*Params!$D$6)*Org!$B$10)</f>
        <v>14719.999999999998</v>
      </c>
    </row>
    <row r="79" spans="1:64" x14ac:dyDescent="0.3">
      <c r="A79" s="8" t="s">
        <v>677</v>
      </c>
      <c r="B79" s="18" t="s">
        <v>435</v>
      </c>
      <c r="C79" s="44">
        <f t="shared" si="20"/>
        <v>0</v>
      </c>
      <c r="D79" s="44">
        <f>Teams!$E$5*(Teams!$E$49*(Teams!$E$44*Teams!$E$45*Teams!$E$75+Teams!$E$44*Teams!$E$47*Teams!$E$76/1000000))</f>
        <v>0</v>
      </c>
    </row>
    <row r="80" spans="1:64" x14ac:dyDescent="0.3">
      <c r="A80" s="8" t="s">
        <v>678</v>
      </c>
      <c r="B80" s="18" t="s">
        <v>169</v>
      </c>
      <c r="C80" s="44">
        <f t="shared" si="20"/>
        <v>18400</v>
      </c>
      <c r="D80" s="44">
        <f>Teams!$E$5*((Params!$D$13+Params!$D$16)*Org!$B$10)</f>
        <v>18400</v>
      </c>
    </row>
    <row r="81" spans="1:64" x14ac:dyDescent="0.3">
      <c r="A81" s="8" t="s">
        <v>679</v>
      </c>
      <c r="B81" s="18" t="s">
        <v>169</v>
      </c>
      <c r="C81" s="44">
        <f t="shared" si="20"/>
        <v>10200</v>
      </c>
      <c r="D81" s="44">
        <f>Teams!$E$5*(Teams!$E$18*Teams!$E$19*Params!$D$34*(Org!$B$10/Org!$B$11))</f>
        <v>10200</v>
      </c>
    </row>
    <row r="82" spans="1:64" x14ac:dyDescent="0.3">
      <c r="A82" s="8" t="s">
        <v>11</v>
      </c>
      <c r="C82" s="44">
        <f t="shared" si="20"/>
        <v>2590672.5</v>
      </c>
      <c r="E82" s="44">
        <f>E$5*E66*Teams!$E$55/60*Teams!$E$56*INDEX(Params!$D$41:$F$41,Org!$B$17)*Teams!$E$57</f>
        <v>0</v>
      </c>
      <c r="F82" s="44">
        <f>F$5*F66*Teams!$E$55/60*Teams!$E$56*INDEX(Params!$D$41:$F$41,Org!$B$17)*Teams!$E$57</f>
        <v>5904.6666666666661</v>
      </c>
      <c r="G82" s="44">
        <f>G$5*G66*Teams!$E$55/60*Teams!$E$56*INDEX(Params!$D$41:$F$41,Org!$B$17)*Teams!$E$57</f>
        <v>20666.333333333332</v>
      </c>
      <c r="H82" s="44">
        <f>H$5*H66*Teams!$E$55/60*Teams!$E$56*INDEX(Params!$D$41:$F$41,Org!$B$17)*Teams!$E$57</f>
        <v>39856.5</v>
      </c>
      <c r="I82" s="44">
        <f>I$5*I66*Teams!$E$55/60*Teams!$E$56*INDEX(Params!$D$41:$F$41,Org!$B$17)*Teams!$E$57</f>
        <v>59046.666666666657</v>
      </c>
      <c r="J82" s="44">
        <f>J$5*J66*Teams!$E$55/60*Teams!$E$56*INDEX(Params!$D$41:$F$41,Org!$B$17)*Teams!$E$57</f>
        <v>73808.333333333343</v>
      </c>
      <c r="K82" s="44">
        <f>K$5*K66*Teams!$E$55/60*Teams!$E$56*INDEX(Params!$D$41:$F$41,Org!$B$17)*Teams!$E$57</f>
        <v>79713</v>
      </c>
      <c r="L82" s="44">
        <f>L$5*L66*Teams!$E$55/60*Teams!$E$56*INDEX(Params!$D$41:$F$41,Org!$B$17)*Teams!$E$57</f>
        <v>79713</v>
      </c>
      <c r="M82" s="44">
        <f>M$5*M66*Teams!$E$55/60*Teams!$E$56*INDEX(Params!$D$41:$F$41,Org!$B$17)*Teams!$E$57</f>
        <v>79713</v>
      </c>
      <c r="N82" s="44">
        <f>N$5*N66*Teams!$E$55/60*Teams!$E$56*INDEX(Params!$D$41:$F$41,Org!$B$17)*Teams!$E$57</f>
        <v>79713</v>
      </c>
      <c r="O82" s="44">
        <f>O$5*O66*Teams!$E$55/60*Teams!$E$56*INDEX(Params!$D$41:$F$41,Org!$B$17)*Teams!$E$57</f>
        <v>79713</v>
      </c>
      <c r="P82" s="44">
        <f>P$5*P66*Teams!$E$55/60*Teams!$E$56*INDEX(Params!$D$41:$F$41,Org!$B$17)*Teams!$E$57</f>
        <v>79713</v>
      </c>
      <c r="Q82" s="44">
        <f>Q$5*Q66*Teams!$E$55/60*Teams!$E$56*INDEX(Params!$D$41:$F$41,Org!$B$17)*Teams!$E$57</f>
        <v>79713</v>
      </c>
      <c r="R82" s="44">
        <f>R$5*R66*Teams!$E$55/60*Teams!$E$56*INDEX(Params!$D$41:$F$41,Org!$B$17)*Teams!$E$57</f>
        <v>79713</v>
      </c>
      <c r="S82" s="44">
        <f>S$5*S66*Teams!$E$55/60*Teams!$E$56*INDEX(Params!$D$41:$F$41,Org!$B$17)*Teams!$E$57</f>
        <v>79713</v>
      </c>
      <c r="T82" s="44">
        <f>T$5*T66*Teams!$E$55/60*Teams!$E$56*INDEX(Params!$D$41:$F$41,Org!$B$17)*Teams!$E$57</f>
        <v>79713</v>
      </c>
      <c r="U82" s="44">
        <f>U$5*U66*Teams!$E$55/60*Teams!$E$56*INDEX(Params!$D$41:$F$41,Org!$B$17)*Teams!$E$57</f>
        <v>79713</v>
      </c>
      <c r="V82" s="44">
        <f>V$5*V66*Teams!$E$55/60*Teams!$E$56*INDEX(Params!$D$41:$F$41,Org!$B$17)*Teams!$E$57</f>
        <v>79713</v>
      </c>
      <c r="W82" s="44">
        <f>W$5*W66*Teams!$E$55/60*Teams!$E$56*INDEX(Params!$D$41:$F$41,Org!$B$17)*Teams!$E$57</f>
        <v>79713</v>
      </c>
      <c r="X82" s="44">
        <f>X$5*X66*Teams!$E$55/60*Teams!$E$56*INDEX(Params!$D$41:$F$41,Org!$B$17)*Teams!$E$57</f>
        <v>79713</v>
      </c>
      <c r="Y82" s="44">
        <f>Y$5*Y66*Teams!$E$55/60*Teams!$E$56*INDEX(Params!$D$41:$F$41,Org!$B$17)*Teams!$E$57</f>
        <v>79713</v>
      </c>
      <c r="Z82" s="44">
        <f>Z$5*Z66*Teams!$E$55/60*Teams!$E$56*INDEX(Params!$D$41:$F$41,Org!$B$17)*Teams!$E$57</f>
        <v>79713</v>
      </c>
      <c r="AA82" s="44">
        <f>AA$5*AA66*Teams!$E$55/60*Teams!$E$56*INDEX(Params!$D$41:$F$41,Org!$B$17)*Teams!$E$57</f>
        <v>79713</v>
      </c>
      <c r="AB82" s="44">
        <f>AB$5*AB66*Teams!$E$55/60*Teams!$E$56*INDEX(Params!$D$41:$F$41,Org!$B$17)*Teams!$E$57</f>
        <v>79713</v>
      </c>
      <c r="AC82" s="44">
        <f>AC$5*AC66*Teams!$E$55/60*Teams!$E$56*INDEX(Params!$D$41:$F$41,Org!$B$17)*Teams!$E$57</f>
        <v>79713</v>
      </c>
      <c r="AD82" s="44">
        <f>AD$5*AD66*Teams!$E$55/60*Teams!$E$56*INDEX(Params!$D$41:$F$41,Org!$B$17)*Teams!$E$57</f>
        <v>79713</v>
      </c>
      <c r="AE82" s="44">
        <f>AE$5*AE66*Teams!$E$55/60*Teams!$E$56*INDEX(Params!$D$41:$F$41,Org!$B$17)*Teams!$E$57</f>
        <v>79713</v>
      </c>
      <c r="AF82" s="44">
        <f>AF$5*AF66*Teams!$E$55/60*Teams!$E$56*INDEX(Params!$D$41:$F$41,Org!$B$17)*Teams!$E$57</f>
        <v>79713</v>
      </c>
      <c r="AG82" s="44">
        <f>AG$5*AG66*Teams!$E$55/60*Teams!$E$56*INDEX(Params!$D$41:$F$41,Org!$B$17)*Teams!$E$57</f>
        <v>79713</v>
      </c>
      <c r="AH82" s="44">
        <f>AH$5*AH66*Teams!$E$55/60*Teams!$E$56*INDEX(Params!$D$41:$F$41,Org!$B$17)*Teams!$E$57</f>
        <v>79713</v>
      </c>
      <c r="AI82" s="44">
        <f>AI$5*AI66*Teams!$E$55/60*Teams!$E$56*INDEX(Params!$D$41:$F$41,Org!$B$17)*Teams!$E$57</f>
        <v>79713</v>
      </c>
      <c r="AJ82" s="44">
        <f>AJ$5*AJ66*Teams!$E$55/60*Teams!$E$56*INDEX(Params!$D$41:$F$41,Org!$B$17)*Teams!$E$57</f>
        <v>79713</v>
      </c>
      <c r="AK82" s="44">
        <f>AK$5*AK66*Teams!$E$55/60*Teams!$E$56*INDEX(Params!$D$41:$F$41,Org!$B$17)*Teams!$E$57</f>
        <v>79713</v>
      </c>
      <c r="AL82" s="44">
        <f>AL$5*AL66*Teams!$E$55/60*Teams!$E$56*INDEX(Params!$D$41:$F$41,Org!$B$17)*Teams!$E$57</f>
        <v>79713</v>
      </c>
      <c r="AM82" s="44">
        <f>AM$5*AM66*Teams!$E$55/60*Teams!$E$56*INDEX(Params!$D$41:$F$41,Org!$B$17)*Teams!$E$57</f>
        <v>79713</v>
      </c>
      <c r="AN82" s="44">
        <f>AN$5*AN66*Teams!$E$55/60*Teams!$E$56*INDEX(Params!$D$41:$F$41,Org!$B$17)*Teams!$E$57</f>
        <v>79713</v>
      </c>
      <c r="AO82" s="44">
        <f>AO$5*AO66*Teams!$E$55/60*Teams!$E$56*INDEX(Params!$D$41:$F$41,Org!$B$17)*Teams!$E$57</f>
        <v>0</v>
      </c>
      <c r="AP82" s="44">
        <f>AP$5*AP66*Teams!$E$55/60*Teams!$E$56*INDEX(Params!$D$41:$F$41,Org!$B$17)*Teams!$E$57</f>
        <v>0</v>
      </c>
      <c r="AQ82" s="44">
        <f>AQ$5*AQ66*Teams!$E$55/60*Teams!$E$56*INDEX(Params!$D$41:$F$41,Org!$B$17)*Teams!$E$57</f>
        <v>0</v>
      </c>
      <c r="AR82" s="44">
        <f>AR$5*AR66*Teams!$E$55/60*Teams!$E$56*INDEX(Params!$D$41:$F$41,Org!$B$17)*Teams!$E$57</f>
        <v>0</v>
      </c>
      <c r="AS82" s="44">
        <f>AS$5*AS66*Teams!$E$55/60*Teams!$E$56*INDEX(Params!$D$41:$F$41,Org!$B$17)*Teams!$E$57</f>
        <v>0</v>
      </c>
      <c r="AT82" s="44">
        <f>AT$5*AT66*Teams!$E$55/60*Teams!$E$56*INDEX(Params!$D$41:$F$41,Org!$B$17)*Teams!$E$57</f>
        <v>0</v>
      </c>
      <c r="AU82" s="44">
        <f>AU$5*AU66*Teams!$E$55/60*Teams!$E$56*INDEX(Params!$D$41:$F$41,Org!$B$17)*Teams!$E$57</f>
        <v>0</v>
      </c>
      <c r="AV82" s="44">
        <f>AV$5*AV66*Teams!$E$55/60*Teams!$E$56*INDEX(Params!$D$41:$F$41,Org!$B$17)*Teams!$E$57</f>
        <v>0</v>
      </c>
      <c r="AW82" s="44">
        <f>AW$5*AW66*Teams!$E$55/60*Teams!$E$56*INDEX(Params!$D$41:$F$41,Org!$B$17)*Teams!$E$57</f>
        <v>0</v>
      </c>
      <c r="AX82" s="44">
        <f>AX$5*AX66*Teams!$E$55/60*Teams!$E$56*INDEX(Params!$D$41:$F$41,Org!$B$17)*Teams!$E$57</f>
        <v>0</v>
      </c>
      <c r="AY82" s="44">
        <f>AY$5*AY66*Teams!$E$55/60*Teams!$E$56*INDEX(Params!$D$41:$F$41,Org!$B$17)*Teams!$E$57</f>
        <v>0</v>
      </c>
      <c r="AZ82" s="44">
        <f>AZ$5*AZ66*Teams!$E$55/60*Teams!$E$56*INDEX(Params!$D$41:$F$41,Org!$B$17)*Teams!$E$57</f>
        <v>0</v>
      </c>
      <c r="BA82" s="44">
        <f>BA$5*BA66*Teams!$E$55/60*Teams!$E$56*INDEX(Params!$D$41:$F$41,Org!$B$17)*Teams!$E$57</f>
        <v>0</v>
      </c>
      <c r="BB82" s="44">
        <f>BB$5*BB66*Teams!$E$55/60*Teams!$E$56*INDEX(Params!$D$41:$F$41,Org!$B$17)*Teams!$E$57</f>
        <v>0</v>
      </c>
      <c r="BC82" s="44">
        <f>BC$5*BC66*Teams!$E$55/60*Teams!$E$56*INDEX(Params!$D$41:$F$41,Org!$B$17)*Teams!$E$57</f>
        <v>0</v>
      </c>
      <c r="BD82" s="44">
        <f>BD$5*BD66*Teams!$E$55/60*Teams!$E$56*INDEX(Params!$D$41:$F$41,Org!$B$17)*Teams!$E$57</f>
        <v>0</v>
      </c>
      <c r="BE82" s="44">
        <f>BE$5*BE66*Teams!$E$55/60*Teams!$E$56*INDEX(Params!$D$41:$F$41,Org!$B$17)*Teams!$E$57</f>
        <v>0</v>
      </c>
      <c r="BF82" s="44">
        <f>BF$5*BF66*Teams!$E$55/60*Teams!$E$56*INDEX(Params!$D$41:$F$41,Org!$B$17)*Teams!$E$57</f>
        <v>0</v>
      </c>
      <c r="BG82" s="44">
        <f>BG$5*BG66*Teams!$E$55/60*Teams!$E$56*INDEX(Params!$D$41:$F$41,Org!$B$17)*Teams!$E$57</f>
        <v>0</v>
      </c>
      <c r="BH82" s="44">
        <f>BH$5*BH66*Teams!$E$55/60*Teams!$E$56*INDEX(Params!$D$41:$F$41,Org!$B$17)*Teams!$E$57</f>
        <v>0</v>
      </c>
      <c r="BI82" s="44">
        <f>BI$5*BI66*Teams!$E$55/60*Teams!$E$56*INDEX(Params!$D$41:$F$41,Org!$B$17)*Teams!$E$57</f>
        <v>0</v>
      </c>
      <c r="BJ82" s="44">
        <f>BJ$5*BJ66*Teams!$E$55/60*Teams!$E$56*INDEX(Params!$D$41:$F$41,Org!$B$17)*Teams!$E$57</f>
        <v>0</v>
      </c>
      <c r="BK82" s="44">
        <f>BK$5*BK66*Teams!$E$55/60*Teams!$E$56*INDEX(Params!$D$41:$F$41,Org!$B$17)*Teams!$E$57</f>
        <v>0</v>
      </c>
      <c r="BL82" s="44">
        <f>BL$5*BL66*Teams!$E$55/60*Teams!$E$56*INDEX(Params!$D$41:$F$41,Org!$B$17)*Teams!$E$57</f>
        <v>0</v>
      </c>
    </row>
    <row r="83" spans="1:64" x14ac:dyDescent="0.3">
      <c r="A83" s="8" t="s">
        <v>701</v>
      </c>
      <c r="C83" s="44">
        <f t="shared" si="20"/>
        <v>1456518.7083333337</v>
      </c>
      <c r="D83" s="44">
        <f t="shared" ref="D83:AI83" si="21">SUM(D67:D81)</f>
        <v>43320</v>
      </c>
      <c r="E83" s="44">
        <f t="shared" si="21"/>
        <v>0</v>
      </c>
      <c r="F83" s="44">
        <f t="shared" si="21"/>
        <v>3952.5</v>
      </c>
      <c r="G83" s="44">
        <f t="shared" si="21"/>
        <v>11867.083333333334</v>
      </c>
      <c r="H83" s="44">
        <f t="shared" si="21"/>
        <v>22156.041666666668</v>
      </c>
      <c r="I83" s="44">
        <f t="shared" si="21"/>
        <v>32444.999999999996</v>
      </c>
      <c r="J83" s="44">
        <f t="shared" si="21"/>
        <v>40359.583333333336</v>
      </c>
      <c r="K83" s="44">
        <f t="shared" si="21"/>
        <v>43525.416666666664</v>
      </c>
      <c r="L83" s="44">
        <f t="shared" si="21"/>
        <v>43349.416666666664</v>
      </c>
      <c r="M83" s="44">
        <f t="shared" si="21"/>
        <v>43349.416666666664</v>
      </c>
      <c r="N83" s="44">
        <f t="shared" si="21"/>
        <v>43349.416666666664</v>
      </c>
      <c r="O83" s="44">
        <f t="shared" si="21"/>
        <v>43349.416666666664</v>
      </c>
      <c r="P83" s="44">
        <f t="shared" si="21"/>
        <v>43349.416666666664</v>
      </c>
      <c r="Q83" s="44">
        <f t="shared" si="21"/>
        <v>43349.416666666664</v>
      </c>
      <c r="R83" s="44">
        <f t="shared" si="21"/>
        <v>43349.416666666664</v>
      </c>
      <c r="S83" s="44">
        <f t="shared" si="21"/>
        <v>43349.416666666664</v>
      </c>
      <c r="T83" s="44">
        <f t="shared" si="21"/>
        <v>43349.416666666664</v>
      </c>
      <c r="U83" s="44">
        <f t="shared" si="21"/>
        <v>43349.416666666664</v>
      </c>
      <c r="V83" s="44">
        <f t="shared" si="21"/>
        <v>43349.416666666664</v>
      </c>
      <c r="W83" s="44">
        <f t="shared" si="21"/>
        <v>43349.416666666664</v>
      </c>
      <c r="X83" s="44">
        <f t="shared" si="21"/>
        <v>43349.416666666664</v>
      </c>
      <c r="Y83" s="44">
        <f t="shared" si="21"/>
        <v>43349.416666666664</v>
      </c>
      <c r="Z83" s="44">
        <f t="shared" si="21"/>
        <v>43349.416666666664</v>
      </c>
      <c r="AA83" s="44">
        <f t="shared" si="21"/>
        <v>43349.416666666664</v>
      </c>
      <c r="AB83" s="44">
        <f t="shared" si="21"/>
        <v>43349.416666666664</v>
      </c>
      <c r="AC83" s="44">
        <f t="shared" si="21"/>
        <v>43349.416666666664</v>
      </c>
      <c r="AD83" s="44">
        <f t="shared" si="21"/>
        <v>43349.416666666664</v>
      </c>
      <c r="AE83" s="44">
        <f t="shared" si="21"/>
        <v>45109.416666666664</v>
      </c>
      <c r="AF83" s="44">
        <f t="shared" si="21"/>
        <v>43349.416666666664</v>
      </c>
      <c r="AG83" s="44">
        <f t="shared" si="21"/>
        <v>43349.416666666664</v>
      </c>
      <c r="AH83" s="44">
        <f t="shared" si="21"/>
        <v>43349.416666666664</v>
      </c>
      <c r="AI83" s="44">
        <f t="shared" si="21"/>
        <v>43349.416666666664</v>
      </c>
      <c r="AJ83" s="44">
        <f t="shared" ref="AJ83:BL83" si="22">SUM(AJ67:AJ81)</f>
        <v>43349.416666666664</v>
      </c>
      <c r="AK83" s="44">
        <f t="shared" si="22"/>
        <v>43349.416666666664</v>
      </c>
      <c r="AL83" s="44">
        <f t="shared" si="22"/>
        <v>43349.416666666664</v>
      </c>
      <c r="AM83" s="44">
        <f t="shared" si="22"/>
        <v>43349.416666666664</v>
      </c>
      <c r="AN83" s="44">
        <f t="shared" si="22"/>
        <v>43349.416666666664</v>
      </c>
      <c r="AO83" s="44">
        <f t="shared" si="22"/>
        <v>0</v>
      </c>
      <c r="AP83" s="44">
        <f t="shared" si="22"/>
        <v>0</v>
      </c>
      <c r="AQ83" s="44">
        <f t="shared" si="22"/>
        <v>0</v>
      </c>
      <c r="AR83" s="44">
        <f t="shared" si="22"/>
        <v>0</v>
      </c>
      <c r="AS83" s="44">
        <f t="shared" si="22"/>
        <v>0</v>
      </c>
      <c r="AT83" s="44">
        <f t="shared" si="22"/>
        <v>0</v>
      </c>
      <c r="AU83" s="44">
        <f t="shared" si="22"/>
        <v>0</v>
      </c>
      <c r="AV83" s="44">
        <f t="shared" si="22"/>
        <v>0</v>
      </c>
      <c r="AW83" s="44">
        <f t="shared" si="22"/>
        <v>0</v>
      </c>
      <c r="AX83" s="44">
        <f t="shared" si="22"/>
        <v>0</v>
      </c>
      <c r="AY83" s="44">
        <f t="shared" si="22"/>
        <v>0</v>
      </c>
      <c r="AZ83" s="44">
        <f t="shared" si="22"/>
        <v>0</v>
      </c>
      <c r="BA83" s="44">
        <f t="shared" si="22"/>
        <v>0</v>
      </c>
      <c r="BB83" s="44">
        <f t="shared" si="22"/>
        <v>0</v>
      </c>
      <c r="BC83" s="44">
        <f t="shared" si="22"/>
        <v>0</v>
      </c>
      <c r="BD83" s="44">
        <f t="shared" si="22"/>
        <v>0</v>
      </c>
      <c r="BE83" s="44">
        <f t="shared" si="22"/>
        <v>0</v>
      </c>
      <c r="BF83" s="44">
        <f t="shared" si="22"/>
        <v>0</v>
      </c>
      <c r="BG83" s="44">
        <f t="shared" si="22"/>
        <v>0</v>
      </c>
      <c r="BH83" s="44">
        <f t="shared" si="22"/>
        <v>0</v>
      </c>
      <c r="BI83" s="44">
        <f t="shared" si="22"/>
        <v>0</v>
      </c>
      <c r="BJ83" s="44">
        <f t="shared" si="22"/>
        <v>0</v>
      </c>
      <c r="BK83" s="44">
        <f t="shared" si="22"/>
        <v>0</v>
      </c>
      <c r="BL83" s="44">
        <f t="shared" si="22"/>
        <v>0</v>
      </c>
    </row>
    <row r="84" spans="1:64" x14ac:dyDescent="0.3">
      <c r="A84" s="8" t="s">
        <v>702</v>
      </c>
      <c r="C84" s="44">
        <f t="shared" si="20"/>
        <v>214101.70085273118</v>
      </c>
      <c r="D84" s="44">
        <f t="shared" ref="D84:AI84" si="23">$D$169*D158</f>
        <v>12241.135218779838</v>
      </c>
      <c r="E84" s="44">
        <f t="shared" si="23"/>
        <v>5594.733809633557</v>
      </c>
      <c r="F84" s="44">
        <f t="shared" si="23"/>
        <v>5597.6569711646925</v>
      </c>
      <c r="G84" s="44">
        <f t="shared" si="23"/>
        <v>5601.2544585042033</v>
      </c>
      <c r="H84" s="44">
        <f t="shared" si="23"/>
        <v>5605.0247180061242</v>
      </c>
      <c r="I84" s="44">
        <f t="shared" si="23"/>
        <v>5607.0232144289948</v>
      </c>
      <c r="J84" s="44">
        <f t="shared" si="23"/>
        <v>5608.0446875453472</v>
      </c>
      <c r="K84" s="44">
        <f t="shared" si="23"/>
        <v>5608.2275924889436</v>
      </c>
      <c r="L84" s="44">
        <f t="shared" si="23"/>
        <v>5608.2275924889436</v>
      </c>
      <c r="M84" s="44">
        <f t="shared" si="23"/>
        <v>5608.2275924889436</v>
      </c>
      <c r="N84" s="44">
        <f t="shared" si="23"/>
        <v>5608.2275924889436</v>
      </c>
      <c r="O84" s="44">
        <f t="shared" si="23"/>
        <v>5608.2275924889436</v>
      </c>
      <c r="P84" s="44">
        <f t="shared" si="23"/>
        <v>5608.2275924889436</v>
      </c>
      <c r="Q84" s="44">
        <f t="shared" si="23"/>
        <v>5608.2275924889436</v>
      </c>
      <c r="R84" s="44">
        <f t="shared" si="23"/>
        <v>5608.2275924889436</v>
      </c>
      <c r="S84" s="44">
        <f t="shared" si="23"/>
        <v>5608.2275924889436</v>
      </c>
      <c r="T84" s="44">
        <f t="shared" si="23"/>
        <v>5608.2275924889436</v>
      </c>
      <c r="U84" s="44">
        <f t="shared" si="23"/>
        <v>5608.2275924889436</v>
      </c>
      <c r="V84" s="44">
        <f t="shared" si="23"/>
        <v>5608.2275924889436</v>
      </c>
      <c r="W84" s="44">
        <f t="shared" si="23"/>
        <v>5608.2275924889436</v>
      </c>
      <c r="X84" s="44">
        <f t="shared" si="23"/>
        <v>5608.2275924889436</v>
      </c>
      <c r="Y84" s="44">
        <f t="shared" si="23"/>
        <v>5608.2275924889436</v>
      </c>
      <c r="Z84" s="44">
        <f t="shared" si="23"/>
        <v>5608.2275924889436</v>
      </c>
      <c r="AA84" s="44">
        <f t="shared" si="23"/>
        <v>5608.2275924889436</v>
      </c>
      <c r="AB84" s="44">
        <f t="shared" si="23"/>
        <v>5608.2275924889436</v>
      </c>
      <c r="AC84" s="44">
        <f t="shared" si="23"/>
        <v>5608.2275924889436</v>
      </c>
      <c r="AD84" s="44">
        <f t="shared" si="23"/>
        <v>5608.2275924889436</v>
      </c>
      <c r="AE84" s="44">
        <f t="shared" si="23"/>
        <v>5608.2275924889436</v>
      </c>
      <c r="AF84" s="44">
        <f t="shared" si="23"/>
        <v>5608.2275924889436</v>
      </c>
      <c r="AG84" s="44">
        <f t="shared" si="23"/>
        <v>5608.2275924889436</v>
      </c>
      <c r="AH84" s="44">
        <f t="shared" si="23"/>
        <v>5608.2275924889436</v>
      </c>
      <c r="AI84" s="44">
        <f t="shared" si="23"/>
        <v>5608.2275924889436</v>
      </c>
      <c r="AJ84" s="44">
        <f t="shared" ref="AJ84:BL84" si="24">$D$169*AJ158</f>
        <v>5608.2275924889436</v>
      </c>
      <c r="AK84" s="44">
        <f t="shared" si="24"/>
        <v>5608.2275924889436</v>
      </c>
      <c r="AL84" s="44">
        <f t="shared" si="24"/>
        <v>5608.2275924889436</v>
      </c>
      <c r="AM84" s="44">
        <f t="shared" si="24"/>
        <v>5608.2275924889436</v>
      </c>
      <c r="AN84" s="44">
        <f t="shared" si="24"/>
        <v>5608.2275924889436</v>
      </c>
      <c r="AO84" s="44">
        <f t="shared" si="24"/>
        <v>0</v>
      </c>
      <c r="AP84" s="44">
        <f t="shared" si="24"/>
        <v>0</v>
      </c>
      <c r="AQ84" s="44">
        <f t="shared" si="24"/>
        <v>0</v>
      </c>
      <c r="AR84" s="44">
        <f t="shared" si="24"/>
        <v>0</v>
      </c>
      <c r="AS84" s="44">
        <f t="shared" si="24"/>
        <v>0</v>
      </c>
      <c r="AT84" s="44">
        <f t="shared" si="24"/>
        <v>0</v>
      </c>
      <c r="AU84" s="44">
        <f t="shared" si="24"/>
        <v>0</v>
      </c>
      <c r="AV84" s="44">
        <f t="shared" si="24"/>
        <v>0</v>
      </c>
      <c r="AW84" s="44">
        <f t="shared" si="24"/>
        <v>0</v>
      </c>
      <c r="AX84" s="44">
        <f t="shared" si="24"/>
        <v>0</v>
      </c>
      <c r="AY84" s="44">
        <f t="shared" si="24"/>
        <v>0</v>
      </c>
      <c r="AZ84" s="44">
        <f t="shared" si="24"/>
        <v>0</v>
      </c>
      <c r="BA84" s="44">
        <f t="shared" si="24"/>
        <v>0</v>
      </c>
      <c r="BB84" s="44">
        <f t="shared" si="24"/>
        <v>0</v>
      </c>
      <c r="BC84" s="44">
        <f t="shared" si="24"/>
        <v>0</v>
      </c>
      <c r="BD84" s="44">
        <f t="shared" si="24"/>
        <v>0</v>
      </c>
      <c r="BE84" s="44">
        <f t="shared" si="24"/>
        <v>0</v>
      </c>
      <c r="BF84" s="44">
        <f t="shared" si="24"/>
        <v>0</v>
      </c>
      <c r="BG84" s="44">
        <f t="shared" si="24"/>
        <v>0</v>
      </c>
      <c r="BH84" s="44">
        <f t="shared" si="24"/>
        <v>0</v>
      </c>
      <c r="BI84" s="44">
        <f t="shared" si="24"/>
        <v>0</v>
      </c>
      <c r="BJ84" s="44">
        <f t="shared" si="24"/>
        <v>0</v>
      </c>
      <c r="BK84" s="44">
        <f t="shared" si="24"/>
        <v>0</v>
      </c>
      <c r="BL84" s="44">
        <f t="shared" si="24"/>
        <v>0</v>
      </c>
    </row>
    <row r="85" spans="1:64" x14ac:dyDescent="0.3">
      <c r="A85" s="8" t="s">
        <v>1012</v>
      </c>
      <c r="C85" s="44">
        <f t="shared" si="20"/>
        <v>920052.09081393562</v>
      </c>
      <c r="D85" s="44">
        <f t="shared" ref="D85:AI85" si="25">D82-D83-D84</f>
        <v>-55561.13521877984</v>
      </c>
      <c r="E85" s="44">
        <f t="shared" si="25"/>
        <v>-5594.733809633557</v>
      </c>
      <c r="F85" s="44">
        <f t="shared" si="25"/>
        <v>-3645.4903044980265</v>
      </c>
      <c r="G85" s="44">
        <f t="shared" si="25"/>
        <v>3197.9955414957949</v>
      </c>
      <c r="H85" s="44">
        <f t="shared" si="25"/>
        <v>12095.433615327209</v>
      </c>
      <c r="I85" s="44">
        <f t="shared" si="25"/>
        <v>20994.643452237666</v>
      </c>
      <c r="J85" s="44">
        <f t="shared" si="25"/>
        <v>27840.705312454658</v>
      </c>
      <c r="K85" s="44">
        <f t="shared" si="25"/>
        <v>30579.355740844392</v>
      </c>
      <c r="L85" s="44">
        <f t="shared" si="25"/>
        <v>30755.355740844392</v>
      </c>
      <c r="M85" s="44">
        <f t="shared" si="25"/>
        <v>30755.355740844392</v>
      </c>
      <c r="N85" s="44">
        <f t="shared" si="25"/>
        <v>30755.355740844392</v>
      </c>
      <c r="O85" s="44">
        <f t="shared" si="25"/>
        <v>30755.355740844392</v>
      </c>
      <c r="P85" s="44">
        <f t="shared" si="25"/>
        <v>30755.355740844392</v>
      </c>
      <c r="Q85" s="44">
        <f t="shared" si="25"/>
        <v>30755.355740844392</v>
      </c>
      <c r="R85" s="44">
        <f t="shared" si="25"/>
        <v>30755.355740844392</v>
      </c>
      <c r="S85" s="44">
        <f t="shared" si="25"/>
        <v>30755.355740844392</v>
      </c>
      <c r="T85" s="44">
        <f t="shared" si="25"/>
        <v>30755.355740844392</v>
      </c>
      <c r="U85" s="44">
        <f t="shared" si="25"/>
        <v>30755.355740844392</v>
      </c>
      <c r="V85" s="44">
        <f t="shared" si="25"/>
        <v>30755.355740844392</v>
      </c>
      <c r="W85" s="44">
        <f t="shared" si="25"/>
        <v>30755.355740844392</v>
      </c>
      <c r="X85" s="44">
        <f t="shared" si="25"/>
        <v>30755.355740844392</v>
      </c>
      <c r="Y85" s="44">
        <f t="shared" si="25"/>
        <v>30755.355740844392</v>
      </c>
      <c r="Z85" s="44">
        <f t="shared" si="25"/>
        <v>30755.355740844392</v>
      </c>
      <c r="AA85" s="44">
        <f t="shared" si="25"/>
        <v>30755.355740844392</v>
      </c>
      <c r="AB85" s="44">
        <f t="shared" si="25"/>
        <v>30755.355740844392</v>
      </c>
      <c r="AC85" s="44">
        <f t="shared" si="25"/>
        <v>30755.355740844392</v>
      </c>
      <c r="AD85" s="44">
        <f t="shared" si="25"/>
        <v>30755.355740844392</v>
      </c>
      <c r="AE85" s="44">
        <f t="shared" si="25"/>
        <v>28995.355740844392</v>
      </c>
      <c r="AF85" s="44">
        <f t="shared" si="25"/>
        <v>30755.355740844392</v>
      </c>
      <c r="AG85" s="44">
        <f t="shared" si="25"/>
        <v>30755.355740844392</v>
      </c>
      <c r="AH85" s="44">
        <f t="shared" si="25"/>
        <v>30755.355740844392</v>
      </c>
      <c r="AI85" s="44">
        <f t="shared" si="25"/>
        <v>30755.355740844392</v>
      </c>
      <c r="AJ85" s="44">
        <f t="shared" ref="AJ85:BO85" si="26">AJ82-AJ83-AJ84</f>
        <v>30755.355740844392</v>
      </c>
      <c r="AK85" s="44">
        <f t="shared" si="26"/>
        <v>30755.355740844392</v>
      </c>
      <c r="AL85" s="44">
        <f t="shared" si="26"/>
        <v>30755.355740844392</v>
      </c>
      <c r="AM85" s="44">
        <f t="shared" si="26"/>
        <v>30755.355740844392</v>
      </c>
      <c r="AN85" s="44">
        <f t="shared" si="26"/>
        <v>30755.355740844392</v>
      </c>
      <c r="AO85" s="44">
        <f t="shared" si="26"/>
        <v>0</v>
      </c>
      <c r="AP85" s="44">
        <f t="shared" si="26"/>
        <v>0</v>
      </c>
      <c r="AQ85" s="44">
        <f t="shared" si="26"/>
        <v>0</v>
      </c>
      <c r="AR85" s="44">
        <f t="shared" si="26"/>
        <v>0</v>
      </c>
      <c r="AS85" s="44">
        <f t="shared" si="26"/>
        <v>0</v>
      </c>
      <c r="AT85" s="44">
        <f t="shared" si="26"/>
        <v>0</v>
      </c>
      <c r="AU85" s="44">
        <f t="shared" si="26"/>
        <v>0</v>
      </c>
      <c r="AV85" s="44">
        <f t="shared" si="26"/>
        <v>0</v>
      </c>
      <c r="AW85" s="44">
        <f t="shared" si="26"/>
        <v>0</v>
      </c>
      <c r="AX85" s="44">
        <f t="shared" si="26"/>
        <v>0</v>
      </c>
      <c r="AY85" s="44">
        <f t="shared" si="26"/>
        <v>0</v>
      </c>
      <c r="AZ85" s="44">
        <f t="shared" si="26"/>
        <v>0</v>
      </c>
      <c r="BA85" s="44">
        <f t="shared" si="26"/>
        <v>0</v>
      </c>
      <c r="BB85" s="44">
        <f t="shared" si="26"/>
        <v>0</v>
      </c>
      <c r="BC85" s="44">
        <f t="shared" si="26"/>
        <v>0</v>
      </c>
      <c r="BD85" s="44">
        <f t="shared" si="26"/>
        <v>0</v>
      </c>
      <c r="BE85" s="44">
        <f t="shared" si="26"/>
        <v>0</v>
      </c>
      <c r="BF85" s="44">
        <f t="shared" si="26"/>
        <v>0</v>
      </c>
      <c r="BG85" s="44">
        <f t="shared" si="26"/>
        <v>0</v>
      </c>
      <c r="BH85" s="44">
        <f t="shared" si="26"/>
        <v>0</v>
      </c>
      <c r="BI85" s="44">
        <f t="shared" si="26"/>
        <v>0</v>
      </c>
      <c r="BJ85" s="44">
        <f t="shared" si="26"/>
        <v>0</v>
      </c>
      <c r="BK85" s="44">
        <f t="shared" si="26"/>
        <v>0</v>
      </c>
      <c r="BL85" s="44">
        <f t="shared" si="26"/>
        <v>0</v>
      </c>
    </row>
    <row r="86" spans="1:64" x14ac:dyDescent="0.3">
      <c r="A86" s="8" t="s">
        <v>1013</v>
      </c>
      <c r="D86" s="44">
        <f>D85</f>
        <v>-55561.13521877984</v>
      </c>
      <c r="E86" s="44">
        <f t="shared" ref="E86:AJ86" si="27">D86+E85</f>
        <v>-61155.869028413399</v>
      </c>
      <c r="F86" s="44">
        <f t="shared" si="27"/>
        <v>-64801.359332911423</v>
      </c>
      <c r="G86" s="44">
        <f t="shared" si="27"/>
        <v>-61603.363791415628</v>
      </c>
      <c r="H86" s="44">
        <f t="shared" si="27"/>
        <v>-49507.930176088419</v>
      </c>
      <c r="I86" s="44">
        <f t="shared" si="27"/>
        <v>-28513.286723850753</v>
      </c>
      <c r="J86" s="44">
        <f t="shared" si="27"/>
        <v>-672.58141139609506</v>
      </c>
      <c r="K86" s="44">
        <f t="shared" si="27"/>
        <v>29906.774329448297</v>
      </c>
      <c r="L86" s="44">
        <f t="shared" si="27"/>
        <v>60662.130070292689</v>
      </c>
      <c r="M86" s="44">
        <f t="shared" si="27"/>
        <v>91417.485811137085</v>
      </c>
      <c r="N86" s="44">
        <f t="shared" si="27"/>
        <v>122172.84155198147</v>
      </c>
      <c r="O86" s="44">
        <f t="shared" si="27"/>
        <v>152928.19729282588</v>
      </c>
      <c r="P86" s="44">
        <f t="shared" si="27"/>
        <v>183683.55303367026</v>
      </c>
      <c r="Q86" s="44">
        <f t="shared" si="27"/>
        <v>214438.90877451465</v>
      </c>
      <c r="R86" s="44">
        <f t="shared" si="27"/>
        <v>245194.26451535904</v>
      </c>
      <c r="S86" s="44">
        <f t="shared" si="27"/>
        <v>275949.62025620346</v>
      </c>
      <c r="T86" s="44">
        <f t="shared" si="27"/>
        <v>306704.97599704785</v>
      </c>
      <c r="U86" s="44">
        <f t="shared" si="27"/>
        <v>337460.33173789224</v>
      </c>
      <c r="V86" s="44">
        <f t="shared" si="27"/>
        <v>368215.68747873663</v>
      </c>
      <c r="W86" s="44">
        <f t="shared" si="27"/>
        <v>398971.04321958101</v>
      </c>
      <c r="X86" s="44">
        <f t="shared" si="27"/>
        <v>429726.3989604254</v>
      </c>
      <c r="Y86" s="44">
        <f t="shared" si="27"/>
        <v>460481.75470126979</v>
      </c>
      <c r="Z86" s="44">
        <f t="shared" si="27"/>
        <v>491237.11044211418</v>
      </c>
      <c r="AA86" s="44">
        <f t="shared" si="27"/>
        <v>521992.46618295857</v>
      </c>
      <c r="AB86" s="44">
        <f t="shared" si="27"/>
        <v>552747.82192380296</v>
      </c>
      <c r="AC86" s="44">
        <f t="shared" si="27"/>
        <v>583503.17766464734</v>
      </c>
      <c r="AD86" s="44">
        <f t="shared" si="27"/>
        <v>614258.53340549173</v>
      </c>
      <c r="AE86" s="44">
        <f t="shared" si="27"/>
        <v>643253.88914633612</v>
      </c>
      <c r="AF86" s="44">
        <f t="shared" si="27"/>
        <v>674009.24488718051</v>
      </c>
      <c r="AG86" s="44">
        <f t="shared" si="27"/>
        <v>704764.6006280249</v>
      </c>
      <c r="AH86" s="44">
        <f t="shared" si="27"/>
        <v>735519.95636886929</v>
      </c>
      <c r="AI86" s="44">
        <f t="shared" si="27"/>
        <v>766275.31210971368</v>
      </c>
      <c r="AJ86" s="44">
        <f t="shared" si="27"/>
        <v>797030.66785055806</v>
      </c>
      <c r="AK86" s="44">
        <f t="shared" ref="AK86:BP86" si="28">AJ86+AK85</f>
        <v>827786.02359140245</v>
      </c>
      <c r="AL86" s="44">
        <f t="shared" si="28"/>
        <v>858541.37933224684</v>
      </c>
      <c r="AM86" s="44">
        <f t="shared" si="28"/>
        <v>889296.73507309123</v>
      </c>
      <c r="AN86" s="44">
        <f t="shared" si="28"/>
        <v>920052.09081393562</v>
      </c>
      <c r="AO86" s="44">
        <f t="shared" si="28"/>
        <v>920052.09081393562</v>
      </c>
      <c r="AP86" s="44">
        <f t="shared" si="28"/>
        <v>920052.09081393562</v>
      </c>
      <c r="AQ86" s="44">
        <f t="shared" si="28"/>
        <v>920052.09081393562</v>
      </c>
      <c r="AR86" s="44">
        <f t="shared" si="28"/>
        <v>920052.09081393562</v>
      </c>
      <c r="AS86" s="44">
        <f t="shared" si="28"/>
        <v>920052.09081393562</v>
      </c>
      <c r="AT86" s="44">
        <f t="shared" si="28"/>
        <v>920052.09081393562</v>
      </c>
      <c r="AU86" s="44">
        <f t="shared" si="28"/>
        <v>920052.09081393562</v>
      </c>
      <c r="AV86" s="44">
        <f t="shared" si="28"/>
        <v>920052.09081393562</v>
      </c>
      <c r="AW86" s="44">
        <f t="shared" si="28"/>
        <v>920052.09081393562</v>
      </c>
      <c r="AX86" s="44">
        <f t="shared" si="28"/>
        <v>920052.09081393562</v>
      </c>
      <c r="AY86" s="44">
        <f t="shared" si="28"/>
        <v>920052.09081393562</v>
      </c>
      <c r="AZ86" s="44">
        <f t="shared" si="28"/>
        <v>920052.09081393562</v>
      </c>
      <c r="BA86" s="44">
        <f t="shared" si="28"/>
        <v>920052.09081393562</v>
      </c>
      <c r="BB86" s="44">
        <f t="shared" si="28"/>
        <v>920052.09081393562</v>
      </c>
      <c r="BC86" s="44">
        <f t="shared" si="28"/>
        <v>920052.09081393562</v>
      </c>
      <c r="BD86" s="44">
        <f t="shared" si="28"/>
        <v>920052.09081393562</v>
      </c>
      <c r="BE86" s="44">
        <f t="shared" si="28"/>
        <v>920052.09081393562</v>
      </c>
      <c r="BF86" s="44">
        <f t="shared" si="28"/>
        <v>920052.09081393562</v>
      </c>
      <c r="BG86" s="44">
        <f t="shared" si="28"/>
        <v>920052.09081393562</v>
      </c>
      <c r="BH86" s="44">
        <f t="shared" si="28"/>
        <v>920052.09081393562</v>
      </c>
      <c r="BI86" s="44">
        <f t="shared" si="28"/>
        <v>920052.09081393562</v>
      </c>
      <c r="BJ86" s="44">
        <f t="shared" si="28"/>
        <v>920052.09081393562</v>
      </c>
      <c r="BK86" s="44">
        <f t="shared" si="28"/>
        <v>920052.09081393562</v>
      </c>
      <c r="BL86" s="44">
        <f t="shared" si="28"/>
        <v>920052.09081393562</v>
      </c>
    </row>
    <row r="87" spans="1:64" x14ac:dyDescent="0.3">
      <c r="A87" s="8" t="s">
        <v>1014</v>
      </c>
      <c r="C87" s="22">
        <f>IF(COUNT(E87:BL87)=0,"None",MIN(E87:BL87))</f>
        <v>7</v>
      </c>
      <c r="E87" s="22" t="str">
        <f>IF(AND(E$4&lt;=Org!$B$5,E86&gt;=0),E$4,"")</f>
        <v/>
      </c>
      <c r="F87" s="22" t="str">
        <f>IF(AND(F$4&lt;=Org!$B$5,F86&gt;=0),F$4,"")</f>
        <v/>
      </c>
      <c r="G87" s="22" t="str">
        <f>IF(AND(G$4&lt;=Org!$B$5,G86&gt;=0),G$4,"")</f>
        <v/>
      </c>
      <c r="H87" s="22" t="str">
        <f>IF(AND(H$4&lt;=Org!$B$5,H86&gt;=0),H$4,"")</f>
        <v/>
      </c>
      <c r="I87" s="22" t="str">
        <f>IF(AND(I$4&lt;=Org!$B$5,I86&gt;=0),I$4,"")</f>
        <v/>
      </c>
      <c r="J87" s="22" t="str">
        <f>IF(AND(J$4&lt;=Org!$B$5,J86&gt;=0),J$4,"")</f>
        <v/>
      </c>
      <c r="K87" s="22">
        <f>IF(AND(K$4&lt;=Org!$B$5,K86&gt;=0),K$4,"")</f>
        <v>7</v>
      </c>
      <c r="L87" s="22">
        <f>IF(AND(L$4&lt;=Org!$B$5,L86&gt;=0),L$4,"")</f>
        <v>8</v>
      </c>
      <c r="M87" s="22">
        <f>IF(AND(M$4&lt;=Org!$B$5,M86&gt;=0),M$4,"")</f>
        <v>9</v>
      </c>
      <c r="N87" s="22">
        <f>IF(AND(N$4&lt;=Org!$B$5,N86&gt;=0),N$4,"")</f>
        <v>10</v>
      </c>
      <c r="O87" s="22">
        <f>IF(AND(O$4&lt;=Org!$B$5,O86&gt;=0),O$4,"")</f>
        <v>11</v>
      </c>
      <c r="P87" s="22">
        <f>IF(AND(P$4&lt;=Org!$B$5,P86&gt;=0),P$4,"")</f>
        <v>12</v>
      </c>
      <c r="Q87" s="22">
        <f>IF(AND(Q$4&lt;=Org!$B$5,Q86&gt;=0),Q$4,"")</f>
        <v>13</v>
      </c>
      <c r="R87" s="22">
        <f>IF(AND(R$4&lt;=Org!$B$5,R86&gt;=0),R$4,"")</f>
        <v>14</v>
      </c>
      <c r="S87" s="22">
        <f>IF(AND(S$4&lt;=Org!$B$5,S86&gt;=0),S$4,"")</f>
        <v>15</v>
      </c>
      <c r="T87" s="22">
        <f>IF(AND(T$4&lt;=Org!$B$5,T86&gt;=0),T$4,"")</f>
        <v>16</v>
      </c>
      <c r="U87" s="22">
        <f>IF(AND(U$4&lt;=Org!$B$5,U86&gt;=0),U$4,"")</f>
        <v>17</v>
      </c>
      <c r="V87" s="22">
        <f>IF(AND(V$4&lt;=Org!$B$5,V86&gt;=0),V$4,"")</f>
        <v>18</v>
      </c>
      <c r="W87" s="22">
        <f>IF(AND(W$4&lt;=Org!$B$5,W86&gt;=0),W$4,"")</f>
        <v>19</v>
      </c>
      <c r="X87" s="22">
        <f>IF(AND(X$4&lt;=Org!$B$5,X86&gt;=0),X$4,"")</f>
        <v>20</v>
      </c>
      <c r="Y87" s="22">
        <f>IF(AND(Y$4&lt;=Org!$B$5,Y86&gt;=0),Y$4,"")</f>
        <v>21</v>
      </c>
      <c r="Z87" s="22">
        <f>IF(AND(Z$4&lt;=Org!$B$5,Z86&gt;=0),Z$4,"")</f>
        <v>22</v>
      </c>
      <c r="AA87" s="22">
        <f>IF(AND(AA$4&lt;=Org!$B$5,AA86&gt;=0),AA$4,"")</f>
        <v>23</v>
      </c>
      <c r="AB87" s="22">
        <f>IF(AND(AB$4&lt;=Org!$B$5,AB86&gt;=0),AB$4,"")</f>
        <v>24</v>
      </c>
      <c r="AC87" s="22">
        <f>IF(AND(AC$4&lt;=Org!$B$5,AC86&gt;=0),AC$4,"")</f>
        <v>25</v>
      </c>
      <c r="AD87" s="22">
        <f>IF(AND(AD$4&lt;=Org!$B$5,AD86&gt;=0),AD$4,"")</f>
        <v>26</v>
      </c>
      <c r="AE87" s="22">
        <f>IF(AND(AE$4&lt;=Org!$B$5,AE86&gt;=0),AE$4,"")</f>
        <v>27</v>
      </c>
      <c r="AF87" s="22">
        <f>IF(AND(AF$4&lt;=Org!$B$5,AF86&gt;=0),AF$4,"")</f>
        <v>28</v>
      </c>
      <c r="AG87" s="22">
        <f>IF(AND(AG$4&lt;=Org!$B$5,AG86&gt;=0),AG$4,"")</f>
        <v>29</v>
      </c>
      <c r="AH87" s="22">
        <f>IF(AND(AH$4&lt;=Org!$B$5,AH86&gt;=0),AH$4,"")</f>
        <v>30</v>
      </c>
      <c r="AI87" s="22">
        <f>IF(AND(AI$4&lt;=Org!$B$5,AI86&gt;=0),AI$4,"")</f>
        <v>31</v>
      </c>
      <c r="AJ87" s="22">
        <f>IF(AND(AJ$4&lt;=Org!$B$5,AJ86&gt;=0),AJ$4,"")</f>
        <v>32</v>
      </c>
      <c r="AK87" s="22">
        <f>IF(AND(AK$4&lt;=Org!$B$5,AK86&gt;=0),AK$4,"")</f>
        <v>33</v>
      </c>
      <c r="AL87" s="22">
        <f>IF(AND(AL$4&lt;=Org!$B$5,AL86&gt;=0),AL$4,"")</f>
        <v>34</v>
      </c>
      <c r="AM87" s="22">
        <f>IF(AND(AM$4&lt;=Org!$B$5,AM86&gt;=0),AM$4,"")</f>
        <v>35</v>
      </c>
      <c r="AN87" s="22">
        <f>IF(AND(AN$4&lt;=Org!$B$5,AN86&gt;=0),AN$4,"")</f>
        <v>36</v>
      </c>
      <c r="AO87" s="22" t="str">
        <f>IF(AND(AO$4&lt;=Org!$B$5,AO86&gt;=0),AO$4,"")</f>
        <v/>
      </c>
      <c r="AP87" s="22" t="str">
        <f>IF(AND(AP$4&lt;=Org!$B$5,AP86&gt;=0),AP$4,"")</f>
        <v/>
      </c>
      <c r="AQ87" s="22" t="str">
        <f>IF(AND(AQ$4&lt;=Org!$B$5,AQ86&gt;=0),AQ$4,"")</f>
        <v/>
      </c>
      <c r="AR87" s="22" t="str">
        <f>IF(AND(AR$4&lt;=Org!$B$5,AR86&gt;=0),AR$4,"")</f>
        <v/>
      </c>
      <c r="AS87" s="22" t="str">
        <f>IF(AND(AS$4&lt;=Org!$B$5,AS86&gt;=0),AS$4,"")</f>
        <v/>
      </c>
      <c r="AT87" s="22" t="str">
        <f>IF(AND(AT$4&lt;=Org!$B$5,AT86&gt;=0),AT$4,"")</f>
        <v/>
      </c>
      <c r="AU87" s="22" t="str">
        <f>IF(AND(AU$4&lt;=Org!$B$5,AU86&gt;=0),AU$4,"")</f>
        <v/>
      </c>
      <c r="AV87" s="22" t="str">
        <f>IF(AND(AV$4&lt;=Org!$B$5,AV86&gt;=0),AV$4,"")</f>
        <v/>
      </c>
      <c r="AW87" s="22" t="str">
        <f>IF(AND(AW$4&lt;=Org!$B$5,AW86&gt;=0),AW$4,"")</f>
        <v/>
      </c>
      <c r="AX87" s="22" t="str">
        <f>IF(AND(AX$4&lt;=Org!$B$5,AX86&gt;=0),AX$4,"")</f>
        <v/>
      </c>
      <c r="AY87" s="22" t="str">
        <f>IF(AND(AY$4&lt;=Org!$B$5,AY86&gt;=0),AY$4,"")</f>
        <v/>
      </c>
      <c r="AZ87" s="22" t="str">
        <f>IF(AND(AZ$4&lt;=Org!$B$5,AZ86&gt;=0),AZ$4,"")</f>
        <v/>
      </c>
      <c r="BA87" s="22" t="str">
        <f>IF(AND(BA$4&lt;=Org!$B$5,BA86&gt;=0),BA$4,"")</f>
        <v/>
      </c>
      <c r="BB87" s="22" t="str">
        <f>IF(AND(BB$4&lt;=Org!$B$5,BB86&gt;=0),BB$4,"")</f>
        <v/>
      </c>
      <c r="BC87" s="22" t="str">
        <f>IF(AND(BC$4&lt;=Org!$B$5,BC86&gt;=0),BC$4,"")</f>
        <v/>
      </c>
      <c r="BD87" s="22" t="str">
        <f>IF(AND(BD$4&lt;=Org!$B$5,BD86&gt;=0),BD$4,"")</f>
        <v/>
      </c>
      <c r="BE87" s="22" t="str">
        <f>IF(AND(BE$4&lt;=Org!$B$5,BE86&gt;=0),BE$4,"")</f>
        <v/>
      </c>
      <c r="BF87" s="22" t="str">
        <f>IF(AND(BF$4&lt;=Org!$B$5,BF86&gt;=0),BF$4,"")</f>
        <v/>
      </c>
      <c r="BG87" s="22" t="str">
        <f>IF(AND(BG$4&lt;=Org!$B$5,BG86&gt;=0),BG$4,"")</f>
        <v/>
      </c>
      <c r="BH87" s="22" t="str">
        <f>IF(AND(BH$4&lt;=Org!$B$5,BH86&gt;=0),BH$4,"")</f>
        <v/>
      </c>
      <c r="BI87" s="22" t="str">
        <f>IF(AND(BI$4&lt;=Org!$B$5,BI86&gt;=0),BI$4,"")</f>
        <v/>
      </c>
      <c r="BJ87" s="22" t="str">
        <f>IF(AND(BJ$4&lt;=Org!$B$5,BJ86&gt;=0),BJ$4,"")</f>
        <v/>
      </c>
      <c r="BK87" s="22" t="str">
        <f>IF(AND(BK$4&lt;=Org!$B$5,BK86&gt;=0),BK$4,"")</f>
        <v/>
      </c>
      <c r="BL87" s="22" t="str">
        <f>IF(AND(BL$4&lt;=Org!$B$5,BL86&gt;=0),BL$4,"")</f>
        <v/>
      </c>
    </row>
    <row r="89" spans="1:64" x14ac:dyDescent="0.3">
      <c r="A89" s="17" t="str">
        <f>Teams!$F$4</f>
        <v>Regulated document review</v>
      </c>
      <c r="B89" s="18" t="s">
        <v>1009</v>
      </c>
      <c r="C89" s="50">
        <f>(Teams!$F$29*(1-Teams!$F$31)*Params!$D$39*Params!$D$21*IF(Teams!$F$36="Yes",Params!$D$22,1)*Teams!$F$68*Teams!$F$70+Teams!$F$30*(1-Teams!$F$31)*Params!$D$39*Params!$D$21*IF(Teams!$F$36="Yes",Params!$D$22,1)*Teams!$F$69)/1000000*Teams!$F$71*Teams!$F$35</f>
        <v>6.7404644999999999E-2</v>
      </c>
    </row>
    <row r="90" spans="1:64" x14ac:dyDescent="0.3">
      <c r="A90" s="8" t="s">
        <v>1010</v>
      </c>
      <c r="E90" s="26">
        <f>IF(E$4&lt;Teams!$F$80,0,IF(Teams!$F$22="S",MIN(1,(E$4-Teams!$F$80+1)/Teams!$F$21)^2*(3-2*MIN(1,(E$4-Teams!$F$80+1)/Teams!$F$21)),MIN(1,(E$4-Teams!$F$80+1)/Teams!$F$21)))</f>
        <v>0</v>
      </c>
      <c r="F90" s="26">
        <f>IF(F$4&lt;Teams!$F$80,0,IF(Teams!$F$22="S",MIN(1,(F$4-Teams!$F$80+1)/Teams!$F$21)^2*(3-2*MIN(1,(F$4-Teams!$F$80+1)/Teams!$F$21)),MIN(1,(F$4-Teams!$F$80+1)/Teams!$F$21)))</f>
        <v>0</v>
      </c>
      <c r="G90" s="26">
        <f>IF(G$4&lt;Teams!$F$80,0,IF(Teams!$F$22="S",MIN(1,(G$4-Teams!$F$80+1)/Teams!$F$21)^2*(3-2*MIN(1,(G$4-Teams!$F$80+1)/Teams!$F$21)),MIN(1,(G$4-Teams!$F$80+1)/Teams!$F$21)))</f>
        <v>0.10400000000000002</v>
      </c>
      <c r="H90" s="26">
        <f>IF(H$4&lt;Teams!$F$80,0,IF(Teams!$F$22="S",MIN(1,(H$4-Teams!$F$80+1)/Teams!$F$21)^2*(3-2*MIN(1,(H$4-Teams!$F$80+1)/Teams!$F$21)),MIN(1,(H$4-Teams!$F$80+1)/Teams!$F$21)))</f>
        <v>0.35200000000000009</v>
      </c>
      <c r="I90" s="26">
        <f>IF(I$4&lt;Teams!$F$80,0,IF(Teams!$F$22="S",MIN(1,(I$4-Teams!$F$80+1)/Teams!$F$21)^2*(3-2*MIN(1,(I$4-Teams!$F$80+1)/Teams!$F$21)),MIN(1,(I$4-Teams!$F$80+1)/Teams!$F$21)))</f>
        <v>0.64800000000000002</v>
      </c>
      <c r="J90" s="26">
        <f>IF(J$4&lt;Teams!$F$80,0,IF(Teams!$F$22="S",MIN(1,(J$4-Teams!$F$80+1)/Teams!$F$21)^2*(3-2*MIN(1,(J$4-Teams!$F$80+1)/Teams!$F$21)),MIN(1,(J$4-Teams!$F$80+1)/Teams!$F$21)))</f>
        <v>0.89600000000000013</v>
      </c>
      <c r="K90" s="26">
        <f>IF(K$4&lt;Teams!$F$80,0,IF(Teams!$F$22="S",MIN(1,(K$4-Teams!$F$80+1)/Teams!$F$21)^2*(3-2*MIN(1,(K$4-Teams!$F$80+1)/Teams!$F$21)),MIN(1,(K$4-Teams!$F$80+1)/Teams!$F$21)))</f>
        <v>1</v>
      </c>
      <c r="L90" s="26">
        <f>IF(L$4&lt;Teams!$F$80,0,IF(Teams!$F$22="S",MIN(1,(L$4-Teams!$F$80+1)/Teams!$F$21)^2*(3-2*MIN(1,(L$4-Teams!$F$80+1)/Teams!$F$21)),MIN(1,(L$4-Teams!$F$80+1)/Teams!$F$21)))</f>
        <v>1</v>
      </c>
      <c r="M90" s="26">
        <f>IF(M$4&lt;Teams!$F$80,0,IF(Teams!$F$22="S",MIN(1,(M$4-Teams!$F$80+1)/Teams!$F$21)^2*(3-2*MIN(1,(M$4-Teams!$F$80+1)/Teams!$F$21)),MIN(1,(M$4-Teams!$F$80+1)/Teams!$F$21)))</f>
        <v>1</v>
      </c>
      <c r="N90" s="26">
        <f>IF(N$4&lt;Teams!$F$80,0,IF(Teams!$F$22="S",MIN(1,(N$4-Teams!$F$80+1)/Teams!$F$21)^2*(3-2*MIN(1,(N$4-Teams!$F$80+1)/Teams!$F$21)),MIN(1,(N$4-Teams!$F$80+1)/Teams!$F$21)))</f>
        <v>1</v>
      </c>
      <c r="O90" s="26">
        <f>IF(O$4&lt;Teams!$F$80,0,IF(Teams!$F$22="S",MIN(1,(O$4-Teams!$F$80+1)/Teams!$F$21)^2*(3-2*MIN(1,(O$4-Teams!$F$80+1)/Teams!$F$21)),MIN(1,(O$4-Teams!$F$80+1)/Teams!$F$21)))</f>
        <v>1</v>
      </c>
      <c r="P90" s="26">
        <f>IF(P$4&lt;Teams!$F$80,0,IF(Teams!$F$22="S",MIN(1,(P$4-Teams!$F$80+1)/Teams!$F$21)^2*(3-2*MIN(1,(P$4-Teams!$F$80+1)/Teams!$F$21)),MIN(1,(P$4-Teams!$F$80+1)/Teams!$F$21)))</f>
        <v>1</v>
      </c>
      <c r="Q90" s="26">
        <f>IF(Q$4&lt;Teams!$F$80,0,IF(Teams!$F$22="S",MIN(1,(Q$4-Teams!$F$80+1)/Teams!$F$21)^2*(3-2*MIN(1,(Q$4-Teams!$F$80+1)/Teams!$F$21)),MIN(1,(Q$4-Teams!$F$80+1)/Teams!$F$21)))</f>
        <v>1</v>
      </c>
      <c r="R90" s="26">
        <f>IF(R$4&lt;Teams!$F$80,0,IF(Teams!$F$22="S",MIN(1,(R$4-Teams!$F$80+1)/Teams!$F$21)^2*(3-2*MIN(1,(R$4-Teams!$F$80+1)/Teams!$F$21)),MIN(1,(R$4-Teams!$F$80+1)/Teams!$F$21)))</f>
        <v>1</v>
      </c>
      <c r="S90" s="26">
        <f>IF(S$4&lt;Teams!$F$80,0,IF(Teams!$F$22="S",MIN(1,(S$4-Teams!$F$80+1)/Teams!$F$21)^2*(3-2*MIN(1,(S$4-Teams!$F$80+1)/Teams!$F$21)),MIN(1,(S$4-Teams!$F$80+1)/Teams!$F$21)))</f>
        <v>1</v>
      </c>
      <c r="T90" s="26">
        <f>IF(T$4&lt;Teams!$F$80,0,IF(Teams!$F$22="S",MIN(1,(T$4-Teams!$F$80+1)/Teams!$F$21)^2*(3-2*MIN(1,(T$4-Teams!$F$80+1)/Teams!$F$21)),MIN(1,(T$4-Teams!$F$80+1)/Teams!$F$21)))</f>
        <v>1</v>
      </c>
      <c r="U90" s="26">
        <f>IF(U$4&lt;Teams!$F$80,0,IF(Teams!$F$22="S",MIN(1,(U$4-Teams!$F$80+1)/Teams!$F$21)^2*(3-2*MIN(1,(U$4-Teams!$F$80+1)/Teams!$F$21)),MIN(1,(U$4-Teams!$F$80+1)/Teams!$F$21)))</f>
        <v>1</v>
      </c>
      <c r="V90" s="26">
        <f>IF(V$4&lt;Teams!$F$80,0,IF(Teams!$F$22="S",MIN(1,(V$4-Teams!$F$80+1)/Teams!$F$21)^2*(3-2*MIN(1,(V$4-Teams!$F$80+1)/Teams!$F$21)),MIN(1,(V$4-Teams!$F$80+1)/Teams!$F$21)))</f>
        <v>1</v>
      </c>
      <c r="W90" s="26">
        <f>IF(W$4&lt;Teams!$F$80,0,IF(Teams!$F$22="S",MIN(1,(W$4-Teams!$F$80+1)/Teams!$F$21)^2*(3-2*MIN(1,(W$4-Teams!$F$80+1)/Teams!$F$21)),MIN(1,(W$4-Teams!$F$80+1)/Teams!$F$21)))</f>
        <v>1</v>
      </c>
      <c r="X90" s="26">
        <f>IF(X$4&lt;Teams!$F$80,0,IF(Teams!$F$22="S",MIN(1,(X$4-Teams!$F$80+1)/Teams!$F$21)^2*(3-2*MIN(1,(X$4-Teams!$F$80+1)/Teams!$F$21)),MIN(1,(X$4-Teams!$F$80+1)/Teams!$F$21)))</f>
        <v>1</v>
      </c>
      <c r="Y90" s="26">
        <f>IF(Y$4&lt;Teams!$F$80,0,IF(Teams!$F$22="S",MIN(1,(Y$4-Teams!$F$80+1)/Teams!$F$21)^2*(3-2*MIN(1,(Y$4-Teams!$F$80+1)/Teams!$F$21)),MIN(1,(Y$4-Teams!$F$80+1)/Teams!$F$21)))</f>
        <v>1</v>
      </c>
      <c r="Z90" s="26">
        <f>IF(Z$4&lt;Teams!$F$80,0,IF(Teams!$F$22="S",MIN(1,(Z$4-Teams!$F$80+1)/Teams!$F$21)^2*(3-2*MIN(1,(Z$4-Teams!$F$80+1)/Teams!$F$21)),MIN(1,(Z$4-Teams!$F$80+1)/Teams!$F$21)))</f>
        <v>1</v>
      </c>
      <c r="AA90" s="26">
        <f>IF(AA$4&lt;Teams!$F$80,0,IF(Teams!$F$22="S",MIN(1,(AA$4-Teams!$F$80+1)/Teams!$F$21)^2*(3-2*MIN(1,(AA$4-Teams!$F$80+1)/Teams!$F$21)),MIN(1,(AA$4-Teams!$F$80+1)/Teams!$F$21)))</f>
        <v>1</v>
      </c>
      <c r="AB90" s="26">
        <f>IF(AB$4&lt;Teams!$F$80,0,IF(Teams!$F$22="S",MIN(1,(AB$4-Teams!$F$80+1)/Teams!$F$21)^2*(3-2*MIN(1,(AB$4-Teams!$F$80+1)/Teams!$F$21)),MIN(1,(AB$4-Teams!$F$80+1)/Teams!$F$21)))</f>
        <v>1</v>
      </c>
      <c r="AC90" s="26">
        <f>IF(AC$4&lt;Teams!$F$80,0,IF(Teams!$F$22="S",MIN(1,(AC$4-Teams!$F$80+1)/Teams!$F$21)^2*(3-2*MIN(1,(AC$4-Teams!$F$80+1)/Teams!$F$21)),MIN(1,(AC$4-Teams!$F$80+1)/Teams!$F$21)))</f>
        <v>1</v>
      </c>
      <c r="AD90" s="26">
        <f>IF(AD$4&lt;Teams!$F$80,0,IF(Teams!$F$22="S",MIN(1,(AD$4-Teams!$F$80+1)/Teams!$F$21)^2*(3-2*MIN(1,(AD$4-Teams!$F$80+1)/Teams!$F$21)),MIN(1,(AD$4-Teams!$F$80+1)/Teams!$F$21)))</f>
        <v>1</v>
      </c>
      <c r="AE90" s="26">
        <f>IF(AE$4&lt;Teams!$F$80,0,IF(Teams!$F$22="S",MIN(1,(AE$4-Teams!$F$80+1)/Teams!$F$21)^2*(3-2*MIN(1,(AE$4-Teams!$F$80+1)/Teams!$F$21)),MIN(1,(AE$4-Teams!$F$80+1)/Teams!$F$21)))</f>
        <v>1</v>
      </c>
      <c r="AF90" s="26">
        <f>IF(AF$4&lt;Teams!$F$80,0,IF(Teams!$F$22="S",MIN(1,(AF$4-Teams!$F$80+1)/Teams!$F$21)^2*(3-2*MIN(1,(AF$4-Teams!$F$80+1)/Teams!$F$21)),MIN(1,(AF$4-Teams!$F$80+1)/Teams!$F$21)))</f>
        <v>1</v>
      </c>
      <c r="AG90" s="26">
        <f>IF(AG$4&lt;Teams!$F$80,0,IF(Teams!$F$22="S",MIN(1,(AG$4-Teams!$F$80+1)/Teams!$F$21)^2*(3-2*MIN(1,(AG$4-Teams!$F$80+1)/Teams!$F$21)),MIN(1,(AG$4-Teams!$F$80+1)/Teams!$F$21)))</f>
        <v>1</v>
      </c>
      <c r="AH90" s="26">
        <f>IF(AH$4&lt;Teams!$F$80,0,IF(Teams!$F$22="S",MIN(1,(AH$4-Teams!$F$80+1)/Teams!$F$21)^2*(3-2*MIN(1,(AH$4-Teams!$F$80+1)/Teams!$F$21)),MIN(1,(AH$4-Teams!$F$80+1)/Teams!$F$21)))</f>
        <v>1</v>
      </c>
      <c r="AI90" s="26">
        <f>IF(AI$4&lt;Teams!$F$80,0,IF(Teams!$F$22="S",MIN(1,(AI$4-Teams!$F$80+1)/Teams!$F$21)^2*(3-2*MIN(1,(AI$4-Teams!$F$80+1)/Teams!$F$21)),MIN(1,(AI$4-Teams!$F$80+1)/Teams!$F$21)))</f>
        <v>1</v>
      </c>
      <c r="AJ90" s="26">
        <f>IF(AJ$4&lt;Teams!$F$80,0,IF(Teams!$F$22="S",MIN(1,(AJ$4-Teams!$F$80+1)/Teams!$F$21)^2*(3-2*MIN(1,(AJ$4-Teams!$F$80+1)/Teams!$F$21)),MIN(1,(AJ$4-Teams!$F$80+1)/Teams!$F$21)))</f>
        <v>1</v>
      </c>
      <c r="AK90" s="26">
        <f>IF(AK$4&lt;Teams!$F$80,0,IF(Teams!$F$22="S",MIN(1,(AK$4-Teams!$F$80+1)/Teams!$F$21)^2*(3-2*MIN(1,(AK$4-Teams!$F$80+1)/Teams!$F$21)),MIN(1,(AK$4-Teams!$F$80+1)/Teams!$F$21)))</f>
        <v>1</v>
      </c>
      <c r="AL90" s="26">
        <f>IF(AL$4&lt;Teams!$F$80,0,IF(Teams!$F$22="S",MIN(1,(AL$4-Teams!$F$80+1)/Teams!$F$21)^2*(3-2*MIN(1,(AL$4-Teams!$F$80+1)/Teams!$F$21)),MIN(1,(AL$4-Teams!$F$80+1)/Teams!$F$21)))</f>
        <v>1</v>
      </c>
      <c r="AM90" s="26">
        <f>IF(AM$4&lt;Teams!$F$80,0,IF(Teams!$F$22="S",MIN(1,(AM$4-Teams!$F$80+1)/Teams!$F$21)^2*(3-2*MIN(1,(AM$4-Teams!$F$80+1)/Teams!$F$21)),MIN(1,(AM$4-Teams!$F$80+1)/Teams!$F$21)))</f>
        <v>1</v>
      </c>
      <c r="AN90" s="26">
        <f>IF(AN$4&lt;Teams!$F$80,0,IF(Teams!$F$22="S",MIN(1,(AN$4-Teams!$F$80+1)/Teams!$F$21)^2*(3-2*MIN(1,(AN$4-Teams!$F$80+1)/Teams!$F$21)),MIN(1,(AN$4-Teams!$F$80+1)/Teams!$F$21)))</f>
        <v>1</v>
      </c>
      <c r="AO90" s="26">
        <f>IF(AO$4&lt;Teams!$F$80,0,IF(Teams!$F$22="S",MIN(1,(AO$4-Teams!$F$80+1)/Teams!$F$21)^2*(3-2*MIN(1,(AO$4-Teams!$F$80+1)/Teams!$F$21)),MIN(1,(AO$4-Teams!$F$80+1)/Teams!$F$21)))</f>
        <v>1</v>
      </c>
      <c r="AP90" s="26">
        <f>IF(AP$4&lt;Teams!$F$80,0,IF(Teams!$F$22="S",MIN(1,(AP$4-Teams!$F$80+1)/Teams!$F$21)^2*(3-2*MIN(1,(AP$4-Teams!$F$80+1)/Teams!$F$21)),MIN(1,(AP$4-Teams!$F$80+1)/Teams!$F$21)))</f>
        <v>1</v>
      </c>
      <c r="AQ90" s="26">
        <f>IF(AQ$4&lt;Teams!$F$80,0,IF(Teams!$F$22="S",MIN(1,(AQ$4-Teams!$F$80+1)/Teams!$F$21)^2*(3-2*MIN(1,(AQ$4-Teams!$F$80+1)/Teams!$F$21)),MIN(1,(AQ$4-Teams!$F$80+1)/Teams!$F$21)))</f>
        <v>1</v>
      </c>
      <c r="AR90" s="26">
        <f>IF(AR$4&lt;Teams!$F$80,0,IF(Teams!$F$22="S",MIN(1,(AR$4-Teams!$F$80+1)/Teams!$F$21)^2*(3-2*MIN(1,(AR$4-Teams!$F$80+1)/Teams!$F$21)),MIN(1,(AR$4-Teams!$F$80+1)/Teams!$F$21)))</f>
        <v>1</v>
      </c>
      <c r="AS90" s="26">
        <f>IF(AS$4&lt;Teams!$F$80,0,IF(Teams!$F$22="S",MIN(1,(AS$4-Teams!$F$80+1)/Teams!$F$21)^2*(3-2*MIN(1,(AS$4-Teams!$F$80+1)/Teams!$F$21)),MIN(1,(AS$4-Teams!$F$80+1)/Teams!$F$21)))</f>
        <v>1</v>
      </c>
      <c r="AT90" s="26">
        <f>IF(AT$4&lt;Teams!$F$80,0,IF(Teams!$F$22="S",MIN(1,(AT$4-Teams!$F$80+1)/Teams!$F$21)^2*(3-2*MIN(1,(AT$4-Teams!$F$80+1)/Teams!$F$21)),MIN(1,(AT$4-Teams!$F$80+1)/Teams!$F$21)))</f>
        <v>1</v>
      </c>
      <c r="AU90" s="26">
        <f>IF(AU$4&lt;Teams!$F$80,0,IF(Teams!$F$22="S",MIN(1,(AU$4-Teams!$F$80+1)/Teams!$F$21)^2*(3-2*MIN(1,(AU$4-Teams!$F$80+1)/Teams!$F$21)),MIN(1,(AU$4-Teams!$F$80+1)/Teams!$F$21)))</f>
        <v>1</v>
      </c>
      <c r="AV90" s="26">
        <f>IF(AV$4&lt;Teams!$F$80,0,IF(Teams!$F$22="S",MIN(1,(AV$4-Teams!$F$80+1)/Teams!$F$21)^2*(3-2*MIN(1,(AV$4-Teams!$F$80+1)/Teams!$F$21)),MIN(1,(AV$4-Teams!$F$80+1)/Teams!$F$21)))</f>
        <v>1</v>
      </c>
      <c r="AW90" s="26">
        <f>IF(AW$4&lt;Teams!$F$80,0,IF(Teams!$F$22="S",MIN(1,(AW$4-Teams!$F$80+1)/Teams!$F$21)^2*(3-2*MIN(1,(AW$4-Teams!$F$80+1)/Teams!$F$21)),MIN(1,(AW$4-Teams!$F$80+1)/Teams!$F$21)))</f>
        <v>1</v>
      </c>
      <c r="AX90" s="26">
        <f>IF(AX$4&lt;Teams!$F$80,0,IF(Teams!$F$22="S",MIN(1,(AX$4-Teams!$F$80+1)/Teams!$F$21)^2*(3-2*MIN(1,(AX$4-Teams!$F$80+1)/Teams!$F$21)),MIN(1,(AX$4-Teams!$F$80+1)/Teams!$F$21)))</f>
        <v>1</v>
      </c>
      <c r="AY90" s="26">
        <f>IF(AY$4&lt;Teams!$F$80,0,IF(Teams!$F$22="S",MIN(1,(AY$4-Teams!$F$80+1)/Teams!$F$21)^2*(3-2*MIN(1,(AY$4-Teams!$F$80+1)/Teams!$F$21)),MIN(1,(AY$4-Teams!$F$80+1)/Teams!$F$21)))</f>
        <v>1</v>
      </c>
      <c r="AZ90" s="26">
        <f>IF(AZ$4&lt;Teams!$F$80,0,IF(Teams!$F$22="S",MIN(1,(AZ$4-Teams!$F$80+1)/Teams!$F$21)^2*(3-2*MIN(1,(AZ$4-Teams!$F$80+1)/Teams!$F$21)),MIN(1,(AZ$4-Teams!$F$80+1)/Teams!$F$21)))</f>
        <v>1</v>
      </c>
      <c r="BA90" s="26">
        <f>IF(BA$4&lt;Teams!$F$80,0,IF(Teams!$F$22="S",MIN(1,(BA$4-Teams!$F$80+1)/Teams!$F$21)^2*(3-2*MIN(1,(BA$4-Teams!$F$80+1)/Teams!$F$21)),MIN(1,(BA$4-Teams!$F$80+1)/Teams!$F$21)))</f>
        <v>1</v>
      </c>
      <c r="BB90" s="26">
        <f>IF(BB$4&lt;Teams!$F$80,0,IF(Teams!$F$22="S",MIN(1,(BB$4-Teams!$F$80+1)/Teams!$F$21)^2*(3-2*MIN(1,(BB$4-Teams!$F$80+1)/Teams!$F$21)),MIN(1,(BB$4-Teams!$F$80+1)/Teams!$F$21)))</f>
        <v>1</v>
      </c>
      <c r="BC90" s="26">
        <f>IF(BC$4&lt;Teams!$F$80,0,IF(Teams!$F$22="S",MIN(1,(BC$4-Teams!$F$80+1)/Teams!$F$21)^2*(3-2*MIN(1,(BC$4-Teams!$F$80+1)/Teams!$F$21)),MIN(1,(BC$4-Teams!$F$80+1)/Teams!$F$21)))</f>
        <v>1</v>
      </c>
      <c r="BD90" s="26">
        <f>IF(BD$4&lt;Teams!$F$80,0,IF(Teams!$F$22="S",MIN(1,(BD$4-Teams!$F$80+1)/Teams!$F$21)^2*(3-2*MIN(1,(BD$4-Teams!$F$80+1)/Teams!$F$21)),MIN(1,(BD$4-Teams!$F$80+1)/Teams!$F$21)))</f>
        <v>1</v>
      </c>
      <c r="BE90" s="26">
        <f>IF(BE$4&lt;Teams!$F$80,0,IF(Teams!$F$22="S",MIN(1,(BE$4-Teams!$F$80+1)/Teams!$F$21)^2*(3-2*MIN(1,(BE$4-Teams!$F$80+1)/Teams!$F$21)),MIN(1,(BE$4-Teams!$F$80+1)/Teams!$F$21)))</f>
        <v>1</v>
      </c>
      <c r="BF90" s="26">
        <f>IF(BF$4&lt;Teams!$F$80,0,IF(Teams!$F$22="S",MIN(1,(BF$4-Teams!$F$80+1)/Teams!$F$21)^2*(3-2*MIN(1,(BF$4-Teams!$F$80+1)/Teams!$F$21)),MIN(1,(BF$4-Teams!$F$80+1)/Teams!$F$21)))</f>
        <v>1</v>
      </c>
      <c r="BG90" s="26">
        <f>IF(BG$4&lt;Teams!$F$80,0,IF(Teams!$F$22="S",MIN(1,(BG$4-Teams!$F$80+1)/Teams!$F$21)^2*(3-2*MIN(1,(BG$4-Teams!$F$80+1)/Teams!$F$21)),MIN(1,(BG$4-Teams!$F$80+1)/Teams!$F$21)))</f>
        <v>1</v>
      </c>
      <c r="BH90" s="26">
        <f>IF(BH$4&lt;Teams!$F$80,0,IF(Teams!$F$22="S",MIN(1,(BH$4-Teams!$F$80+1)/Teams!$F$21)^2*(3-2*MIN(1,(BH$4-Teams!$F$80+1)/Teams!$F$21)),MIN(1,(BH$4-Teams!$F$80+1)/Teams!$F$21)))</f>
        <v>1</v>
      </c>
      <c r="BI90" s="26">
        <f>IF(BI$4&lt;Teams!$F$80,0,IF(Teams!$F$22="S",MIN(1,(BI$4-Teams!$F$80+1)/Teams!$F$21)^2*(3-2*MIN(1,(BI$4-Teams!$F$80+1)/Teams!$F$21)),MIN(1,(BI$4-Teams!$F$80+1)/Teams!$F$21)))</f>
        <v>1</v>
      </c>
      <c r="BJ90" s="26">
        <f>IF(BJ$4&lt;Teams!$F$80,0,IF(Teams!$F$22="S",MIN(1,(BJ$4-Teams!$F$80+1)/Teams!$F$21)^2*(3-2*MIN(1,(BJ$4-Teams!$F$80+1)/Teams!$F$21)),MIN(1,(BJ$4-Teams!$F$80+1)/Teams!$F$21)))</f>
        <v>1</v>
      </c>
      <c r="BK90" s="26">
        <f>IF(BK$4&lt;Teams!$F$80,0,IF(Teams!$F$22="S",MIN(1,(BK$4-Teams!$F$80+1)/Teams!$F$21)^2*(3-2*MIN(1,(BK$4-Teams!$F$80+1)/Teams!$F$21)),MIN(1,(BK$4-Teams!$F$80+1)/Teams!$F$21)))</f>
        <v>1</v>
      </c>
      <c r="BL90" s="26">
        <f>IF(BL$4&lt;Teams!$F$80,0,IF(Teams!$F$22="S",MIN(1,(BL$4-Teams!$F$80+1)/Teams!$F$21)^2*(3-2*MIN(1,(BL$4-Teams!$F$80+1)/Teams!$F$21)),MIN(1,(BL$4-Teams!$F$80+1)/Teams!$F$21)))</f>
        <v>1</v>
      </c>
    </row>
    <row r="91" spans="1:64" x14ac:dyDescent="0.3">
      <c r="A91" s="8" t="s">
        <v>160</v>
      </c>
      <c r="E91" s="22">
        <f>IF(E$4&gt;=Teams!$F$80,Teams!$F$18,0)</f>
        <v>0</v>
      </c>
      <c r="F91" s="22">
        <f>IF(F$4&gt;=Teams!$F$80,Teams!$F$18,0)</f>
        <v>0</v>
      </c>
      <c r="G91" s="22">
        <f>IF(G$4&gt;=Teams!$F$80,Teams!$F$18,0)</f>
        <v>150</v>
      </c>
      <c r="H91" s="22">
        <f>IF(H$4&gt;=Teams!$F$80,Teams!$F$18,0)</f>
        <v>150</v>
      </c>
      <c r="I91" s="22">
        <f>IF(I$4&gt;=Teams!$F$80,Teams!$F$18,0)</f>
        <v>150</v>
      </c>
      <c r="J91" s="22">
        <f>IF(J$4&gt;=Teams!$F$80,Teams!$F$18,0)</f>
        <v>150</v>
      </c>
      <c r="K91" s="22">
        <f>IF(K$4&gt;=Teams!$F$80,Teams!$F$18,0)</f>
        <v>150</v>
      </c>
      <c r="L91" s="22">
        <f>IF(L$4&gt;=Teams!$F$80,Teams!$F$18,0)</f>
        <v>150</v>
      </c>
      <c r="M91" s="22">
        <f>IF(M$4&gt;=Teams!$F$80,Teams!$F$18,0)</f>
        <v>150</v>
      </c>
      <c r="N91" s="22">
        <f>IF(N$4&gt;=Teams!$F$80,Teams!$F$18,0)</f>
        <v>150</v>
      </c>
      <c r="O91" s="22">
        <f>IF(O$4&gt;=Teams!$F$80,Teams!$F$18,0)</f>
        <v>150</v>
      </c>
      <c r="P91" s="22">
        <f>IF(P$4&gt;=Teams!$F$80,Teams!$F$18,0)</f>
        <v>150</v>
      </c>
      <c r="Q91" s="22">
        <f>IF(Q$4&gt;=Teams!$F$80,Teams!$F$18,0)</f>
        <v>150</v>
      </c>
      <c r="R91" s="22">
        <f>IF(R$4&gt;=Teams!$F$80,Teams!$F$18,0)</f>
        <v>150</v>
      </c>
      <c r="S91" s="22">
        <f>IF(S$4&gt;=Teams!$F$80,Teams!$F$18,0)</f>
        <v>150</v>
      </c>
      <c r="T91" s="22">
        <f>IF(T$4&gt;=Teams!$F$80,Teams!$F$18,0)</f>
        <v>150</v>
      </c>
      <c r="U91" s="22">
        <f>IF(U$4&gt;=Teams!$F$80,Teams!$F$18,0)</f>
        <v>150</v>
      </c>
      <c r="V91" s="22">
        <f>IF(V$4&gt;=Teams!$F$80,Teams!$F$18,0)</f>
        <v>150</v>
      </c>
      <c r="W91" s="22">
        <f>IF(W$4&gt;=Teams!$F$80,Teams!$F$18,0)</f>
        <v>150</v>
      </c>
      <c r="X91" s="22">
        <f>IF(X$4&gt;=Teams!$F$80,Teams!$F$18,0)</f>
        <v>150</v>
      </c>
      <c r="Y91" s="22">
        <f>IF(Y$4&gt;=Teams!$F$80,Teams!$F$18,0)</f>
        <v>150</v>
      </c>
      <c r="Z91" s="22">
        <f>IF(Z$4&gt;=Teams!$F$80,Teams!$F$18,0)</f>
        <v>150</v>
      </c>
      <c r="AA91" s="22">
        <f>IF(AA$4&gt;=Teams!$F$80,Teams!$F$18,0)</f>
        <v>150</v>
      </c>
      <c r="AB91" s="22">
        <f>IF(AB$4&gt;=Teams!$F$80,Teams!$F$18,0)</f>
        <v>150</v>
      </c>
      <c r="AC91" s="22">
        <f>IF(AC$4&gt;=Teams!$F$80,Teams!$F$18,0)</f>
        <v>150</v>
      </c>
      <c r="AD91" s="22">
        <f>IF(AD$4&gt;=Teams!$F$80,Teams!$F$18,0)</f>
        <v>150</v>
      </c>
      <c r="AE91" s="22">
        <f>IF(AE$4&gt;=Teams!$F$80,Teams!$F$18,0)</f>
        <v>150</v>
      </c>
      <c r="AF91" s="22">
        <f>IF(AF$4&gt;=Teams!$F$80,Teams!$F$18,0)</f>
        <v>150</v>
      </c>
      <c r="AG91" s="22">
        <f>IF(AG$4&gt;=Teams!$F$80,Teams!$F$18,0)</f>
        <v>150</v>
      </c>
      <c r="AH91" s="22">
        <f>IF(AH$4&gt;=Teams!$F$80,Teams!$F$18,0)</f>
        <v>150</v>
      </c>
      <c r="AI91" s="22">
        <f>IF(AI$4&gt;=Teams!$F$80,Teams!$F$18,0)</f>
        <v>150</v>
      </c>
      <c r="AJ91" s="22">
        <f>IF(AJ$4&gt;=Teams!$F$80,Teams!$F$18,0)</f>
        <v>150</v>
      </c>
      <c r="AK91" s="22">
        <f>IF(AK$4&gt;=Teams!$F$80,Teams!$F$18,0)</f>
        <v>150</v>
      </c>
      <c r="AL91" s="22">
        <f>IF(AL$4&gt;=Teams!$F$80,Teams!$F$18,0)</f>
        <v>150</v>
      </c>
      <c r="AM91" s="22">
        <f>IF(AM$4&gt;=Teams!$F$80,Teams!$F$18,0)</f>
        <v>150</v>
      </c>
      <c r="AN91" s="22">
        <f>IF(AN$4&gt;=Teams!$F$80,Teams!$F$18,0)</f>
        <v>150</v>
      </c>
      <c r="AO91" s="22">
        <f>IF(AO$4&gt;=Teams!$F$80,Teams!$F$18,0)</f>
        <v>150</v>
      </c>
      <c r="AP91" s="22">
        <f>IF(AP$4&gt;=Teams!$F$80,Teams!$F$18,0)</f>
        <v>150</v>
      </c>
      <c r="AQ91" s="22">
        <f>IF(AQ$4&gt;=Teams!$F$80,Teams!$F$18,0)</f>
        <v>150</v>
      </c>
      <c r="AR91" s="22">
        <f>IF(AR$4&gt;=Teams!$F$80,Teams!$F$18,0)</f>
        <v>150</v>
      </c>
      <c r="AS91" s="22">
        <f>IF(AS$4&gt;=Teams!$F$80,Teams!$F$18,0)</f>
        <v>150</v>
      </c>
      <c r="AT91" s="22">
        <f>IF(AT$4&gt;=Teams!$F$80,Teams!$F$18,0)</f>
        <v>150</v>
      </c>
      <c r="AU91" s="22">
        <f>IF(AU$4&gt;=Teams!$F$80,Teams!$F$18,0)</f>
        <v>150</v>
      </c>
      <c r="AV91" s="22">
        <f>IF(AV$4&gt;=Teams!$F$80,Teams!$F$18,0)</f>
        <v>150</v>
      </c>
      <c r="AW91" s="22">
        <f>IF(AW$4&gt;=Teams!$F$80,Teams!$F$18,0)</f>
        <v>150</v>
      </c>
      <c r="AX91" s="22">
        <f>IF(AX$4&gt;=Teams!$F$80,Teams!$F$18,0)</f>
        <v>150</v>
      </c>
      <c r="AY91" s="22">
        <f>IF(AY$4&gt;=Teams!$F$80,Teams!$F$18,0)</f>
        <v>150</v>
      </c>
      <c r="AZ91" s="22">
        <f>IF(AZ$4&gt;=Teams!$F$80,Teams!$F$18,0)</f>
        <v>150</v>
      </c>
      <c r="BA91" s="22">
        <f>IF(BA$4&gt;=Teams!$F$80,Teams!$F$18,0)</f>
        <v>150</v>
      </c>
      <c r="BB91" s="22">
        <f>IF(BB$4&gt;=Teams!$F$80,Teams!$F$18,0)</f>
        <v>150</v>
      </c>
      <c r="BC91" s="22">
        <f>IF(BC$4&gt;=Teams!$F$80,Teams!$F$18,0)</f>
        <v>150</v>
      </c>
      <c r="BD91" s="22">
        <f>IF(BD$4&gt;=Teams!$F$80,Teams!$F$18,0)</f>
        <v>150</v>
      </c>
      <c r="BE91" s="22">
        <f>IF(BE$4&gt;=Teams!$F$80,Teams!$F$18,0)</f>
        <v>150</v>
      </c>
      <c r="BF91" s="22">
        <f>IF(BF$4&gt;=Teams!$F$80,Teams!$F$18,0)</f>
        <v>150</v>
      </c>
      <c r="BG91" s="22">
        <f>IF(BG$4&gt;=Teams!$F$80,Teams!$F$18,0)</f>
        <v>150</v>
      </c>
      <c r="BH91" s="22">
        <f>IF(BH$4&gt;=Teams!$F$80,Teams!$F$18,0)</f>
        <v>150</v>
      </c>
      <c r="BI91" s="22">
        <f>IF(BI$4&gt;=Teams!$F$80,Teams!$F$18,0)</f>
        <v>150</v>
      </c>
      <c r="BJ91" s="22">
        <f>IF(BJ$4&gt;=Teams!$F$80,Teams!$F$18,0)</f>
        <v>150</v>
      </c>
      <c r="BK91" s="22">
        <f>IF(BK$4&gt;=Teams!$F$80,Teams!$F$18,0)</f>
        <v>150</v>
      </c>
      <c r="BL91" s="22">
        <f>IF(BL$4&gt;=Teams!$F$80,Teams!$F$18,0)</f>
        <v>150</v>
      </c>
    </row>
    <row r="92" spans="1:64" x14ac:dyDescent="0.3">
      <c r="A92" s="8" t="s">
        <v>1011</v>
      </c>
      <c r="C92" s="22">
        <f>SUMPRODUCT(E92:BL92,E$5:BL$5)</f>
        <v>3360</v>
      </c>
      <c r="E92" s="22">
        <f>E91*Teams!$F$19*E90</f>
        <v>0</v>
      </c>
      <c r="F92" s="22">
        <f>F91*Teams!$F$19*F90</f>
        <v>0</v>
      </c>
      <c r="G92" s="22">
        <f>G91*Teams!$F$19*G90</f>
        <v>10.920000000000002</v>
      </c>
      <c r="H92" s="22">
        <f>H91*Teams!$F$19*H90</f>
        <v>36.960000000000008</v>
      </c>
      <c r="I92" s="22">
        <f>I91*Teams!$F$19*I90</f>
        <v>68.040000000000006</v>
      </c>
      <c r="J92" s="22">
        <f>J91*Teams!$F$19*J90</f>
        <v>94.080000000000013</v>
      </c>
      <c r="K92" s="22">
        <f>K91*Teams!$F$19*K90</f>
        <v>105</v>
      </c>
      <c r="L92" s="22">
        <f>L91*Teams!$F$19*L90</f>
        <v>105</v>
      </c>
      <c r="M92" s="22">
        <f>M91*Teams!$F$19*M90</f>
        <v>105</v>
      </c>
      <c r="N92" s="22">
        <f>N91*Teams!$F$19*N90</f>
        <v>105</v>
      </c>
      <c r="O92" s="22">
        <f>O91*Teams!$F$19*O90</f>
        <v>105</v>
      </c>
      <c r="P92" s="22">
        <f>P91*Teams!$F$19*P90</f>
        <v>105</v>
      </c>
      <c r="Q92" s="22">
        <f>Q91*Teams!$F$19*Q90</f>
        <v>105</v>
      </c>
      <c r="R92" s="22">
        <f>R91*Teams!$F$19*R90</f>
        <v>105</v>
      </c>
      <c r="S92" s="22">
        <f>S91*Teams!$F$19*S90</f>
        <v>105</v>
      </c>
      <c r="T92" s="22">
        <f>T91*Teams!$F$19*T90</f>
        <v>105</v>
      </c>
      <c r="U92" s="22">
        <f>U91*Teams!$F$19*U90</f>
        <v>105</v>
      </c>
      <c r="V92" s="22">
        <f>V91*Teams!$F$19*V90</f>
        <v>105</v>
      </c>
      <c r="W92" s="22">
        <f>W91*Teams!$F$19*W90</f>
        <v>105</v>
      </c>
      <c r="X92" s="22">
        <f>X91*Teams!$F$19*X90</f>
        <v>105</v>
      </c>
      <c r="Y92" s="22">
        <f>Y91*Teams!$F$19*Y90</f>
        <v>105</v>
      </c>
      <c r="Z92" s="22">
        <f>Z91*Teams!$F$19*Z90</f>
        <v>105</v>
      </c>
      <c r="AA92" s="22">
        <f>AA91*Teams!$F$19*AA90</f>
        <v>105</v>
      </c>
      <c r="AB92" s="22">
        <f>AB91*Teams!$F$19*AB90</f>
        <v>105</v>
      </c>
      <c r="AC92" s="22">
        <f>AC91*Teams!$F$19*AC90</f>
        <v>105</v>
      </c>
      <c r="AD92" s="22">
        <f>AD91*Teams!$F$19*AD90</f>
        <v>105</v>
      </c>
      <c r="AE92" s="22">
        <f>AE91*Teams!$F$19*AE90</f>
        <v>105</v>
      </c>
      <c r="AF92" s="22">
        <f>AF91*Teams!$F$19*AF90</f>
        <v>105</v>
      </c>
      <c r="AG92" s="22">
        <f>AG91*Teams!$F$19*AG90</f>
        <v>105</v>
      </c>
      <c r="AH92" s="22">
        <f>AH91*Teams!$F$19*AH90</f>
        <v>105</v>
      </c>
      <c r="AI92" s="22">
        <f>AI91*Teams!$F$19*AI90</f>
        <v>105</v>
      </c>
      <c r="AJ92" s="22">
        <f>AJ91*Teams!$F$19*AJ90</f>
        <v>105</v>
      </c>
      <c r="AK92" s="22">
        <f>AK91*Teams!$F$19*AK90</f>
        <v>105</v>
      </c>
      <c r="AL92" s="22">
        <f>AL91*Teams!$F$19*AL90</f>
        <v>105</v>
      </c>
      <c r="AM92" s="22">
        <f>AM91*Teams!$F$19*AM90</f>
        <v>105</v>
      </c>
      <c r="AN92" s="22">
        <f>AN91*Teams!$F$19*AN90</f>
        <v>105</v>
      </c>
      <c r="AO92" s="22">
        <f>AO91*Teams!$F$19*AO90</f>
        <v>105</v>
      </c>
      <c r="AP92" s="22">
        <f>AP91*Teams!$F$19*AP90</f>
        <v>105</v>
      </c>
      <c r="AQ92" s="22">
        <f>AQ91*Teams!$F$19*AQ90</f>
        <v>105</v>
      </c>
      <c r="AR92" s="22">
        <f>AR91*Teams!$F$19*AR90</f>
        <v>105</v>
      </c>
      <c r="AS92" s="22">
        <f>AS91*Teams!$F$19*AS90</f>
        <v>105</v>
      </c>
      <c r="AT92" s="22">
        <f>AT91*Teams!$F$19*AT90</f>
        <v>105</v>
      </c>
      <c r="AU92" s="22">
        <f>AU91*Teams!$F$19*AU90</f>
        <v>105</v>
      </c>
      <c r="AV92" s="22">
        <f>AV91*Teams!$F$19*AV90</f>
        <v>105</v>
      </c>
      <c r="AW92" s="22">
        <f>AW91*Teams!$F$19*AW90</f>
        <v>105</v>
      </c>
      <c r="AX92" s="22">
        <f>AX91*Teams!$F$19*AX90</f>
        <v>105</v>
      </c>
      <c r="AY92" s="22">
        <f>AY91*Teams!$F$19*AY90</f>
        <v>105</v>
      </c>
      <c r="AZ92" s="22">
        <f>AZ91*Teams!$F$19*AZ90</f>
        <v>105</v>
      </c>
      <c r="BA92" s="22">
        <f>BA91*Teams!$F$19*BA90</f>
        <v>105</v>
      </c>
      <c r="BB92" s="22">
        <f>BB91*Teams!$F$19*BB90</f>
        <v>105</v>
      </c>
      <c r="BC92" s="22">
        <f>BC91*Teams!$F$19*BC90</f>
        <v>105</v>
      </c>
      <c r="BD92" s="22">
        <f>BD91*Teams!$F$19*BD90</f>
        <v>105</v>
      </c>
      <c r="BE92" s="22">
        <f>BE91*Teams!$F$19*BE90</f>
        <v>105</v>
      </c>
      <c r="BF92" s="22">
        <f>BF91*Teams!$F$19*BF90</f>
        <v>105</v>
      </c>
      <c r="BG92" s="22">
        <f>BG91*Teams!$F$19*BG90</f>
        <v>105</v>
      </c>
      <c r="BH92" s="22">
        <f>BH91*Teams!$F$19*BH90</f>
        <v>105</v>
      </c>
      <c r="BI92" s="22">
        <f>BI91*Teams!$F$19*BI90</f>
        <v>105</v>
      </c>
      <c r="BJ92" s="22">
        <f>BJ91*Teams!$F$19*BJ90</f>
        <v>105</v>
      </c>
      <c r="BK92" s="22">
        <f>BK91*Teams!$F$19*BK90</f>
        <v>105</v>
      </c>
      <c r="BL92" s="22">
        <f>BL91*Teams!$F$19*BL90</f>
        <v>105</v>
      </c>
    </row>
    <row r="93" spans="1:64" x14ac:dyDescent="0.3">
      <c r="A93" s="8" t="s">
        <v>28</v>
      </c>
      <c r="C93" s="22">
        <f>SUMPRODUCT(E93:BL93,E$5:BL$5)</f>
        <v>403200</v>
      </c>
      <c r="E93" s="22">
        <f>IF(Teams!$F$23="per user",E92*Teams!$F$24,Teams!$F$25*E90)</f>
        <v>0</v>
      </c>
      <c r="F93" s="22">
        <f>IF(Teams!$F$23="per user",F92*Teams!$F$24,Teams!$F$25*F90)</f>
        <v>0</v>
      </c>
      <c r="G93" s="22">
        <f>IF(Teams!$F$23="per user",G92*Teams!$F$24,Teams!$F$25*G90)</f>
        <v>1310.4000000000001</v>
      </c>
      <c r="H93" s="22">
        <f>IF(Teams!$F$23="per user",H92*Teams!$F$24,Teams!$F$25*H90)</f>
        <v>4435.2000000000007</v>
      </c>
      <c r="I93" s="22">
        <f>IF(Teams!$F$23="per user",I92*Teams!$F$24,Teams!$F$25*I90)</f>
        <v>8164.8000000000011</v>
      </c>
      <c r="J93" s="22">
        <f>IF(Teams!$F$23="per user",J92*Teams!$F$24,Teams!$F$25*J90)</f>
        <v>11289.600000000002</v>
      </c>
      <c r="K93" s="22">
        <f>IF(Teams!$F$23="per user",K92*Teams!$F$24,Teams!$F$25*K90)</f>
        <v>12600</v>
      </c>
      <c r="L93" s="22">
        <f>IF(Teams!$F$23="per user",L92*Teams!$F$24,Teams!$F$25*L90)</f>
        <v>12600</v>
      </c>
      <c r="M93" s="22">
        <f>IF(Teams!$F$23="per user",M92*Teams!$F$24,Teams!$F$25*M90)</f>
        <v>12600</v>
      </c>
      <c r="N93" s="22">
        <f>IF(Teams!$F$23="per user",N92*Teams!$F$24,Teams!$F$25*N90)</f>
        <v>12600</v>
      </c>
      <c r="O93" s="22">
        <f>IF(Teams!$F$23="per user",O92*Teams!$F$24,Teams!$F$25*O90)</f>
        <v>12600</v>
      </c>
      <c r="P93" s="22">
        <f>IF(Teams!$F$23="per user",P92*Teams!$F$24,Teams!$F$25*P90)</f>
        <v>12600</v>
      </c>
      <c r="Q93" s="22">
        <f>IF(Teams!$F$23="per user",Q92*Teams!$F$24,Teams!$F$25*Q90)</f>
        <v>12600</v>
      </c>
      <c r="R93" s="22">
        <f>IF(Teams!$F$23="per user",R92*Teams!$F$24,Teams!$F$25*R90)</f>
        <v>12600</v>
      </c>
      <c r="S93" s="22">
        <f>IF(Teams!$F$23="per user",S92*Teams!$F$24,Teams!$F$25*S90)</f>
        <v>12600</v>
      </c>
      <c r="T93" s="22">
        <f>IF(Teams!$F$23="per user",T92*Teams!$F$24,Teams!$F$25*T90)</f>
        <v>12600</v>
      </c>
      <c r="U93" s="22">
        <f>IF(Teams!$F$23="per user",U92*Teams!$F$24,Teams!$F$25*U90)</f>
        <v>12600</v>
      </c>
      <c r="V93" s="22">
        <f>IF(Teams!$F$23="per user",V92*Teams!$F$24,Teams!$F$25*V90)</f>
        <v>12600</v>
      </c>
      <c r="W93" s="22">
        <f>IF(Teams!$F$23="per user",W92*Teams!$F$24,Teams!$F$25*W90)</f>
        <v>12600</v>
      </c>
      <c r="X93" s="22">
        <f>IF(Teams!$F$23="per user",X92*Teams!$F$24,Teams!$F$25*X90)</f>
        <v>12600</v>
      </c>
      <c r="Y93" s="22">
        <f>IF(Teams!$F$23="per user",Y92*Teams!$F$24,Teams!$F$25*Y90)</f>
        <v>12600</v>
      </c>
      <c r="Z93" s="22">
        <f>IF(Teams!$F$23="per user",Z92*Teams!$F$24,Teams!$F$25*Z90)</f>
        <v>12600</v>
      </c>
      <c r="AA93" s="22">
        <f>IF(Teams!$F$23="per user",AA92*Teams!$F$24,Teams!$F$25*AA90)</f>
        <v>12600</v>
      </c>
      <c r="AB93" s="22">
        <f>IF(Teams!$F$23="per user",AB92*Teams!$F$24,Teams!$F$25*AB90)</f>
        <v>12600</v>
      </c>
      <c r="AC93" s="22">
        <f>IF(Teams!$F$23="per user",AC92*Teams!$F$24,Teams!$F$25*AC90)</f>
        <v>12600</v>
      </c>
      <c r="AD93" s="22">
        <f>IF(Teams!$F$23="per user",AD92*Teams!$F$24,Teams!$F$25*AD90)</f>
        <v>12600</v>
      </c>
      <c r="AE93" s="22">
        <f>IF(Teams!$F$23="per user",AE92*Teams!$F$24,Teams!$F$25*AE90)</f>
        <v>12600</v>
      </c>
      <c r="AF93" s="22">
        <f>IF(Teams!$F$23="per user",AF92*Teams!$F$24,Teams!$F$25*AF90)</f>
        <v>12600</v>
      </c>
      <c r="AG93" s="22">
        <f>IF(Teams!$F$23="per user",AG92*Teams!$F$24,Teams!$F$25*AG90)</f>
        <v>12600</v>
      </c>
      <c r="AH93" s="22">
        <f>IF(Teams!$F$23="per user",AH92*Teams!$F$24,Teams!$F$25*AH90)</f>
        <v>12600</v>
      </c>
      <c r="AI93" s="22">
        <f>IF(Teams!$F$23="per user",AI92*Teams!$F$24,Teams!$F$25*AI90)</f>
        <v>12600</v>
      </c>
      <c r="AJ93" s="22">
        <f>IF(Teams!$F$23="per user",AJ92*Teams!$F$24,Teams!$F$25*AJ90)</f>
        <v>12600</v>
      </c>
      <c r="AK93" s="22">
        <f>IF(Teams!$F$23="per user",AK92*Teams!$F$24,Teams!$F$25*AK90)</f>
        <v>12600</v>
      </c>
      <c r="AL93" s="22">
        <f>IF(Teams!$F$23="per user",AL92*Teams!$F$24,Teams!$F$25*AL90)</f>
        <v>12600</v>
      </c>
      <c r="AM93" s="22">
        <f>IF(Teams!$F$23="per user",AM92*Teams!$F$24,Teams!$F$25*AM90)</f>
        <v>12600</v>
      </c>
      <c r="AN93" s="22">
        <f>IF(Teams!$F$23="per user",AN92*Teams!$F$24,Teams!$F$25*AN90)</f>
        <v>12600</v>
      </c>
      <c r="AO93" s="22">
        <f>IF(Teams!$F$23="per user",AO92*Teams!$F$24,Teams!$F$25*AO90)</f>
        <v>12600</v>
      </c>
      <c r="AP93" s="22">
        <f>IF(Teams!$F$23="per user",AP92*Teams!$F$24,Teams!$F$25*AP90)</f>
        <v>12600</v>
      </c>
      <c r="AQ93" s="22">
        <f>IF(Teams!$F$23="per user",AQ92*Teams!$F$24,Teams!$F$25*AQ90)</f>
        <v>12600</v>
      </c>
      <c r="AR93" s="22">
        <f>IF(Teams!$F$23="per user",AR92*Teams!$F$24,Teams!$F$25*AR90)</f>
        <v>12600</v>
      </c>
      <c r="AS93" s="22">
        <f>IF(Teams!$F$23="per user",AS92*Teams!$F$24,Teams!$F$25*AS90)</f>
        <v>12600</v>
      </c>
      <c r="AT93" s="22">
        <f>IF(Teams!$F$23="per user",AT92*Teams!$F$24,Teams!$F$25*AT90)</f>
        <v>12600</v>
      </c>
      <c r="AU93" s="22">
        <f>IF(Teams!$F$23="per user",AU92*Teams!$F$24,Teams!$F$25*AU90)</f>
        <v>12600</v>
      </c>
      <c r="AV93" s="22">
        <f>IF(Teams!$F$23="per user",AV92*Teams!$F$24,Teams!$F$25*AV90)</f>
        <v>12600</v>
      </c>
      <c r="AW93" s="22">
        <f>IF(Teams!$F$23="per user",AW92*Teams!$F$24,Teams!$F$25*AW90)</f>
        <v>12600</v>
      </c>
      <c r="AX93" s="22">
        <f>IF(Teams!$F$23="per user",AX92*Teams!$F$24,Teams!$F$25*AX90)</f>
        <v>12600</v>
      </c>
      <c r="AY93" s="22">
        <f>IF(Teams!$F$23="per user",AY92*Teams!$F$24,Teams!$F$25*AY90)</f>
        <v>12600</v>
      </c>
      <c r="AZ93" s="22">
        <f>IF(Teams!$F$23="per user",AZ92*Teams!$F$24,Teams!$F$25*AZ90)</f>
        <v>12600</v>
      </c>
      <c r="BA93" s="22">
        <f>IF(Teams!$F$23="per user",BA92*Teams!$F$24,Teams!$F$25*BA90)</f>
        <v>12600</v>
      </c>
      <c r="BB93" s="22">
        <f>IF(Teams!$F$23="per user",BB92*Teams!$F$24,Teams!$F$25*BB90)</f>
        <v>12600</v>
      </c>
      <c r="BC93" s="22">
        <f>IF(Teams!$F$23="per user",BC92*Teams!$F$24,Teams!$F$25*BC90)</f>
        <v>12600</v>
      </c>
      <c r="BD93" s="22">
        <f>IF(Teams!$F$23="per user",BD92*Teams!$F$24,Teams!$F$25*BD90)</f>
        <v>12600</v>
      </c>
      <c r="BE93" s="22">
        <f>IF(Teams!$F$23="per user",BE92*Teams!$F$24,Teams!$F$25*BE90)</f>
        <v>12600</v>
      </c>
      <c r="BF93" s="22">
        <f>IF(Teams!$F$23="per user",BF92*Teams!$F$24,Teams!$F$25*BF90)</f>
        <v>12600</v>
      </c>
      <c r="BG93" s="22">
        <f>IF(Teams!$F$23="per user",BG92*Teams!$F$24,Teams!$F$25*BG90)</f>
        <v>12600</v>
      </c>
      <c r="BH93" s="22">
        <f>IF(Teams!$F$23="per user",BH92*Teams!$F$24,Teams!$F$25*BH90)</f>
        <v>12600</v>
      </c>
      <c r="BI93" s="22">
        <f>IF(Teams!$F$23="per user",BI92*Teams!$F$24,Teams!$F$25*BI90)</f>
        <v>12600</v>
      </c>
      <c r="BJ93" s="22">
        <f>IF(Teams!$F$23="per user",BJ92*Teams!$F$24,Teams!$F$25*BJ90)</f>
        <v>12600</v>
      </c>
      <c r="BK93" s="22">
        <f>IF(Teams!$F$23="per user",BK92*Teams!$F$24,Teams!$F$25*BK90)</f>
        <v>12600</v>
      </c>
      <c r="BL93" s="22">
        <f>IF(Teams!$F$23="per user",BL92*Teams!$F$24,Teams!$F$25*BL90)</f>
        <v>12600</v>
      </c>
    </row>
    <row r="94" spans="1:64" x14ac:dyDescent="0.3">
      <c r="A94" s="8" t="s">
        <v>665</v>
      </c>
      <c r="B94" s="18" t="s">
        <v>435</v>
      </c>
      <c r="C94" s="44">
        <f t="shared" ref="C94:C112" si="29">SUM(D94:BL94)</f>
        <v>0</v>
      </c>
      <c r="E94" s="44">
        <f>E$5*Teams!$F$60*E91*Teams!$F$66</f>
        <v>0</v>
      </c>
      <c r="F94" s="44">
        <f>F$5*Teams!$F$60*F91*Teams!$F$66</f>
        <v>0</v>
      </c>
      <c r="G94" s="44">
        <f>G$5*Teams!$F$60*G91*Teams!$F$66</f>
        <v>0</v>
      </c>
      <c r="H94" s="44">
        <f>H$5*Teams!$F$60*H91*Teams!$F$66</f>
        <v>0</v>
      </c>
      <c r="I94" s="44">
        <f>I$5*Teams!$F$60*I91*Teams!$F$66</f>
        <v>0</v>
      </c>
      <c r="J94" s="44">
        <f>J$5*Teams!$F$60*J91*Teams!$F$66</f>
        <v>0</v>
      </c>
      <c r="K94" s="44">
        <f>K$5*Teams!$F$60*K91*Teams!$F$66</f>
        <v>0</v>
      </c>
      <c r="L94" s="44">
        <f>L$5*Teams!$F$60*L91*Teams!$F$66</f>
        <v>0</v>
      </c>
      <c r="M94" s="44">
        <f>M$5*Teams!$F$60*M91*Teams!$F$66</f>
        <v>0</v>
      </c>
      <c r="N94" s="44">
        <f>N$5*Teams!$F$60*N91*Teams!$F$66</f>
        <v>0</v>
      </c>
      <c r="O94" s="44">
        <f>O$5*Teams!$F$60*O91*Teams!$F$66</f>
        <v>0</v>
      </c>
      <c r="P94" s="44">
        <f>P$5*Teams!$F$60*P91*Teams!$F$66</f>
        <v>0</v>
      </c>
      <c r="Q94" s="44">
        <f>Q$5*Teams!$F$60*Q91*Teams!$F$66</f>
        <v>0</v>
      </c>
      <c r="R94" s="44">
        <f>R$5*Teams!$F$60*R91*Teams!$F$66</f>
        <v>0</v>
      </c>
      <c r="S94" s="44">
        <f>S$5*Teams!$F$60*S91*Teams!$F$66</f>
        <v>0</v>
      </c>
      <c r="T94" s="44">
        <f>T$5*Teams!$F$60*T91*Teams!$F$66</f>
        <v>0</v>
      </c>
      <c r="U94" s="44">
        <f>U$5*Teams!$F$60*U91*Teams!$F$66</f>
        <v>0</v>
      </c>
      <c r="V94" s="44">
        <f>V$5*Teams!$F$60*V91*Teams!$F$66</f>
        <v>0</v>
      </c>
      <c r="W94" s="44">
        <f>W$5*Teams!$F$60*W91*Teams!$F$66</f>
        <v>0</v>
      </c>
      <c r="X94" s="44">
        <f>X$5*Teams!$F$60*X91*Teams!$F$66</f>
        <v>0</v>
      </c>
      <c r="Y94" s="44">
        <f>Y$5*Teams!$F$60*Y91*Teams!$F$66</f>
        <v>0</v>
      </c>
      <c r="Z94" s="44">
        <f>Z$5*Teams!$F$60*Z91*Teams!$F$66</f>
        <v>0</v>
      </c>
      <c r="AA94" s="44">
        <f>AA$5*Teams!$F$60*AA91*Teams!$F$66</f>
        <v>0</v>
      </c>
      <c r="AB94" s="44">
        <f>AB$5*Teams!$F$60*AB91*Teams!$F$66</f>
        <v>0</v>
      </c>
      <c r="AC94" s="44">
        <f>AC$5*Teams!$F$60*AC91*Teams!$F$66</f>
        <v>0</v>
      </c>
      <c r="AD94" s="44">
        <f>AD$5*Teams!$F$60*AD91*Teams!$F$66</f>
        <v>0</v>
      </c>
      <c r="AE94" s="44">
        <f>AE$5*Teams!$F$60*AE91*Teams!$F$66</f>
        <v>0</v>
      </c>
      <c r="AF94" s="44">
        <f>AF$5*Teams!$F$60*AF91*Teams!$F$66</f>
        <v>0</v>
      </c>
      <c r="AG94" s="44">
        <f>AG$5*Teams!$F$60*AG91*Teams!$F$66</f>
        <v>0</v>
      </c>
      <c r="AH94" s="44">
        <f>AH$5*Teams!$F$60*AH91*Teams!$F$66</f>
        <v>0</v>
      </c>
      <c r="AI94" s="44">
        <f>AI$5*Teams!$F$60*AI91*Teams!$F$66</f>
        <v>0</v>
      </c>
      <c r="AJ94" s="44">
        <f>AJ$5*Teams!$F$60*AJ91*Teams!$F$66</f>
        <v>0</v>
      </c>
      <c r="AK94" s="44">
        <f>AK$5*Teams!$F$60*AK91*Teams!$F$66</f>
        <v>0</v>
      </c>
      <c r="AL94" s="44">
        <f>AL$5*Teams!$F$60*AL91*Teams!$F$66</f>
        <v>0</v>
      </c>
      <c r="AM94" s="44">
        <f>AM$5*Teams!$F$60*AM91*Teams!$F$66</f>
        <v>0</v>
      </c>
      <c r="AN94" s="44">
        <f>AN$5*Teams!$F$60*AN91*Teams!$F$66</f>
        <v>0</v>
      </c>
      <c r="AO94" s="44">
        <f>AO$5*Teams!$F$60*AO91*Teams!$F$66</f>
        <v>0</v>
      </c>
      <c r="AP94" s="44">
        <f>AP$5*Teams!$F$60*AP91*Teams!$F$66</f>
        <v>0</v>
      </c>
      <c r="AQ94" s="44">
        <f>AQ$5*Teams!$F$60*AQ91*Teams!$F$66</f>
        <v>0</v>
      </c>
      <c r="AR94" s="44">
        <f>AR$5*Teams!$F$60*AR91*Teams!$F$66</f>
        <v>0</v>
      </c>
      <c r="AS94" s="44">
        <f>AS$5*Teams!$F$60*AS91*Teams!$F$66</f>
        <v>0</v>
      </c>
      <c r="AT94" s="44">
        <f>AT$5*Teams!$F$60*AT91*Teams!$F$66</f>
        <v>0</v>
      </c>
      <c r="AU94" s="44">
        <f>AU$5*Teams!$F$60*AU91*Teams!$F$66</f>
        <v>0</v>
      </c>
      <c r="AV94" s="44">
        <f>AV$5*Teams!$F$60*AV91*Teams!$F$66</f>
        <v>0</v>
      </c>
      <c r="AW94" s="44">
        <f>AW$5*Teams!$F$60*AW91*Teams!$F$66</f>
        <v>0</v>
      </c>
      <c r="AX94" s="44">
        <f>AX$5*Teams!$F$60*AX91*Teams!$F$66</f>
        <v>0</v>
      </c>
      <c r="AY94" s="44">
        <f>AY$5*Teams!$F$60*AY91*Teams!$F$66</f>
        <v>0</v>
      </c>
      <c r="AZ94" s="44">
        <f>AZ$5*Teams!$F$60*AZ91*Teams!$F$66</f>
        <v>0</v>
      </c>
      <c r="BA94" s="44">
        <f>BA$5*Teams!$F$60*BA91*Teams!$F$66</f>
        <v>0</v>
      </c>
      <c r="BB94" s="44">
        <f>BB$5*Teams!$F$60*BB91*Teams!$F$66</f>
        <v>0</v>
      </c>
      <c r="BC94" s="44">
        <f>BC$5*Teams!$F$60*BC91*Teams!$F$66</f>
        <v>0</v>
      </c>
      <c r="BD94" s="44">
        <f>BD$5*Teams!$F$60*BD91*Teams!$F$66</f>
        <v>0</v>
      </c>
      <c r="BE94" s="44">
        <f>BE$5*Teams!$F$60*BE91*Teams!$F$66</f>
        <v>0</v>
      </c>
      <c r="BF94" s="44">
        <f>BF$5*Teams!$F$60*BF91*Teams!$F$66</f>
        <v>0</v>
      </c>
      <c r="BG94" s="44">
        <f>BG$5*Teams!$F$60*BG91*Teams!$F$66</f>
        <v>0</v>
      </c>
      <c r="BH94" s="44">
        <f>BH$5*Teams!$F$60*BH91*Teams!$F$66</f>
        <v>0</v>
      </c>
      <c r="BI94" s="44">
        <f>BI$5*Teams!$F$60*BI91*Teams!$F$66</f>
        <v>0</v>
      </c>
      <c r="BJ94" s="44">
        <f>BJ$5*Teams!$F$60*BJ91*Teams!$F$66</f>
        <v>0</v>
      </c>
      <c r="BK94" s="44">
        <f>BK$5*Teams!$F$60*BK91*Teams!$F$66</f>
        <v>0</v>
      </c>
      <c r="BL94" s="44">
        <f>BL$5*Teams!$F$60*BL91*Teams!$F$66</f>
        <v>0</v>
      </c>
    </row>
    <row r="95" spans="1:64" x14ac:dyDescent="0.3">
      <c r="A95" s="8" t="s">
        <v>666</v>
      </c>
      <c r="B95" s="18" t="s">
        <v>435</v>
      </c>
      <c r="C95" s="44">
        <f t="shared" si="29"/>
        <v>27177.552863999997</v>
      </c>
      <c r="E95" s="44">
        <f>E$5*IF(Teams!$F$61=1,E92*((1-Teams!$F$13)*MAX(0,Teams!$F$72*$C$89-Teams!$F$12)+Teams!$F$13*MAX(0,Teams!$F$73*$C$89-Teams!$F$12)),IF(Teams!$F$62=1,E93*$C$89,0))</f>
        <v>0</v>
      </c>
      <c r="F95" s="44">
        <f>F$5*IF(Teams!$F$61=1,F92*((1-Teams!$F$13)*MAX(0,Teams!$F$72*$C$89-Teams!$F$12)+Teams!$F$13*MAX(0,Teams!$F$73*$C$89-Teams!$F$12)),IF(Teams!$F$62=1,F93*$C$89,0))</f>
        <v>0</v>
      </c>
      <c r="G95" s="44">
        <f>G$5*IF(Teams!$F$61=1,G92*((1-Teams!$F$13)*MAX(0,Teams!$F$72*$C$89-Teams!$F$12)+Teams!$F$13*MAX(0,Teams!$F$73*$C$89-Teams!$F$12)),IF(Teams!$F$62=1,G93*$C$89,0))</f>
        <v>88.327046808000006</v>
      </c>
      <c r="H95" s="44">
        <f>H$5*IF(Teams!$F$61=1,H92*((1-Teams!$F$13)*MAX(0,Teams!$F$72*$C$89-Teams!$F$12)+Teams!$F$13*MAX(0,Teams!$F$73*$C$89-Teams!$F$12)),IF(Teams!$F$62=1,H93*$C$89,0))</f>
        <v>298.95308150400007</v>
      </c>
      <c r="I95" s="44">
        <f>I$5*IF(Teams!$F$61=1,I92*((1-Teams!$F$13)*MAX(0,Teams!$F$72*$C$89-Teams!$F$12)+Teams!$F$13*MAX(0,Teams!$F$73*$C$89-Teams!$F$12)),IF(Teams!$F$62=1,I93*$C$89,0))</f>
        <v>550.34544549600002</v>
      </c>
      <c r="J95" s="44">
        <f>J$5*IF(Teams!$F$61=1,J92*((1-Teams!$F$13)*MAX(0,Teams!$F$72*$C$89-Teams!$F$12)+Teams!$F$13*MAX(0,Teams!$F$73*$C$89-Teams!$F$12)),IF(Teams!$F$62=1,J93*$C$89,0))</f>
        <v>760.97148019200017</v>
      </c>
      <c r="K95" s="44">
        <f>K$5*IF(Teams!$F$61=1,K92*((1-Teams!$F$13)*MAX(0,Teams!$F$72*$C$89-Teams!$F$12)+Teams!$F$13*MAX(0,Teams!$F$73*$C$89-Teams!$F$12)),IF(Teams!$F$62=1,K93*$C$89,0))</f>
        <v>849.29852700000004</v>
      </c>
      <c r="L95" s="44">
        <f>L$5*IF(Teams!$F$61=1,L92*((1-Teams!$F$13)*MAX(0,Teams!$F$72*$C$89-Teams!$F$12)+Teams!$F$13*MAX(0,Teams!$F$73*$C$89-Teams!$F$12)),IF(Teams!$F$62=1,L93*$C$89,0))</f>
        <v>849.29852700000004</v>
      </c>
      <c r="M95" s="44">
        <f>M$5*IF(Teams!$F$61=1,M92*((1-Teams!$F$13)*MAX(0,Teams!$F$72*$C$89-Teams!$F$12)+Teams!$F$13*MAX(0,Teams!$F$73*$C$89-Teams!$F$12)),IF(Teams!$F$62=1,M93*$C$89,0))</f>
        <v>849.29852700000004</v>
      </c>
      <c r="N95" s="44">
        <f>N$5*IF(Teams!$F$61=1,N92*((1-Teams!$F$13)*MAX(0,Teams!$F$72*$C$89-Teams!$F$12)+Teams!$F$13*MAX(0,Teams!$F$73*$C$89-Teams!$F$12)),IF(Teams!$F$62=1,N93*$C$89,0))</f>
        <v>849.29852700000004</v>
      </c>
      <c r="O95" s="44">
        <f>O$5*IF(Teams!$F$61=1,O92*((1-Teams!$F$13)*MAX(0,Teams!$F$72*$C$89-Teams!$F$12)+Teams!$F$13*MAX(0,Teams!$F$73*$C$89-Teams!$F$12)),IF(Teams!$F$62=1,O93*$C$89,0))</f>
        <v>849.29852700000004</v>
      </c>
      <c r="P95" s="44">
        <f>P$5*IF(Teams!$F$61=1,P92*((1-Teams!$F$13)*MAX(0,Teams!$F$72*$C$89-Teams!$F$12)+Teams!$F$13*MAX(0,Teams!$F$73*$C$89-Teams!$F$12)),IF(Teams!$F$62=1,P93*$C$89,0))</f>
        <v>849.29852700000004</v>
      </c>
      <c r="Q95" s="44">
        <f>Q$5*IF(Teams!$F$61=1,Q92*((1-Teams!$F$13)*MAX(0,Teams!$F$72*$C$89-Teams!$F$12)+Teams!$F$13*MAX(0,Teams!$F$73*$C$89-Teams!$F$12)),IF(Teams!$F$62=1,Q93*$C$89,0))</f>
        <v>849.29852700000004</v>
      </c>
      <c r="R95" s="44">
        <f>R$5*IF(Teams!$F$61=1,R92*((1-Teams!$F$13)*MAX(0,Teams!$F$72*$C$89-Teams!$F$12)+Teams!$F$13*MAX(0,Teams!$F$73*$C$89-Teams!$F$12)),IF(Teams!$F$62=1,R93*$C$89,0))</f>
        <v>849.29852700000004</v>
      </c>
      <c r="S95" s="44">
        <f>S$5*IF(Teams!$F$61=1,S92*((1-Teams!$F$13)*MAX(0,Teams!$F$72*$C$89-Teams!$F$12)+Teams!$F$13*MAX(0,Teams!$F$73*$C$89-Teams!$F$12)),IF(Teams!$F$62=1,S93*$C$89,0))</f>
        <v>849.29852700000004</v>
      </c>
      <c r="T95" s="44">
        <f>T$5*IF(Teams!$F$61=1,T92*((1-Teams!$F$13)*MAX(0,Teams!$F$72*$C$89-Teams!$F$12)+Teams!$F$13*MAX(0,Teams!$F$73*$C$89-Teams!$F$12)),IF(Teams!$F$62=1,T93*$C$89,0))</f>
        <v>849.29852700000004</v>
      </c>
      <c r="U95" s="44">
        <f>U$5*IF(Teams!$F$61=1,U92*((1-Teams!$F$13)*MAX(0,Teams!$F$72*$C$89-Teams!$F$12)+Teams!$F$13*MAX(0,Teams!$F$73*$C$89-Teams!$F$12)),IF(Teams!$F$62=1,U93*$C$89,0))</f>
        <v>849.29852700000004</v>
      </c>
      <c r="V95" s="44">
        <f>V$5*IF(Teams!$F$61=1,V92*((1-Teams!$F$13)*MAX(0,Teams!$F$72*$C$89-Teams!$F$12)+Teams!$F$13*MAX(0,Teams!$F$73*$C$89-Teams!$F$12)),IF(Teams!$F$62=1,V93*$C$89,0))</f>
        <v>849.29852700000004</v>
      </c>
      <c r="W95" s="44">
        <f>W$5*IF(Teams!$F$61=1,W92*((1-Teams!$F$13)*MAX(0,Teams!$F$72*$C$89-Teams!$F$12)+Teams!$F$13*MAX(0,Teams!$F$73*$C$89-Teams!$F$12)),IF(Teams!$F$62=1,W93*$C$89,0))</f>
        <v>849.29852700000004</v>
      </c>
      <c r="X95" s="44">
        <f>X$5*IF(Teams!$F$61=1,X92*((1-Teams!$F$13)*MAX(0,Teams!$F$72*$C$89-Teams!$F$12)+Teams!$F$13*MAX(0,Teams!$F$73*$C$89-Teams!$F$12)),IF(Teams!$F$62=1,X93*$C$89,0))</f>
        <v>849.29852700000004</v>
      </c>
      <c r="Y95" s="44">
        <f>Y$5*IF(Teams!$F$61=1,Y92*((1-Teams!$F$13)*MAX(0,Teams!$F$72*$C$89-Teams!$F$12)+Teams!$F$13*MAX(0,Teams!$F$73*$C$89-Teams!$F$12)),IF(Teams!$F$62=1,Y93*$C$89,0))</f>
        <v>849.29852700000004</v>
      </c>
      <c r="Z95" s="44">
        <f>Z$5*IF(Teams!$F$61=1,Z92*((1-Teams!$F$13)*MAX(0,Teams!$F$72*$C$89-Teams!$F$12)+Teams!$F$13*MAX(0,Teams!$F$73*$C$89-Teams!$F$12)),IF(Teams!$F$62=1,Z93*$C$89,0))</f>
        <v>849.29852700000004</v>
      </c>
      <c r="AA95" s="44">
        <f>AA$5*IF(Teams!$F$61=1,AA92*((1-Teams!$F$13)*MAX(0,Teams!$F$72*$C$89-Teams!$F$12)+Teams!$F$13*MAX(0,Teams!$F$73*$C$89-Teams!$F$12)),IF(Teams!$F$62=1,AA93*$C$89,0))</f>
        <v>849.29852700000004</v>
      </c>
      <c r="AB95" s="44">
        <f>AB$5*IF(Teams!$F$61=1,AB92*((1-Teams!$F$13)*MAX(0,Teams!$F$72*$C$89-Teams!$F$12)+Teams!$F$13*MAX(0,Teams!$F$73*$C$89-Teams!$F$12)),IF(Teams!$F$62=1,AB93*$C$89,0))</f>
        <v>849.29852700000004</v>
      </c>
      <c r="AC95" s="44">
        <f>AC$5*IF(Teams!$F$61=1,AC92*((1-Teams!$F$13)*MAX(0,Teams!$F$72*$C$89-Teams!$F$12)+Teams!$F$13*MAX(0,Teams!$F$73*$C$89-Teams!$F$12)),IF(Teams!$F$62=1,AC93*$C$89,0))</f>
        <v>849.29852700000004</v>
      </c>
      <c r="AD95" s="44">
        <f>AD$5*IF(Teams!$F$61=1,AD92*((1-Teams!$F$13)*MAX(0,Teams!$F$72*$C$89-Teams!$F$12)+Teams!$F$13*MAX(0,Teams!$F$73*$C$89-Teams!$F$12)),IF(Teams!$F$62=1,AD93*$C$89,0))</f>
        <v>849.29852700000004</v>
      </c>
      <c r="AE95" s="44">
        <f>AE$5*IF(Teams!$F$61=1,AE92*((1-Teams!$F$13)*MAX(0,Teams!$F$72*$C$89-Teams!$F$12)+Teams!$F$13*MAX(0,Teams!$F$73*$C$89-Teams!$F$12)),IF(Teams!$F$62=1,AE93*$C$89,0))</f>
        <v>849.29852700000004</v>
      </c>
      <c r="AF95" s="44">
        <f>AF$5*IF(Teams!$F$61=1,AF92*((1-Teams!$F$13)*MAX(0,Teams!$F$72*$C$89-Teams!$F$12)+Teams!$F$13*MAX(0,Teams!$F$73*$C$89-Teams!$F$12)),IF(Teams!$F$62=1,AF93*$C$89,0))</f>
        <v>849.29852700000004</v>
      </c>
      <c r="AG95" s="44">
        <f>AG$5*IF(Teams!$F$61=1,AG92*((1-Teams!$F$13)*MAX(0,Teams!$F$72*$C$89-Teams!$F$12)+Teams!$F$13*MAX(0,Teams!$F$73*$C$89-Teams!$F$12)),IF(Teams!$F$62=1,AG93*$C$89,0))</f>
        <v>849.29852700000004</v>
      </c>
      <c r="AH95" s="44">
        <f>AH$5*IF(Teams!$F$61=1,AH92*((1-Teams!$F$13)*MAX(0,Teams!$F$72*$C$89-Teams!$F$12)+Teams!$F$13*MAX(0,Teams!$F$73*$C$89-Teams!$F$12)),IF(Teams!$F$62=1,AH93*$C$89,0))</f>
        <v>849.29852700000004</v>
      </c>
      <c r="AI95" s="44">
        <f>AI$5*IF(Teams!$F$61=1,AI92*((1-Teams!$F$13)*MAX(0,Teams!$F$72*$C$89-Teams!$F$12)+Teams!$F$13*MAX(0,Teams!$F$73*$C$89-Teams!$F$12)),IF(Teams!$F$62=1,AI93*$C$89,0))</f>
        <v>849.29852700000004</v>
      </c>
      <c r="AJ95" s="44">
        <f>AJ$5*IF(Teams!$F$61=1,AJ92*((1-Teams!$F$13)*MAX(0,Teams!$F$72*$C$89-Teams!$F$12)+Teams!$F$13*MAX(0,Teams!$F$73*$C$89-Teams!$F$12)),IF(Teams!$F$62=1,AJ93*$C$89,0))</f>
        <v>849.29852700000004</v>
      </c>
      <c r="AK95" s="44">
        <f>AK$5*IF(Teams!$F$61=1,AK92*((1-Teams!$F$13)*MAX(0,Teams!$F$72*$C$89-Teams!$F$12)+Teams!$F$13*MAX(0,Teams!$F$73*$C$89-Teams!$F$12)),IF(Teams!$F$62=1,AK93*$C$89,0))</f>
        <v>849.29852700000004</v>
      </c>
      <c r="AL95" s="44">
        <f>AL$5*IF(Teams!$F$61=1,AL92*((1-Teams!$F$13)*MAX(0,Teams!$F$72*$C$89-Teams!$F$12)+Teams!$F$13*MAX(0,Teams!$F$73*$C$89-Teams!$F$12)),IF(Teams!$F$62=1,AL93*$C$89,0))</f>
        <v>849.29852700000004</v>
      </c>
      <c r="AM95" s="44">
        <f>AM$5*IF(Teams!$F$61=1,AM92*((1-Teams!$F$13)*MAX(0,Teams!$F$72*$C$89-Teams!$F$12)+Teams!$F$13*MAX(0,Teams!$F$73*$C$89-Teams!$F$12)),IF(Teams!$F$62=1,AM93*$C$89,0))</f>
        <v>849.29852700000004</v>
      </c>
      <c r="AN95" s="44">
        <f>AN$5*IF(Teams!$F$61=1,AN92*((1-Teams!$F$13)*MAX(0,Teams!$F$72*$C$89-Teams!$F$12)+Teams!$F$13*MAX(0,Teams!$F$73*$C$89-Teams!$F$12)),IF(Teams!$F$62=1,AN93*$C$89,0))</f>
        <v>849.29852700000004</v>
      </c>
      <c r="AO95" s="44">
        <f>AO$5*IF(Teams!$F$61=1,AO92*((1-Teams!$F$13)*MAX(0,Teams!$F$72*$C$89-Teams!$F$12)+Teams!$F$13*MAX(0,Teams!$F$73*$C$89-Teams!$F$12)),IF(Teams!$F$62=1,AO93*$C$89,0))</f>
        <v>0</v>
      </c>
      <c r="AP95" s="44">
        <f>AP$5*IF(Teams!$F$61=1,AP92*((1-Teams!$F$13)*MAX(0,Teams!$F$72*$C$89-Teams!$F$12)+Teams!$F$13*MAX(0,Teams!$F$73*$C$89-Teams!$F$12)),IF(Teams!$F$62=1,AP93*$C$89,0))</f>
        <v>0</v>
      </c>
      <c r="AQ95" s="44">
        <f>AQ$5*IF(Teams!$F$61=1,AQ92*((1-Teams!$F$13)*MAX(0,Teams!$F$72*$C$89-Teams!$F$12)+Teams!$F$13*MAX(0,Teams!$F$73*$C$89-Teams!$F$12)),IF(Teams!$F$62=1,AQ93*$C$89,0))</f>
        <v>0</v>
      </c>
      <c r="AR95" s="44">
        <f>AR$5*IF(Teams!$F$61=1,AR92*((1-Teams!$F$13)*MAX(0,Teams!$F$72*$C$89-Teams!$F$12)+Teams!$F$13*MAX(0,Teams!$F$73*$C$89-Teams!$F$12)),IF(Teams!$F$62=1,AR93*$C$89,0))</f>
        <v>0</v>
      </c>
      <c r="AS95" s="44">
        <f>AS$5*IF(Teams!$F$61=1,AS92*((1-Teams!$F$13)*MAX(0,Teams!$F$72*$C$89-Teams!$F$12)+Teams!$F$13*MAX(0,Teams!$F$73*$C$89-Teams!$F$12)),IF(Teams!$F$62=1,AS93*$C$89,0))</f>
        <v>0</v>
      </c>
      <c r="AT95" s="44">
        <f>AT$5*IF(Teams!$F$61=1,AT92*((1-Teams!$F$13)*MAX(0,Teams!$F$72*$C$89-Teams!$F$12)+Teams!$F$13*MAX(0,Teams!$F$73*$C$89-Teams!$F$12)),IF(Teams!$F$62=1,AT93*$C$89,0))</f>
        <v>0</v>
      </c>
      <c r="AU95" s="44">
        <f>AU$5*IF(Teams!$F$61=1,AU92*((1-Teams!$F$13)*MAX(0,Teams!$F$72*$C$89-Teams!$F$12)+Teams!$F$13*MAX(0,Teams!$F$73*$C$89-Teams!$F$12)),IF(Teams!$F$62=1,AU93*$C$89,0))</f>
        <v>0</v>
      </c>
      <c r="AV95" s="44">
        <f>AV$5*IF(Teams!$F$61=1,AV92*((1-Teams!$F$13)*MAX(0,Teams!$F$72*$C$89-Teams!$F$12)+Teams!$F$13*MAX(0,Teams!$F$73*$C$89-Teams!$F$12)),IF(Teams!$F$62=1,AV93*$C$89,0))</f>
        <v>0</v>
      </c>
      <c r="AW95" s="44">
        <f>AW$5*IF(Teams!$F$61=1,AW92*((1-Teams!$F$13)*MAX(0,Teams!$F$72*$C$89-Teams!$F$12)+Teams!$F$13*MAX(0,Teams!$F$73*$C$89-Teams!$F$12)),IF(Teams!$F$62=1,AW93*$C$89,0))</f>
        <v>0</v>
      </c>
      <c r="AX95" s="44">
        <f>AX$5*IF(Teams!$F$61=1,AX92*((1-Teams!$F$13)*MAX(0,Teams!$F$72*$C$89-Teams!$F$12)+Teams!$F$13*MAX(0,Teams!$F$73*$C$89-Teams!$F$12)),IF(Teams!$F$62=1,AX93*$C$89,0))</f>
        <v>0</v>
      </c>
      <c r="AY95" s="44">
        <f>AY$5*IF(Teams!$F$61=1,AY92*((1-Teams!$F$13)*MAX(0,Teams!$F$72*$C$89-Teams!$F$12)+Teams!$F$13*MAX(0,Teams!$F$73*$C$89-Teams!$F$12)),IF(Teams!$F$62=1,AY93*$C$89,0))</f>
        <v>0</v>
      </c>
      <c r="AZ95" s="44">
        <f>AZ$5*IF(Teams!$F$61=1,AZ92*((1-Teams!$F$13)*MAX(0,Teams!$F$72*$C$89-Teams!$F$12)+Teams!$F$13*MAX(0,Teams!$F$73*$C$89-Teams!$F$12)),IF(Teams!$F$62=1,AZ93*$C$89,0))</f>
        <v>0</v>
      </c>
      <c r="BA95" s="44">
        <f>BA$5*IF(Teams!$F$61=1,BA92*((1-Teams!$F$13)*MAX(0,Teams!$F$72*$C$89-Teams!$F$12)+Teams!$F$13*MAX(0,Teams!$F$73*$C$89-Teams!$F$12)),IF(Teams!$F$62=1,BA93*$C$89,0))</f>
        <v>0</v>
      </c>
      <c r="BB95" s="44">
        <f>BB$5*IF(Teams!$F$61=1,BB92*((1-Teams!$F$13)*MAX(0,Teams!$F$72*$C$89-Teams!$F$12)+Teams!$F$13*MAX(0,Teams!$F$73*$C$89-Teams!$F$12)),IF(Teams!$F$62=1,BB93*$C$89,0))</f>
        <v>0</v>
      </c>
      <c r="BC95" s="44">
        <f>BC$5*IF(Teams!$F$61=1,BC92*((1-Teams!$F$13)*MAX(0,Teams!$F$72*$C$89-Teams!$F$12)+Teams!$F$13*MAX(0,Teams!$F$73*$C$89-Teams!$F$12)),IF(Teams!$F$62=1,BC93*$C$89,0))</f>
        <v>0</v>
      </c>
      <c r="BD95" s="44">
        <f>BD$5*IF(Teams!$F$61=1,BD92*((1-Teams!$F$13)*MAX(0,Teams!$F$72*$C$89-Teams!$F$12)+Teams!$F$13*MAX(0,Teams!$F$73*$C$89-Teams!$F$12)),IF(Teams!$F$62=1,BD93*$C$89,0))</f>
        <v>0</v>
      </c>
      <c r="BE95" s="44">
        <f>BE$5*IF(Teams!$F$61=1,BE92*((1-Teams!$F$13)*MAX(0,Teams!$F$72*$C$89-Teams!$F$12)+Teams!$F$13*MAX(0,Teams!$F$73*$C$89-Teams!$F$12)),IF(Teams!$F$62=1,BE93*$C$89,0))</f>
        <v>0</v>
      </c>
      <c r="BF95" s="44">
        <f>BF$5*IF(Teams!$F$61=1,BF92*((1-Teams!$F$13)*MAX(0,Teams!$F$72*$C$89-Teams!$F$12)+Teams!$F$13*MAX(0,Teams!$F$73*$C$89-Teams!$F$12)),IF(Teams!$F$62=1,BF93*$C$89,0))</f>
        <v>0</v>
      </c>
      <c r="BG95" s="44">
        <f>BG$5*IF(Teams!$F$61=1,BG92*((1-Teams!$F$13)*MAX(0,Teams!$F$72*$C$89-Teams!$F$12)+Teams!$F$13*MAX(0,Teams!$F$73*$C$89-Teams!$F$12)),IF(Teams!$F$62=1,BG93*$C$89,0))</f>
        <v>0</v>
      </c>
      <c r="BH95" s="44">
        <f>BH$5*IF(Teams!$F$61=1,BH92*((1-Teams!$F$13)*MAX(0,Teams!$F$72*$C$89-Teams!$F$12)+Teams!$F$13*MAX(0,Teams!$F$73*$C$89-Teams!$F$12)),IF(Teams!$F$62=1,BH93*$C$89,0))</f>
        <v>0</v>
      </c>
      <c r="BI95" s="44">
        <f>BI$5*IF(Teams!$F$61=1,BI92*((1-Teams!$F$13)*MAX(0,Teams!$F$72*$C$89-Teams!$F$12)+Teams!$F$13*MAX(0,Teams!$F$73*$C$89-Teams!$F$12)),IF(Teams!$F$62=1,BI93*$C$89,0))</f>
        <v>0</v>
      </c>
      <c r="BJ95" s="44">
        <f>BJ$5*IF(Teams!$F$61=1,BJ92*((1-Teams!$F$13)*MAX(0,Teams!$F$72*$C$89-Teams!$F$12)+Teams!$F$13*MAX(0,Teams!$F$73*$C$89-Teams!$F$12)),IF(Teams!$F$62=1,BJ93*$C$89,0))</f>
        <v>0</v>
      </c>
      <c r="BK95" s="44">
        <f>BK$5*IF(Teams!$F$61=1,BK92*((1-Teams!$F$13)*MAX(0,Teams!$F$72*$C$89-Teams!$F$12)+Teams!$F$13*MAX(0,Teams!$F$73*$C$89-Teams!$F$12)),IF(Teams!$F$62=1,BK93*$C$89,0))</f>
        <v>0</v>
      </c>
      <c r="BL95" s="44">
        <f>BL$5*IF(Teams!$F$61=1,BL92*((1-Teams!$F$13)*MAX(0,Teams!$F$72*$C$89-Teams!$F$12)+Teams!$F$13*MAX(0,Teams!$F$73*$C$89-Teams!$F$12)),IF(Teams!$F$62=1,BL93*$C$89,0))</f>
        <v>0</v>
      </c>
    </row>
    <row r="96" spans="1:64" x14ac:dyDescent="0.3">
      <c r="A96" s="8" t="s">
        <v>667</v>
      </c>
      <c r="B96" s="18" t="s">
        <v>435</v>
      </c>
      <c r="C96" s="44">
        <f t="shared" si="29"/>
        <v>0</v>
      </c>
      <c r="E96" s="44">
        <f>E$5*Teams!$F$63*E93*Teams!$F$67</f>
        <v>0</v>
      </c>
      <c r="F96" s="44">
        <f>F$5*Teams!$F$63*F93*Teams!$F$67</f>
        <v>0</v>
      </c>
      <c r="G96" s="44">
        <f>G$5*Teams!$F$63*G93*Teams!$F$67</f>
        <v>0</v>
      </c>
      <c r="H96" s="44">
        <f>H$5*Teams!$F$63*H93*Teams!$F$67</f>
        <v>0</v>
      </c>
      <c r="I96" s="44">
        <f>I$5*Teams!$F$63*I93*Teams!$F$67</f>
        <v>0</v>
      </c>
      <c r="J96" s="44">
        <f>J$5*Teams!$F$63*J93*Teams!$F$67</f>
        <v>0</v>
      </c>
      <c r="K96" s="44">
        <f>K$5*Teams!$F$63*K93*Teams!$F$67</f>
        <v>0</v>
      </c>
      <c r="L96" s="44">
        <f>L$5*Teams!$F$63*L93*Teams!$F$67</f>
        <v>0</v>
      </c>
      <c r="M96" s="44">
        <f>M$5*Teams!$F$63*M93*Teams!$F$67</f>
        <v>0</v>
      </c>
      <c r="N96" s="44">
        <f>N$5*Teams!$F$63*N93*Teams!$F$67</f>
        <v>0</v>
      </c>
      <c r="O96" s="44">
        <f>O$5*Teams!$F$63*O93*Teams!$F$67</f>
        <v>0</v>
      </c>
      <c r="P96" s="44">
        <f>P$5*Teams!$F$63*P93*Teams!$F$67</f>
        <v>0</v>
      </c>
      <c r="Q96" s="44">
        <f>Q$5*Teams!$F$63*Q93*Teams!$F$67</f>
        <v>0</v>
      </c>
      <c r="R96" s="44">
        <f>R$5*Teams!$F$63*R93*Teams!$F$67</f>
        <v>0</v>
      </c>
      <c r="S96" s="44">
        <f>S$5*Teams!$F$63*S93*Teams!$F$67</f>
        <v>0</v>
      </c>
      <c r="T96" s="44">
        <f>T$5*Teams!$F$63*T93*Teams!$F$67</f>
        <v>0</v>
      </c>
      <c r="U96" s="44">
        <f>U$5*Teams!$F$63*U93*Teams!$F$67</f>
        <v>0</v>
      </c>
      <c r="V96" s="44">
        <f>V$5*Teams!$F$63*V93*Teams!$F$67</f>
        <v>0</v>
      </c>
      <c r="W96" s="44">
        <f>W$5*Teams!$F$63*W93*Teams!$F$67</f>
        <v>0</v>
      </c>
      <c r="X96" s="44">
        <f>X$5*Teams!$F$63*X93*Teams!$F$67</f>
        <v>0</v>
      </c>
      <c r="Y96" s="44">
        <f>Y$5*Teams!$F$63*Y93*Teams!$F$67</f>
        <v>0</v>
      </c>
      <c r="Z96" s="44">
        <f>Z$5*Teams!$F$63*Z93*Teams!$F$67</f>
        <v>0</v>
      </c>
      <c r="AA96" s="44">
        <f>AA$5*Teams!$F$63*AA93*Teams!$F$67</f>
        <v>0</v>
      </c>
      <c r="AB96" s="44">
        <f>AB$5*Teams!$F$63*AB93*Teams!$F$67</f>
        <v>0</v>
      </c>
      <c r="AC96" s="44">
        <f>AC$5*Teams!$F$63*AC93*Teams!$F$67</f>
        <v>0</v>
      </c>
      <c r="AD96" s="44">
        <f>AD$5*Teams!$F$63*AD93*Teams!$F$67</f>
        <v>0</v>
      </c>
      <c r="AE96" s="44">
        <f>AE$5*Teams!$F$63*AE93*Teams!$F$67</f>
        <v>0</v>
      </c>
      <c r="AF96" s="44">
        <f>AF$5*Teams!$F$63*AF93*Teams!$F$67</f>
        <v>0</v>
      </c>
      <c r="AG96" s="44">
        <f>AG$5*Teams!$F$63*AG93*Teams!$F$67</f>
        <v>0</v>
      </c>
      <c r="AH96" s="44">
        <f>AH$5*Teams!$F$63*AH93*Teams!$F$67</f>
        <v>0</v>
      </c>
      <c r="AI96" s="44">
        <f>AI$5*Teams!$F$63*AI93*Teams!$F$67</f>
        <v>0</v>
      </c>
      <c r="AJ96" s="44">
        <f>AJ$5*Teams!$F$63*AJ93*Teams!$F$67</f>
        <v>0</v>
      </c>
      <c r="AK96" s="44">
        <f>AK$5*Teams!$F$63*AK93*Teams!$F$67</f>
        <v>0</v>
      </c>
      <c r="AL96" s="44">
        <f>AL$5*Teams!$F$63*AL93*Teams!$F$67</f>
        <v>0</v>
      </c>
      <c r="AM96" s="44">
        <f>AM$5*Teams!$F$63*AM93*Teams!$F$67</f>
        <v>0</v>
      </c>
      <c r="AN96" s="44">
        <f>AN$5*Teams!$F$63*AN93*Teams!$F$67</f>
        <v>0</v>
      </c>
      <c r="AO96" s="44">
        <f>AO$5*Teams!$F$63*AO93*Teams!$F$67</f>
        <v>0</v>
      </c>
      <c r="AP96" s="44">
        <f>AP$5*Teams!$F$63*AP93*Teams!$F$67</f>
        <v>0</v>
      </c>
      <c r="AQ96" s="44">
        <f>AQ$5*Teams!$F$63*AQ93*Teams!$F$67</f>
        <v>0</v>
      </c>
      <c r="AR96" s="44">
        <f>AR$5*Teams!$F$63*AR93*Teams!$F$67</f>
        <v>0</v>
      </c>
      <c r="AS96" s="44">
        <f>AS$5*Teams!$F$63*AS93*Teams!$F$67</f>
        <v>0</v>
      </c>
      <c r="AT96" s="44">
        <f>AT$5*Teams!$F$63*AT93*Teams!$F$67</f>
        <v>0</v>
      </c>
      <c r="AU96" s="44">
        <f>AU$5*Teams!$F$63*AU93*Teams!$F$67</f>
        <v>0</v>
      </c>
      <c r="AV96" s="44">
        <f>AV$5*Teams!$F$63*AV93*Teams!$F$67</f>
        <v>0</v>
      </c>
      <c r="AW96" s="44">
        <f>AW$5*Teams!$F$63*AW93*Teams!$F$67</f>
        <v>0</v>
      </c>
      <c r="AX96" s="44">
        <f>AX$5*Teams!$F$63*AX93*Teams!$F$67</f>
        <v>0</v>
      </c>
      <c r="AY96" s="44">
        <f>AY$5*Teams!$F$63*AY93*Teams!$F$67</f>
        <v>0</v>
      </c>
      <c r="AZ96" s="44">
        <f>AZ$5*Teams!$F$63*AZ93*Teams!$F$67</f>
        <v>0</v>
      </c>
      <c r="BA96" s="44">
        <f>BA$5*Teams!$F$63*BA93*Teams!$F$67</f>
        <v>0</v>
      </c>
      <c r="BB96" s="44">
        <f>BB$5*Teams!$F$63*BB93*Teams!$F$67</f>
        <v>0</v>
      </c>
      <c r="BC96" s="44">
        <f>BC$5*Teams!$F$63*BC93*Teams!$F$67</f>
        <v>0</v>
      </c>
      <c r="BD96" s="44">
        <f>BD$5*Teams!$F$63*BD93*Teams!$F$67</f>
        <v>0</v>
      </c>
      <c r="BE96" s="44">
        <f>BE$5*Teams!$F$63*BE93*Teams!$F$67</f>
        <v>0</v>
      </c>
      <c r="BF96" s="44">
        <f>BF$5*Teams!$F$63*BF93*Teams!$F$67</f>
        <v>0</v>
      </c>
      <c r="BG96" s="44">
        <f>BG$5*Teams!$F$63*BG93*Teams!$F$67</f>
        <v>0</v>
      </c>
      <c r="BH96" s="44">
        <f>BH$5*Teams!$F$63*BH93*Teams!$F$67</f>
        <v>0</v>
      </c>
      <c r="BI96" s="44">
        <f>BI$5*Teams!$F$63*BI93*Teams!$F$67</f>
        <v>0</v>
      </c>
      <c r="BJ96" s="44">
        <f>BJ$5*Teams!$F$63*BJ93*Teams!$F$67</f>
        <v>0</v>
      </c>
      <c r="BK96" s="44">
        <f>BK$5*Teams!$F$63*BK93*Teams!$F$67</f>
        <v>0</v>
      </c>
      <c r="BL96" s="44">
        <f>BL$5*Teams!$F$63*BL93*Teams!$F$67</f>
        <v>0</v>
      </c>
    </row>
    <row r="97" spans="1:64" x14ac:dyDescent="0.3">
      <c r="A97" s="8" t="s">
        <v>668</v>
      </c>
      <c r="B97" s="18" t="s">
        <v>435</v>
      </c>
      <c r="C97" s="44">
        <f t="shared" si="29"/>
        <v>7620.4800000000041</v>
      </c>
      <c r="E97" s="44">
        <f>E$5*Teams!$F$65*E93*Teams!$F$74</f>
        <v>0</v>
      </c>
      <c r="F97" s="44">
        <f>F$5*Teams!$F$65*F93*Teams!$F$74</f>
        <v>0</v>
      </c>
      <c r="G97" s="44">
        <f>G$5*Teams!$F$65*G93*Teams!$F$74</f>
        <v>24.766560000000002</v>
      </c>
      <c r="H97" s="44">
        <f>H$5*Teams!$F$65*H93*Teams!$F$74</f>
        <v>83.825280000000021</v>
      </c>
      <c r="I97" s="44">
        <f>I$5*Teams!$F$65*I93*Teams!$F$74</f>
        <v>154.31472000000002</v>
      </c>
      <c r="J97" s="44">
        <f>J$5*Teams!$F$65*J93*Teams!$F$74</f>
        <v>213.37344000000004</v>
      </c>
      <c r="K97" s="44">
        <f>K$5*Teams!$F$65*K93*Teams!$F$74</f>
        <v>238.14000000000001</v>
      </c>
      <c r="L97" s="44">
        <f>L$5*Teams!$F$65*L93*Teams!$F$74</f>
        <v>238.14000000000001</v>
      </c>
      <c r="M97" s="44">
        <f>M$5*Teams!$F$65*M93*Teams!$F$74</f>
        <v>238.14000000000001</v>
      </c>
      <c r="N97" s="44">
        <f>N$5*Teams!$F$65*N93*Teams!$F$74</f>
        <v>238.14000000000001</v>
      </c>
      <c r="O97" s="44">
        <f>O$5*Teams!$F$65*O93*Teams!$F$74</f>
        <v>238.14000000000001</v>
      </c>
      <c r="P97" s="44">
        <f>P$5*Teams!$F$65*P93*Teams!$F$74</f>
        <v>238.14000000000001</v>
      </c>
      <c r="Q97" s="44">
        <f>Q$5*Teams!$F$65*Q93*Teams!$F$74</f>
        <v>238.14000000000001</v>
      </c>
      <c r="R97" s="44">
        <f>R$5*Teams!$F$65*R93*Teams!$F$74</f>
        <v>238.14000000000001</v>
      </c>
      <c r="S97" s="44">
        <f>S$5*Teams!$F$65*S93*Teams!$F$74</f>
        <v>238.14000000000001</v>
      </c>
      <c r="T97" s="44">
        <f>T$5*Teams!$F$65*T93*Teams!$F$74</f>
        <v>238.14000000000001</v>
      </c>
      <c r="U97" s="44">
        <f>U$5*Teams!$F$65*U93*Teams!$F$74</f>
        <v>238.14000000000001</v>
      </c>
      <c r="V97" s="44">
        <f>V$5*Teams!$F$65*V93*Teams!$F$74</f>
        <v>238.14000000000001</v>
      </c>
      <c r="W97" s="44">
        <f>W$5*Teams!$F$65*W93*Teams!$F$74</f>
        <v>238.14000000000001</v>
      </c>
      <c r="X97" s="44">
        <f>X$5*Teams!$F$65*X93*Teams!$F$74</f>
        <v>238.14000000000001</v>
      </c>
      <c r="Y97" s="44">
        <f>Y$5*Teams!$F$65*Y93*Teams!$F$74</f>
        <v>238.14000000000001</v>
      </c>
      <c r="Z97" s="44">
        <f>Z$5*Teams!$F$65*Z93*Teams!$F$74</f>
        <v>238.14000000000001</v>
      </c>
      <c r="AA97" s="44">
        <f>AA$5*Teams!$F$65*AA93*Teams!$F$74</f>
        <v>238.14000000000001</v>
      </c>
      <c r="AB97" s="44">
        <f>AB$5*Teams!$F$65*AB93*Teams!$F$74</f>
        <v>238.14000000000001</v>
      </c>
      <c r="AC97" s="44">
        <f>AC$5*Teams!$F$65*AC93*Teams!$F$74</f>
        <v>238.14000000000001</v>
      </c>
      <c r="AD97" s="44">
        <f>AD$5*Teams!$F$65*AD93*Teams!$F$74</f>
        <v>238.14000000000001</v>
      </c>
      <c r="AE97" s="44">
        <f>AE$5*Teams!$F$65*AE93*Teams!$F$74</f>
        <v>238.14000000000001</v>
      </c>
      <c r="AF97" s="44">
        <f>AF$5*Teams!$F$65*AF93*Teams!$F$74</f>
        <v>238.14000000000001</v>
      </c>
      <c r="AG97" s="44">
        <f>AG$5*Teams!$F$65*AG93*Teams!$F$74</f>
        <v>238.14000000000001</v>
      </c>
      <c r="AH97" s="44">
        <f>AH$5*Teams!$F$65*AH93*Teams!$F$74</f>
        <v>238.14000000000001</v>
      </c>
      <c r="AI97" s="44">
        <f>AI$5*Teams!$F$65*AI93*Teams!$F$74</f>
        <v>238.14000000000001</v>
      </c>
      <c r="AJ97" s="44">
        <f>AJ$5*Teams!$F$65*AJ93*Teams!$F$74</f>
        <v>238.14000000000001</v>
      </c>
      <c r="AK97" s="44">
        <f>AK$5*Teams!$F$65*AK93*Teams!$F$74</f>
        <v>238.14000000000001</v>
      </c>
      <c r="AL97" s="44">
        <f>AL$5*Teams!$F$65*AL93*Teams!$F$74</f>
        <v>238.14000000000001</v>
      </c>
      <c r="AM97" s="44">
        <f>AM$5*Teams!$F$65*AM93*Teams!$F$74</f>
        <v>238.14000000000001</v>
      </c>
      <c r="AN97" s="44">
        <f>AN$5*Teams!$F$65*AN93*Teams!$F$74</f>
        <v>238.14000000000001</v>
      </c>
      <c r="AO97" s="44">
        <f>AO$5*Teams!$F$65*AO93*Teams!$F$74</f>
        <v>0</v>
      </c>
      <c r="AP97" s="44">
        <f>AP$5*Teams!$F$65*AP93*Teams!$F$74</f>
        <v>0</v>
      </c>
      <c r="AQ97" s="44">
        <f>AQ$5*Teams!$F$65*AQ93*Teams!$F$74</f>
        <v>0</v>
      </c>
      <c r="AR97" s="44">
        <f>AR$5*Teams!$F$65*AR93*Teams!$F$74</f>
        <v>0</v>
      </c>
      <c r="AS97" s="44">
        <f>AS$5*Teams!$F$65*AS93*Teams!$F$74</f>
        <v>0</v>
      </c>
      <c r="AT97" s="44">
        <f>AT$5*Teams!$F$65*AT93*Teams!$F$74</f>
        <v>0</v>
      </c>
      <c r="AU97" s="44">
        <f>AU$5*Teams!$F$65*AU93*Teams!$F$74</f>
        <v>0</v>
      </c>
      <c r="AV97" s="44">
        <f>AV$5*Teams!$F$65*AV93*Teams!$F$74</f>
        <v>0</v>
      </c>
      <c r="AW97" s="44">
        <f>AW$5*Teams!$F$65*AW93*Teams!$F$74</f>
        <v>0</v>
      </c>
      <c r="AX97" s="44">
        <f>AX$5*Teams!$F$65*AX93*Teams!$F$74</f>
        <v>0</v>
      </c>
      <c r="AY97" s="44">
        <f>AY$5*Teams!$F$65*AY93*Teams!$F$74</f>
        <v>0</v>
      </c>
      <c r="AZ97" s="44">
        <f>AZ$5*Teams!$F$65*AZ93*Teams!$F$74</f>
        <v>0</v>
      </c>
      <c r="BA97" s="44">
        <f>BA$5*Teams!$F$65*BA93*Teams!$F$74</f>
        <v>0</v>
      </c>
      <c r="BB97" s="44">
        <f>BB$5*Teams!$F$65*BB93*Teams!$F$74</f>
        <v>0</v>
      </c>
      <c r="BC97" s="44">
        <f>BC$5*Teams!$F$65*BC93*Teams!$F$74</f>
        <v>0</v>
      </c>
      <c r="BD97" s="44">
        <f>BD$5*Teams!$F$65*BD93*Teams!$F$74</f>
        <v>0</v>
      </c>
      <c r="BE97" s="44">
        <f>BE$5*Teams!$F$65*BE93*Teams!$F$74</f>
        <v>0</v>
      </c>
      <c r="BF97" s="44">
        <f>BF$5*Teams!$F$65*BF93*Teams!$F$74</f>
        <v>0</v>
      </c>
      <c r="BG97" s="44">
        <f>BG$5*Teams!$F$65*BG93*Teams!$F$74</f>
        <v>0</v>
      </c>
      <c r="BH97" s="44">
        <f>BH$5*Teams!$F$65*BH93*Teams!$F$74</f>
        <v>0</v>
      </c>
      <c r="BI97" s="44">
        <f>BI$5*Teams!$F$65*BI93*Teams!$F$74</f>
        <v>0</v>
      </c>
      <c r="BJ97" s="44">
        <f>BJ$5*Teams!$F$65*BJ93*Teams!$F$74</f>
        <v>0</v>
      </c>
      <c r="BK97" s="44">
        <f>BK$5*Teams!$F$65*BK93*Teams!$F$74</f>
        <v>0</v>
      </c>
      <c r="BL97" s="44">
        <f>BL$5*Teams!$F$65*BL93*Teams!$F$74</f>
        <v>0</v>
      </c>
    </row>
    <row r="98" spans="1:64" x14ac:dyDescent="0.3">
      <c r="A98" s="8" t="s">
        <v>669</v>
      </c>
      <c r="B98" s="18" t="s">
        <v>505</v>
      </c>
      <c r="C98" s="44">
        <f t="shared" si="29"/>
        <v>0</v>
      </c>
      <c r="E98" s="44">
        <f>E$5*Teams!$F$64*Teams!$F$16*IF(E$4&gt;=Teams!$F$80,1,0)</f>
        <v>0</v>
      </c>
      <c r="F98" s="44">
        <f>F$5*Teams!$F$64*Teams!$F$16*IF(F$4&gt;=Teams!$F$80,1,0)</f>
        <v>0</v>
      </c>
      <c r="G98" s="44">
        <f>G$5*Teams!$F$64*Teams!$F$16*IF(G$4&gt;=Teams!$F$80,1,0)</f>
        <v>0</v>
      </c>
      <c r="H98" s="44">
        <f>H$5*Teams!$F$64*Teams!$F$16*IF(H$4&gt;=Teams!$F$80,1,0)</f>
        <v>0</v>
      </c>
      <c r="I98" s="44">
        <f>I$5*Teams!$F$64*Teams!$F$16*IF(I$4&gt;=Teams!$F$80,1,0)</f>
        <v>0</v>
      </c>
      <c r="J98" s="44">
        <f>J$5*Teams!$F$64*Teams!$F$16*IF(J$4&gt;=Teams!$F$80,1,0)</f>
        <v>0</v>
      </c>
      <c r="K98" s="44">
        <f>K$5*Teams!$F$64*Teams!$F$16*IF(K$4&gt;=Teams!$F$80,1,0)</f>
        <v>0</v>
      </c>
      <c r="L98" s="44">
        <f>L$5*Teams!$F$64*Teams!$F$16*IF(L$4&gt;=Teams!$F$80,1,0)</f>
        <v>0</v>
      </c>
      <c r="M98" s="44">
        <f>M$5*Teams!$F$64*Teams!$F$16*IF(M$4&gt;=Teams!$F$80,1,0)</f>
        <v>0</v>
      </c>
      <c r="N98" s="44">
        <f>N$5*Teams!$F$64*Teams!$F$16*IF(N$4&gt;=Teams!$F$80,1,0)</f>
        <v>0</v>
      </c>
      <c r="O98" s="44">
        <f>O$5*Teams!$F$64*Teams!$F$16*IF(O$4&gt;=Teams!$F$80,1,0)</f>
        <v>0</v>
      </c>
      <c r="P98" s="44">
        <f>P$5*Teams!$F$64*Teams!$F$16*IF(P$4&gt;=Teams!$F$80,1,0)</f>
        <v>0</v>
      </c>
      <c r="Q98" s="44">
        <f>Q$5*Teams!$F$64*Teams!$F$16*IF(Q$4&gt;=Teams!$F$80,1,0)</f>
        <v>0</v>
      </c>
      <c r="R98" s="44">
        <f>R$5*Teams!$F$64*Teams!$F$16*IF(R$4&gt;=Teams!$F$80,1,0)</f>
        <v>0</v>
      </c>
      <c r="S98" s="44">
        <f>S$5*Teams!$F$64*Teams!$F$16*IF(S$4&gt;=Teams!$F$80,1,0)</f>
        <v>0</v>
      </c>
      <c r="T98" s="44">
        <f>T$5*Teams!$F$64*Teams!$F$16*IF(T$4&gt;=Teams!$F$80,1,0)</f>
        <v>0</v>
      </c>
      <c r="U98" s="44">
        <f>U$5*Teams!$F$64*Teams!$F$16*IF(U$4&gt;=Teams!$F$80,1,0)</f>
        <v>0</v>
      </c>
      <c r="V98" s="44">
        <f>V$5*Teams!$F$64*Teams!$F$16*IF(V$4&gt;=Teams!$F$80,1,0)</f>
        <v>0</v>
      </c>
      <c r="W98" s="44">
        <f>W$5*Teams!$F$64*Teams!$F$16*IF(W$4&gt;=Teams!$F$80,1,0)</f>
        <v>0</v>
      </c>
      <c r="X98" s="44">
        <f>X$5*Teams!$F$64*Teams!$F$16*IF(X$4&gt;=Teams!$F$80,1,0)</f>
        <v>0</v>
      </c>
      <c r="Y98" s="44">
        <f>Y$5*Teams!$F$64*Teams!$F$16*IF(Y$4&gt;=Teams!$F$80,1,0)</f>
        <v>0</v>
      </c>
      <c r="Z98" s="44">
        <f>Z$5*Teams!$F$64*Teams!$F$16*IF(Z$4&gt;=Teams!$F$80,1,0)</f>
        <v>0</v>
      </c>
      <c r="AA98" s="44">
        <f>AA$5*Teams!$F$64*Teams!$F$16*IF(AA$4&gt;=Teams!$F$80,1,0)</f>
        <v>0</v>
      </c>
      <c r="AB98" s="44">
        <f>AB$5*Teams!$F$64*Teams!$F$16*IF(AB$4&gt;=Teams!$F$80,1,0)</f>
        <v>0</v>
      </c>
      <c r="AC98" s="44">
        <f>AC$5*Teams!$F$64*Teams!$F$16*IF(AC$4&gt;=Teams!$F$80,1,0)</f>
        <v>0</v>
      </c>
      <c r="AD98" s="44">
        <f>AD$5*Teams!$F$64*Teams!$F$16*IF(AD$4&gt;=Teams!$F$80,1,0)</f>
        <v>0</v>
      </c>
      <c r="AE98" s="44">
        <f>AE$5*Teams!$F$64*Teams!$F$16*IF(AE$4&gt;=Teams!$F$80,1,0)</f>
        <v>0</v>
      </c>
      <c r="AF98" s="44">
        <f>AF$5*Teams!$F$64*Teams!$F$16*IF(AF$4&gt;=Teams!$F$80,1,0)</f>
        <v>0</v>
      </c>
      <c r="AG98" s="44">
        <f>AG$5*Teams!$F$64*Teams!$F$16*IF(AG$4&gt;=Teams!$F$80,1,0)</f>
        <v>0</v>
      </c>
      <c r="AH98" s="44">
        <f>AH$5*Teams!$F$64*Teams!$F$16*IF(AH$4&gt;=Teams!$F$80,1,0)</f>
        <v>0</v>
      </c>
      <c r="AI98" s="44">
        <f>AI$5*Teams!$F$64*Teams!$F$16*IF(AI$4&gt;=Teams!$F$80,1,0)</f>
        <v>0</v>
      </c>
      <c r="AJ98" s="44">
        <f>AJ$5*Teams!$F$64*Teams!$F$16*IF(AJ$4&gt;=Teams!$F$80,1,0)</f>
        <v>0</v>
      </c>
      <c r="AK98" s="44">
        <f>AK$5*Teams!$F$64*Teams!$F$16*IF(AK$4&gt;=Teams!$F$80,1,0)</f>
        <v>0</v>
      </c>
      <c r="AL98" s="44">
        <f>AL$5*Teams!$F$64*Teams!$F$16*IF(AL$4&gt;=Teams!$F$80,1,0)</f>
        <v>0</v>
      </c>
      <c r="AM98" s="44">
        <f>AM$5*Teams!$F$64*Teams!$F$16*IF(AM$4&gt;=Teams!$F$80,1,0)</f>
        <v>0</v>
      </c>
      <c r="AN98" s="44">
        <f>AN$5*Teams!$F$64*Teams!$F$16*IF(AN$4&gt;=Teams!$F$80,1,0)</f>
        <v>0</v>
      </c>
      <c r="AO98" s="44">
        <f>AO$5*Teams!$F$64*Teams!$F$16*IF(AO$4&gt;=Teams!$F$80,1,0)</f>
        <v>0</v>
      </c>
      <c r="AP98" s="44">
        <f>AP$5*Teams!$F$64*Teams!$F$16*IF(AP$4&gt;=Teams!$F$80,1,0)</f>
        <v>0</v>
      </c>
      <c r="AQ98" s="44">
        <f>AQ$5*Teams!$F$64*Teams!$F$16*IF(AQ$4&gt;=Teams!$F$80,1,0)</f>
        <v>0</v>
      </c>
      <c r="AR98" s="44">
        <f>AR$5*Teams!$F$64*Teams!$F$16*IF(AR$4&gt;=Teams!$F$80,1,0)</f>
        <v>0</v>
      </c>
      <c r="AS98" s="44">
        <f>AS$5*Teams!$F$64*Teams!$F$16*IF(AS$4&gt;=Teams!$F$80,1,0)</f>
        <v>0</v>
      </c>
      <c r="AT98" s="44">
        <f>AT$5*Teams!$F$64*Teams!$F$16*IF(AT$4&gt;=Teams!$F$80,1,0)</f>
        <v>0</v>
      </c>
      <c r="AU98" s="44">
        <f>AU$5*Teams!$F$64*Teams!$F$16*IF(AU$4&gt;=Teams!$F$80,1,0)</f>
        <v>0</v>
      </c>
      <c r="AV98" s="44">
        <f>AV$5*Teams!$F$64*Teams!$F$16*IF(AV$4&gt;=Teams!$F$80,1,0)</f>
        <v>0</v>
      </c>
      <c r="AW98" s="44">
        <f>AW$5*Teams!$F$64*Teams!$F$16*IF(AW$4&gt;=Teams!$F$80,1,0)</f>
        <v>0</v>
      </c>
      <c r="AX98" s="44">
        <f>AX$5*Teams!$F$64*Teams!$F$16*IF(AX$4&gt;=Teams!$F$80,1,0)</f>
        <v>0</v>
      </c>
      <c r="AY98" s="44">
        <f>AY$5*Teams!$F$64*Teams!$F$16*IF(AY$4&gt;=Teams!$F$80,1,0)</f>
        <v>0</v>
      </c>
      <c r="AZ98" s="44">
        <f>AZ$5*Teams!$F$64*Teams!$F$16*IF(AZ$4&gt;=Teams!$F$80,1,0)</f>
        <v>0</v>
      </c>
      <c r="BA98" s="44">
        <f>BA$5*Teams!$F$64*Teams!$F$16*IF(BA$4&gt;=Teams!$F$80,1,0)</f>
        <v>0</v>
      </c>
      <c r="BB98" s="44">
        <f>BB$5*Teams!$F$64*Teams!$F$16*IF(BB$4&gt;=Teams!$F$80,1,0)</f>
        <v>0</v>
      </c>
      <c r="BC98" s="44">
        <f>BC$5*Teams!$F$64*Teams!$F$16*IF(BC$4&gt;=Teams!$F$80,1,0)</f>
        <v>0</v>
      </c>
      <c r="BD98" s="44">
        <f>BD$5*Teams!$F$64*Teams!$F$16*IF(BD$4&gt;=Teams!$F$80,1,0)</f>
        <v>0</v>
      </c>
      <c r="BE98" s="44">
        <f>BE$5*Teams!$F$64*Teams!$F$16*IF(BE$4&gt;=Teams!$F$80,1,0)</f>
        <v>0</v>
      </c>
      <c r="BF98" s="44">
        <f>BF$5*Teams!$F$64*Teams!$F$16*IF(BF$4&gt;=Teams!$F$80,1,0)</f>
        <v>0</v>
      </c>
      <c r="BG98" s="44">
        <f>BG$5*Teams!$F$64*Teams!$F$16*IF(BG$4&gt;=Teams!$F$80,1,0)</f>
        <v>0</v>
      </c>
      <c r="BH98" s="44">
        <f>BH$5*Teams!$F$64*Teams!$F$16*IF(BH$4&gt;=Teams!$F$80,1,0)</f>
        <v>0</v>
      </c>
      <c r="BI98" s="44">
        <f>BI$5*Teams!$F$64*Teams!$F$16*IF(BI$4&gt;=Teams!$F$80,1,0)</f>
        <v>0</v>
      </c>
      <c r="BJ98" s="44">
        <f>BJ$5*Teams!$F$64*Teams!$F$16*IF(BJ$4&gt;=Teams!$F$80,1,0)</f>
        <v>0</v>
      </c>
      <c r="BK98" s="44">
        <f>BK$5*Teams!$F$64*Teams!$F$16*IF(BK$4&gt;=Teams!$F$80,1,0)</f>
        <v>0</v>
      </c>
      <c r="BL98" s="44">
        <f>BL$5*Teams!$F$64*Teams!$F$16*IF(BL$4&gt;=Teams!$F$80,1,0)</f>
        <v>0</v>
      </c>
    </row>
    <row r="99" spans="1:64" x14ac:dyDescent="0.3">
      <c r="A99" s="8" t="s">
        <v>670</v>
      </c>
      <c r="B99" s="18" t="s">
        <v>435</v>
      </c>
      <c r="C99" s="44">
        <f t="shared" si="29"/>
        <v>13343.552000000011</v>
      </c>
      <c r="E99" s="44">
        <f>E$5*IF(AND(E$4&gt;=Teams!$F$80,Teams!$F$49=1),Teams!$F$44*Params!$D$10*Teams!$F$45*Teams!$F$75+Teams!$F$44*Params!$D$10*Teams!$F$47*Teams!$F$76/1000000+Teams!$F$77+Teams!$F$50*Teams!$F$78+E93*Teams!$F$51*Teams!$F$79/1000000,0)</f>
        <v>0</v>
      </c>
      <c r="F99" s="44">
        <f>F$5*IF(AND(F$4&gt;=Teams!$F$80,Teams!$F$49=1),Teams!$F$44*Params!$D$10*Teams!$F$45*Teams!$F$75+Teams!$F$44*Params!$D$10*Teams!$F$47*Teams!$F$76/1000000+Teams!$F$77+Teams!$F$50*Teams!$F$78+F93*Teams!$F$51*Teams!$F$79/1000000,0)</f>
        <v>0</v>
      </c>
      <c r="G99" s="44">
        <f>G$5*IF(AND(G$4&gt;=Teams!$F$80,Teams!$F$49=1),Teams!$F$44*Params!$D$10*Teams!$F$45*Teams!$F$75+Teams!$F$44*Params!$D$10*Teams!$F$47*Teams!$F$76/1000000+Teams!$F$77+Teams!$F$50*Teams!$F$78+G93*Teams!$F$51*Teams!$F$79/1000000,0)</f>
        <v>390.76966399999998</v>
      </c>
      <c r="H99" s="44">
        <f>H$5*IF(AND(H$4&gt;=Teams!$F$80,Teams!$F$49=1),Teams!$F$44*Params!$D$10*Teams!$F$45*Teams!$F$75+Teams!$F$44*Params!$D$10*Teams!$F$47*Teams!$F$76/1000000+Teams!$F$77+Teams!$F$50*Teams!$F$78+H93*Teams!$F$51*Teams!$F$79/1000000,0)</f>
        <v>391.269632</v>
      </c>
      <c r="I99" s="44">
        <f>I$5*IF(AND(I$4&gt;=Teams!$F$80,Teams!$F$49=1),Teams!$F$44*Params!$D$10*Teams!$F$45*Teams!$F$75+Teams!$F$44*Params!$D$10*Teams!$F$47*Teams!$F$76/1000000+Teams!$F$77+Teams!$F$50*Teams!$F$78+I93*Teams!$F$51*Teams!$F$79/1000000,0)</f>
        <v>391.86636800000002</v>
      </c>
      <c r="J99" s="44">
        <f>J$5*IF(AND(J$4&gt;=Teams!$F$80,Teams!$F$49=1),Teams!$F$44*Params!$D$10*Teams!$F$45*Teams!$F$75+Teams!$F$44*Params!$D$10*Teams!$F$47*Teams!$F$76/1000000+Teams!$F$77+Teams!$F$50*Teams!$F$78+J93*Teams!$F$51*Teams!$F$79/1000000,0)</f>
        <v>392.36633599999999</v>
      </c>
      <c r="K99" s="44">
        <f>K$5*IF(AND(K$4&gt;=Teams!$F$80,Teams!$F$49=1),Teams!$F$44*Params!$D$10*Teams!$F$45*Teams!$F$75+Teams!$F$44*Params!$D$10*Teams!$F$47*Teams!$F$76/1000000+Teams!$F$77+Teams!$F$50*Teams!$F$78+K93*Teams!$F$51*Teams!$F$79/1000000,0)</f>
        <v>392.57600000000002</v>
      </c>
      <c r="L99" s="44">
        <f>L$5*IF(AND(L$4&gt;=Teams!$F$80,Teams!$F$49=1),Teams!$F$44*Params!$D$10*Teams!$F$45*Teams!$F$75+Teams!$F$44*Params!$D$10*Teams!$F$47*Teams!$F$76/1000000+Teams!$F$77+Teams!$F$50*Teams!$F$78+L93*Teams!$F$51*Teams!$F$79/1000000,0)</f>
        <v>392.57600000000002</v>
      </c>
      <c r="M99" s="44">
        <f>M$5*IF(AND(M$4&gt;=Teams!$F$80,Teams!$F$49=1),Teams!$F$44*Params!$D$10*Teams!$F$45*Teams!$F$75+Teams!$F$44*Params!$D$10*Teams!$F$47*Teams!$F$76/1000000+Teams!$F$77+Teams!$F$50*Teams!$F$78+M93*Teams!$F$51*Teams!$F$79/1000000,0)</f>
        <v>392.57600000000002</v>
      </c>
      <c r="N99" s="44">
        <f>N$5*IF(AND(N$4&gt;=Teams!$F$80,Teams!$F$49=1),Teams!$F$44*Params!$D$10*Teams!$F$45*Teams!$F$75+Teams!$F$44*Params!$D$10*Teams!$F$47*Teams!$F$76/1000000+Teams!$F$77+Teams!$F$50*Teams!$F$78+N93*Teams!$F$51*Teams!$F$79/1000000,0)</f>
        <v>392.57600000000002</v>
      </c>
      <c r="O99" s="44">
        <f>O$5*IF(AND(O$4&gt;=Teams!$F$80,Teams!$F$49=1),Teams!$F$44*Params!$D$10*Teams!$F$45*Teams!$F$75+Teams!$F$44*Params!$D$10*Teams!$F$47*Teams!$F$76/1000000+Teams!$F$77+Teams!$F$50*Teams!$F$78+O93*Teams!$F$51*Teams!$F$79/1000000,0)</f>
        <v>392.57600000000002</v>
      </c>
      <c r="P99" s="44">
        <f>P$5*IF(AND(P$4&gt;=Teams!$F$80,Teams!$F$49=1),Teams!$F$44*Params!$D$10*Teams!$F$45*Teams!$F$75+Teams!$F$44*Params!$D$10*Teams!$F$47*Teams!$F$76/1000000+Teams!$F$77+Teams!$F$50*Teams!$F$78+P93*Teams!$F$51*Teams!$F$79/1000000,0)</f>
        <v>392.57600000000002</v>
      </c>
      <c r="Q99" s="44">
        <f>Q$5*IF(AND(Q$4&gt;=Teams!$F$80,Teams!$F$49=1),Teams!$F$44*Params!$D$10*Teams!$F$45*Teams!$F$75+Teams!$F$44*Params!$D$10*Teams!$F$47*Teams!$F$76/1000000+Teams!$F$77+Teams!$F$50*Teams!$F$78+Q93*Teams!$F$51*Teams!$F$79/1000000,0)</f>
        <v>392.57600000000002</v>
      </c>
      <c r="R99" s="44">
        <f>R$5*IF(AND(R$4&gt;=Teams!$F$80,Teams!$F$49=1),Teams!$F$44*Params!$D$10*Teams!$F$45*Teams!$F$75+Teams!$F$44*Params!$D$10*Teams!$F$47*Teams!$F$76/1000000+Teams!$F$77+Teams!$F$50*Teams!$F$78+R93*Teams!$F$51*Teams!$F$79/1000000,0)</f>
        <v>392.57600000000002</v>
      </c>
      <c r="S99" s="44">
        <f>S$5*IF(AND(S$4&gt;=Teams!$F$80,Teams!$F$49=1),Teams!$F$44*Params!$D$10*Teams!$F$45*Teams!$F$75+Teams!$F$44*Params!$D$10*Teams!$F$47*Teams!$F$76/1000000+Teams!$F$77+Teams!$F$50*Teams!$F$78+S93*Teams!$F$51*Teams!$F$79/1000000,0)</f>
        <v>392.57600000000002</v>
      </c>
      <c r="T99" s="44">
        <f>T$5*IF(AND(T$4&gt;=Teams!$F$80,Teams!$F$49=1),Teams!$F$44*Params!$D$10*Teams!$F$45*Teams!$F$75+Teams!$F$44*Params!$D$10*Teams!$F$47*Teams!$F$76/1000000+Teams!$F$77+Teams!$F$50*Teams!$F$78+T93*Teams!$F$51*Teams!$F$79/1000000,0)</f>
        <v>392.57600000000002</v>
      </c>
      <c r="U99" s="44">
        <f>U$5*IF(AND(U$4&gt;=Teams!$F$80,Teams!$F$49=1),Teams!$F$44*Params!$D$10*Teams!$F$45*Teams!$F$75+Teams!$F$44*Params!$D$10*Teams!$F$47*Teams!$F$76/1000000+Teams!$F$77+Teams!$F$50*Teams!$F$78+U93*Teams!$F$51*Teams!$F$79/1000000,0)</f>
        <v>392.57600000000002</v>
      </c>
      <c r="V99" s="44">
        <f>V$5*IF(AND(V$4&gt;=Teams!$F$80,Teams!$F$49=1),Teams!$F$44*Params!$D$10*Teams!$F$45*Teams!$F$75+Teams!$F$44*Params!$D$10*Teams!$F$47*Teams!$F$76/1000000+Teams!$F$77+Teams!$F$50*Teams!$F$78+V93*Teams!$F$51*Teams!$F$79/1000000,0)</f>
        <v>392.57600000000002</v>
      </c>
      <c r="W99" s="44">
        <f>W$5*IF(AND(W$4&gt;=Teams!$F$80,Teams!$F$49=1),Teams!$F$44*Params!$D$10*Teams!$F$45*Teams!$F$75+Teams!$F$44*Params!$D$10*Teams!$F$47*Teams!$F$76/1000000+Teams!$F$77+Teams!$F$50*Teams!$F$78+W93*Teams!$F$51*Teams!$F$79/1000000,0)</f>
        <v>392.57600000000002</v>
      </c>
      <c r="X99" s="44">
        <f>X$5*IF(AND(X$4&gt;=Teams!$F$80,Teams!$F$49=1),Teams!$F$44*Params!$D$10*Teams!$F$45*Teams!$F$75+Teams!$F$44*Params!$D$10*Teams!$F$47*Teams!$F$76/1000000+Teams!$F$77+Teams!$F$50*Teams!$F$78+X93*Teams!$F$51*Teams!$F$79/1000000,0)</f>
        <v>392.57600000000002</v>
      </c>
      <c r="Y99" s="44">
        <f>Y$5*IF(AND(Y$4&gt;=Teams!$F$80,Teams!$F$49=1),Teams!$F$44*Params!$D$10*Teams!$F$45*Teams!$F$75+Teams!$F$44*Params!$D$10*Teams!$F$47*Teams!$F$76/1000000+Teams!$F$77+Teams!$F$50*Teams!$F$78+Y93*Teams!$F$51*Teams!$F$79/1000000,0)</f>
        <v>392.57600000000002</v>
      </c>
      <c r="Z99" s="44">
        <f>Z$5*IF(AND(Z$4&gt;=Teams!$F$80,Teams!$F$49=1),Teams!$F$44*Params!$D$10*Teams!$F$45*Teams!$F$75+Teams!$F$44*Params!$D$10*Teams!$F$47*Teams!$F$76/1000000+Teams!$F$77+Teams!$F$50*Teams!$F$78+Z93*Teams!$F$51*Teams!$F$79/1000000,0)</f>
        <v>392.57600000000002</v>
      </c>
      <c r="AA99" s="44">
        <f>AA$5*IF(AND(AA$4&gt;=Teams!$F$80,Teams!$F$49=1),Teams!$F$44*Params!$D$10*Teams!$F$45*Teams!$F$75+Teams!$F$44*Params!$D$10*Teams!$F$47*Teams!$F$76/1000000+Teams!$F$77+Teams!$F$50*Teams!$F$78+AA93*Teams!$F$51*Teams!$F$79/1000000,0)</f>
        <v>392.57600000000002</v>
      </c>
      <c r="AB99" s="44">
        <f>AB$5*IF(AND(AB$4&gt;=Teams!$F$80,Teams!$F$49=1),Teams!$F$44*Params!$D$10*Teams!$F$45*Teams!$F$75+Teams!$F$44*Params!$D$10*Teams!$F$47*Teams!$F$76/1000000+Teams!$F$77+Teams!$F$50*Teams!$F$78+AB93*Teams!$F$51*Teams!$F$79/1000000,0)</f>
        <v>392.57600000000002</v>
      </c>
      <c r="AC99" s="44">
        <f>AC$5*IF(AND(AC$4&gt;=Teams!$F$80,Teams!$F$49=1),Teams!$F$44*Params!$D$10*Teams!$F$45*Teams!$F$75+Teams!$F$44*Params!$D$10*Teams!$F$47*Teams!$F$76/1000000+Teams!$F$77+Teams!$F$50*Teams!$F$78+AC93*Teams!$F$51*Teams!$F$79/1000000,0)</f>
        <v>392.57600000000002</v>
      </c>
      <c r="AD99" s="44">
        <f>AD$5*IF(AND(AD$4&gt;=Teams!$F$80,Teams!$F$49=1),Teams!$F$44*Params!$D$10*Teams!$F$45*Teams!$F$75+Teams!$F$44*Params!$D$10*Teams!$F$47*Teams!$F$76/1000000+Teams!$F$77+Teams!$F$50*Teams!$F$78+AD93*Teams!$F$51*Teams!$F$79/1000000,0)</f>
        <v>392.57600000000002</v>
      </c>
      <c r="AE99" s="44">
        <f>AE$5*IF(AND(AE$4&gt;=Teams!$F$80,Teams!$F$49=1),Teams!$F$44*Params!$D$10*Teams!$F$45*Teams!$F$75+Teams!$F$44*Params!$D$10*Teams!$F$47*Teams!$F$76/1000000+Teams!$F$77+Teams!$F$50*Teams!$F$78+AE93*Teams!$F$51*Teams!$F$79/1000000,0)</f>
        <v>392.57600000000002</v>
      </c>
      <c r="AF99" s="44">
        <f>AF$5*IF(AND(AF$4&gt;=Teams!$F$80,Teams!$F$49=1),Teams!$F$44*Params!$D$10*Teams!$F$45*Teams!$F$75+Teams!$F$44*Params!$D$10*Teams!$F$47*Teams!$F$76/1000000+Teams!$F$77+Teams!$F$50*Teams!$F$78+AF93*Teams!$F$51*Teams!$F$79/1000000,0)</f>
        <v>392.57600000000002</v>
      </c>
      <c r="AG99" s="44">
        <f>AG$5*IF(AND(AG$4&gt;=Teams!$F$80,Teams!$F$49=1),Teams!$F$44*Params!$D$10*Teams!$F$45*Teams!$F$75+Teams!$F$44*Params!$D$10*Teams!$F$47*Teams!$F$76/1000000+Teams!$F$77+Teams!$F$50*Teams!$F$78+AG93*Teams!$F$51*Teams!$F$79/1000000,0)</f>
        <v>392.57600000000002</v>
      </c>
      <c r="AH99" s="44">
        <f>AH$5*IF(AND(AH$4&gt;=Teams!$F$80,Teams!$F$49=1),Teams!$F$44*Params!$D$10*Teams!$F$45*Teams!$F$75+Teams!$F$44*Params!$D$10*Teams!$F$47*Teams!$F$76/1000000+Teams!$F$77+Teams!$F$50*Teams!$F$78+AH93*Teams!$F$51*Teams!$F$79/1000000,0)</f>
        <v>392.57600000000002</v>
      </c>
      <c r="AI99" s="44">
        <f>AI$5*IF(AND(AI$4&gt;=Teams!$F$80,Teams!$F$49=1),Teams!$F$44*Params!$D$10*Teams!$F$45*Teams!$F$75+Teams!$F$44*Params!$D$10*Teams!$F$47*Teams!$F$76/1000000+Teams!$F$77+Teams!$F$50*Teams!$F$78+AI93*Teams!$F$51*Teams!$F$79/1000000,0)</f>
        <v>392.57600000000002</v>
      </c>
      <c r="AJ99" s="44">
        <f>AJ$5*IF(AND(AJ$4&gt;=Teams!$F$80,Teams!$F$49=1),Teams!$F$44*Params!$D$10*Teams!$F$45*Teams!$F$75+Teams!$F$44*Params!$D$10*Teams!$F$47*Teams!$F$76/1000000+Teams!$F$77+Teams!$F$50*Teams!$F$78+AJ93*Teams!$F$51*Teams!$F$79/1000000,0)</f>
        <v>392.57600000000002</v>
      </c>
      <c r="AK99" s="44">
        <f>AK$5*IF(AND(AK$4&gt;=Teams!$F$80,Teams!$F$49=1),Teams!$F$44*Params!$D$10*Teams!$F$45*Teams!$F$75+Teams!$F$44*Params!$D$10*Teams!$F$47*Teams!$F$76/1000000+Teams!$F$77+Teams!$F$50*Teams!$F$78+AK93*Teams!$F$51*Teams!$F$79/1000000,0)</f>
        <v>392.57600000000002</v>
      </c>
      <c r="AL99" s="44">
        <f>AL$5*IF(AND(AL$4&gt;=Teams!$F$80,Teams!$F$49=1),Teams!$F$44*Params!$D$10*Teams!$F$45*Teams!$F$75+Teams!$F$44*Params!$D$10*Teams!$F$47*Teams!$F$76/1000000+Teams!$F$77+Teams!$F$50*Teams!$F$78+AL93*Teams!$F$51*Teams!$F$79/1000000,0)</f>
        <v>392.57600000000002</v>
      </c>
      <c r="AM99" s="44">
        <f>AM$5*IF(AND(AM$4&gt;=Teams!$F$80,Teams!$F$49=1),Teams!$F$44*Params!$D$10*Teams!$F$45*Teams!$F$75+Teams!$F$44*Params!$D$10*Teams!$F$47*Teams!$F$76/1000000+Teams!$F$77+Teams!$F$50*Teams!$F$78+AM93*Teams!$F$51*Teams!$F$79/1000000,0)</f>
        <v>392.57600000000002</v>
      </c>
      <c r="AN99" s="44">
        <f>AN$5*IF(AND(AN$4&gt;=Teams!$F$80,Teams!$F$49=1),Teams!$F$44*Params!$D$10*Teams!$F$45*Teams!$F$75+Teams!$F$44*Params!$D$10*Teams!$F$47*Teams!$F$76/1000000+Teams!$F$77+Teams!$F$50*Teams!$F$78+AN93*Teams!$F$51*Teams!$F$79/1000000,0)</f>
        <v>392.57600000000002</v>
      </c>
      <c r="AO99" s="44">
        <f>AO$5*IF(AND(AO$4&gt;=Teams!$F$80,Teams!$F$49=1),Teams!$F$44*Params!$D$10*Teams!$F$45*Teams!$F$75+Teams!$F$44*Params!$D$10*Teams!$F$47*Teams!$F$76/1000000+Teams!$F$77+Teams!$F$50*Teams!$F$78+AO93*Teams!$F$51*Teams!$F$79/1000000,0)</f>
        <v>0</v>
      </c>
      <c r="AP99" s="44">
        <f>AP$5*IF(AND(AP$4&gt;=Teams!$F$80,Teams!$F$49=1),Teams!$F$44*Params!$D$10*Teams!$F$45*Teams!$F$75+Teams!$F$44*Params!$D$10*Teams!$F$47*Teams!$F$76/1000000+Teams!$F$77+Teams!$F$50*Teams!$F$78+AP93*Teams!$F$51*Teams!$F$79/1000000,0)</f>
        <v>0</v>
      </c>
      <c r="AQ99" s="44">
        <f>AQ$5*IF(AND(AQ$4&gt;=Teams!$F$80,Teams!$F$49=1),Teams!$F$44*Params!$D$10*Teams!$F$45*Teams!$F$75+Teams!$F$44*Params!$D$10*Teams!$F$47*Teams!$F$76/1000000+Teams!$F$77+Teams!$F$50*Teams!$F$78+AQ93*Teams!$F$51*Teams!$F$79/1000000,0)</f>
        <v>0</v>
      </c>
      <c r="AR99" s="44">
        <f>AR$5*IF(AND(AR$4&gt;=Teams!$F$80,Teams!$F$49=1),Teams!$F$44*Params!$D$10*Teams!$F$45*Teams!$F$75+Teams!$F$44*Params!$D$10*Teams!$F$47*Teams!$F$76/1000000+Teams!$F$77+Teams!$F$50*Teams!$F$78+AR93*Teams!$F$51*Teams!$F$79/1000000,0)</f>
        <v>0</v>
      </c>
      <c r="AS99" s="44">
        <f>AS$5*IF(AND(AS$4&gt;=Teams!$F$80,Teams!$F$49=1),Teams!$F$44*Params!$D$10*Teams!$F$45*Teams!$F$75+Teams!$F$44*Params!$D$10*Teams!$F$47*Teams!$F$76/1000000+Teams!$F$77+Teams!$F$50*Teams!$F$78+AS93*Teams!$F$51*Teams!$F$79/1000000,0)</f>
        <v>0</v>
      </c>
      <c r="AT99" s="44">
        <f>AT$5*IF(AND(AT$4&gt;=Teams!$F$80,Teams!$F$49=1),Teams!$F$44*Params!$D$10*Teams!$F$45*Teams!$F$75+Teams!$F$44*Params!$D$10*Teams!$F$47*Teams!$F$76/1000000+Teams!$F$77+Teams!$F$50*Teams!$F$78+AT93*Teams!$F$51*Teams!$F$79/1000000,0)</f>
        <v>0</v>
      </c>
      <c r="AU99" s="44">
        <f>AU$5*IF(AND(AU$4&gt;=Teams!$F$80,Teams!$F$49=1),Teams!$F$44*Params!$D$10*Teams!$F$45*Teams!$F$75+Teams!$F$44*Params!$D$10*Teams!$F$47*Teams!$F$76/1000000+Teams!$F$77+Teams!$F$50*Teams!$F$78+AU93*Teams!$F$51*Teams!$F$79/1000000,0)</f>
        <v>0</v>
      </c>
      <c r="AV99" s="44">
        <f>AV$5*IF(AND(AV$4&gt;=Teams!$F$80,Teams!$F$49=1),Teams!$F$44*Params!$D$10*Teams!$F$45*Teams!$F$75+Teams!$F$44*Params!$D$10*Teams!$F$47*Teams!$F$76/1000000+Teams!$F$77+Teams!$F$50*Teams!$F$78+AV93*Teams!$F$51*Teams!$F$79/1000000,0)</f>
        <v>0</v>
      </c>
      <c r="AW99" s="44">
        <f>AW$5*IF(AND(AW$4&gt;=Teams!$F$80,Teams!$F$49=1),Teams!$F$44*Params!$D$10*Teams!$F$45*Teams!$F$75+Teams!$F$44*Params!$D$10*Teams!$F$47*Teams!$F$76/1000000+Teams!$F$77+Teams!$F$50*Teams!$F$78+AW93*Teams!$F$51*Teams!$F$79/1000000,0)</f>
        <v>0</v>
      </c>
      <c r="AX99" s="44">
        <f>AX$5*IF(AND(AX$4&gt;=Teams!$F$80,Teams!$F$49=1),Teams!$F$44*Params!$D$10*Teams!$F$45*Teams!$F$75+Teams!$F$44*Params!$D$10*Teams!$F$47*Teams!$F$76/1000000+Teams!$F$77+Teams!$F$50*Teams!$F$78+AX93*Teams!$F$51*Teams!$F$79/1000000,0)</f>
        <v>0</v>
      </c>
      <c r="AY99" s="44">
        <f>AY$5*IF(AND(AY$4&gt;=Teams!$F$80,Teams!$F$49=1),Teams!$F$44*Params!$D$10*Teams!$F$45*Teams!$F$75+Teams!$F$44*Params!$D$10*Teams!$F$47*Teams!$F$76/1000000+Teams!$F$77+Teams!$F$50*Teams!$F$78+AY93*Teams!$F$51*Teams!$F$79/1000000,0)</f>
        <v>0</v>
      </c>
      <c r="AZ99" s="44">
        <f>AZ$5*IF(AND(AZ$4&gt;=Teams!$F$80,Teams!$F$49=1),Teams!$F$44*Params!$D$10*Teams!$F$45*Teams!$F$75+Teams!$F$44*Params!$D$10*Teams!$F$47*Teams!$F$76/1000000+Teams!$F$77+Teams!$F$50*Teams!$F$78+AZ93*Teams!$F$51*Teams!$F$79/1000000,0)</f>
        <v>0</v>
      </c>
      <c r="BA99" s="44">
        <f>BA$5*IF(AND(BA$4&gt;=Teams!$F$80,Teams!$F$49=1),Teams!$F$44*Params!$D$10*Teams!$F$45*Teams!$F$75+Teams!$F$44*Params!$D$10*Teams!$F$47*Teams!$F$76/1000000+Teams!$F$77+Teams!$F$50*Teams!$F$78+BA93*Teams!$F$51*Teams!$F$79/1000000,0)</f>
        <v>0</v>
      </c>
      <c r="BB99" s="44">
        <f>BB$5*IF(AND(BB$4&gt;=Teams!$F$80,Teams!$F$49=1),Teams!$F$44*Params!$D$10*Teams!$F$45*Teams!$F$75+Teams!$F$44*Params!$D$10*Teams!$F$47*Teams!$F$76/1000000+Teams!$F$77+Teams!$F$50*Teams!$F$78+BB93*Teams!$F$51*Teams!$F$79/1000000,0)</f>
        <v>0</v>
      </c>
      <c r="BC99" s="44">
        <f>BC$5*IF(AND(BC$4&gt;=Teams!$F$80,Teams!$F$49=1),Teams!$F$44*Params!$D$10*Teams!$F$45*Teams!$F$75+Teams!$F$44*Params!$D$10*Teams!$F$47*Teams!$F$76/1000000+Teams!$F$77+Teams!$F$50*Teams!$F$78+BC93*Teams!$F$51*Teams!$F$79/1000000,0)</f>
        <v>0</v>
      </c>
      <c r="BD99" s="44">
        <f>BD$5*IF(AND(BD$4&gt;=Teams!$F$80,Teams!$F$49=1),Teams!$F$44*Params!$D$10*Teams!$F$45*Teams!$F$75+Teams!$F$44*Params!$D$10*Teams!$F$47*Teams!$F$76/1000000+Teams!$F$77+Teams!$F$50*Teams!$F$78+BD93*Teams!$F$51*Teams!$F$79/1000000,0)</f>
        <v>0</v>
      </c>
      <c r="BE99" s="44">
        <f>BE$5*IF(AND(BE$4&gt;=Teams!$F$80,Teams!$F$49=1),Teams!$F$44*Params!$D$10*Teams!$F$45*Teams!$F$75+Teams!$F$44*Params!$D$10*Teams!$F$47*Teams!$F$76/1000000+Teams!$F$77+Teams!$F$50*Teams!$F$78+BE93*Teams!$F$51*Teams!$F$79/1000000,0)</f>
        <v>0</v>
      </c>
      <c r="BF99" s="44">
        <f>BF$5*IF(AND(BF$4&gt;=Teams!$F$80,Teams!$F$49=1),Teams!$F$44*Params!$D$10*Teams!$F$45*Teams!$F$75+Teams!$F$44*Params!$D$10*Teams!$F$47*Teams!$F$76/1000000+Teams!$F$77+Teams!$F$50*Teams!$F$78+BF93*Teams!$F$51*Teams!$F$79/1000000,0)</f>
        <v>0</v>
      </c>
      <c r="BG99" s="44">
        <f>BG$5*IF(AND(BG$4&gt;=Teams!$F$80,Teams!$F$49=1),Teams!$F$44*Params!$D$10*Teams!$F$45*Teams!$F$75+Teams!$F$44*Params!$D$10*Teams!$F$47*Teams!$F$76/1000000+Teams!$F$77+Teams!$F$50*Teams!$F$78+BG93*Teams!$F$51*Teams!$F$79/1000000,0)</f>
        <v>0</v>
      </c>
      <c r="BH99" s="44">
        <f>BH$5*IF(AND(BH$4&gt;=Teams!$F$80,Teams!$F$49=1),Teams!$F$44*Params!$D$10*Teams!$F$45*Teams!$F$75+Teams!$F$44*Params!$D$10*Teams!$F$47*Teams!$F$76/1000000+Teams!$F$77+Teams!$F$50*Teams!$F$78+BH93*Teams!$F$51*Teams!$F$79/1000000,0)</f>
        <v>0</v>
      </c>
      <c r="BI99" s="44">
        <f>BI$5*IF(AND(BI$4&gt;=Teams!$F$80,Teams!$F$49=1),Teams!$F$44*Params!$D$10*Teams!$F$45*Teams!$F$75+Teams!$F$44*Params!$D$10*Teams!$F$47*Teams!$F$76/1000000+Teams!$F$77+Teams!$F$50*Teams!$F$78+BI93*Teams!$F$51*Teams!$F$79/1000000,0)</f>
        <v>0</v>
      </c>
      <c r="BJ99" s="44">
        <f>BJ$5*IF(AND(BJ$4&gt;=Teams!$F$80,Teams!$F$49=1),Teams!$F$44*Params!$D$10*Teams!$F$45*Teams!$F$75+Teams!$F$44*Params!$D$10*Teams!$F$47*Teams!$F$76/1000000+Teams!$F$77+Teams!$F$50*Teams!$F$78+BJ93*Teams!$F$51*Teams!$F$79/1000000,0)</f>
        <v>0</v>
      </c>
      <c r="BK99" s="44">
        <f>BK$5*IF(AND(BK$4&gt;=Teams!$F$80,Teams!$F$49=1),Teams!$F$44*Params!$D$10*Teams!$F$45*Teams!$F$75+Teams!$F$44*Params!$D$10*Teams!$F$47*Teams!$F$76/1000000+Teams!$F$77+Teams!$F$50*Teams!$F$78+BK93*Teams!$F$51*Teams!$F$79/1000000,0)</f>
        <v>0</v>
      </c>
      <c r="BL99" s="44">
        <f>BL$5*IF(AND(BL$4&gt;=Teams!$F$80,Teams!$F$49=1),Teams!$F$44*Params!$D$10*Teams!$F$45*Teams!$F$75+Teams!$F$44*Params!$D$10*Teams!$F$47*Teams!$F$76/1000000+Teams!$F$77+Teams!$F$50*Teams!$F$78+BL93*Teams!$F$51*Teams!$F$79/1000000,0)</f>
        <v>0</v>
      </c>
    </row>
    <row r="100" spans="1:64" x14ac:dyDescent="0.3">
      <c r="A100" s="8" t="s">
        <v>671</v>
      </c>
      <c r="B100" s="18" t="s">
        <v>169</v>
      </c>
      <c r="C100" s="44">
        <f t="shared" si="29"/>
        <v>4533.3333333333339</v>
      </c>
      <c r="E100" s="44">
        <f>E$5*IF(E$4&gt;=Teams!$F$80,Teams!$F$43*Params!$D$6*Org!$B$10*Params!$D$7/12,0)</f>
        <v>0</v>
      </c>
      <c r="F100" s="44">
        <f>F$5*IF(F$4&gt;=Teams!$F$80,Teams!$F$43*Params!$D$6*Org!$B$10*Params!$D$7/12,0)</f>
        <v>0</v>
      </c>
      <c r="G100" s="44">
        <f>G$5*IF(G$4&gt;=Teams!$F$80,Teams!$F$43*Params!$D$6*Org!$B$10*Params!$D$7/12,0)</f>
        <v>133.33333333333334</v>
      </c>
      <c r="H100" s="44">
        <f>H$5*IF(H$4&gt;=Teams!$F$80,Teams!$F$43*Params!$D$6*Org!$B$10*Params!$D$7/12,0)</f>
        <v>133.33333333333334</v>
      </c>
      <c r="I100" s="44">
        <f>I$5*IF(I$4&gt;=Teams!$F$80,Teams!$F$43*Params!$D$6*Org!$B$10*Params!$D$7/12,0)</f>
        <v>133.33333333333334</v>
      </c>
      <c r="J100" s="44">
        <f>J$5*IF(J$4&gt;=Teams!$F$80,Teams!$F$43*Params!$D$6*Org!$B$10*Params!$D$7/12,0)</f>
        <v>133.33333333333334</v>
      </c>
      <c r="K100" s="44">
        <f>K$5*IF(K$4&gt;=Teams!$F$80,Teams!$F$43*Params!$D$6*Org!$B$10*Params!$D$7/12,0)</f>
        <v>133.33333333333334</v>
      </c>
      <c r="L100" s="44">
        <f>L$5*IF(L$4&gt;=Teams!$F$80,Teams!$F$43*Params!$D$6*Org!$B$10*Params!$D$7/12,0)</f>
        <v>133.33333333333334</v>
      </c>
      <c r="M100" s="44">
        <f>M$5*IF(M$4&gt;=Teams!$F$80,Teams!$F$43*Params!$D$6*Org!$B$10*Params!$D$7/12,0)</f>
        <v>133.33333333333334</v>
      </c>
      <c r="N100" s="44">
        <f>N$5*IF(N$4&gt;=Teams!$F$80,Teams!$F$43*Params!$D$6*Org!$B$10*Params!$D$7/12,0)</f>
        <v>133.33333333333334</v>
      </c>
      <c r="O100" s="44">
        <f>O$5*IF(O$4&gt;=Teams!$F$80,Teams!$F$43*Params!$D$6*Org!$B$10*Params!$D$7/12,0)</f>
        <v>133.33333333333334</v>
      </c>
      <c r="P100" s="44">
        <f>P$5*IF(P$4&gt;=Teams!$F$80,Teams!$F$43*Params!$D$6*Org!$B$10*Params!$D$7/12,0)</f>
        <v>133.33333333333334</v>
      </c>
      <c r="Q100" s="44">
        <f>Q$5*IF(Q$4&gt;=Teams!$F$80,Teams!$F$43*Params!$D$6*Org!$B$10*Params!$D$7/12,0)</f>
        <v>133.33333333333334</v>
      </c>
      <c r="R100" s="44">
        <f>R$5*IF(R$4&gt;=Teams!$F$80,Teams!$F$43*Params!$D$6*Org!$B$10*Params!$D$7/12,0)</f>
        <v>133.33333333333334</v>
      </c>
      <c r="S100" s="44">
        <f>S$5*IF(S$4&gt;=Teams!$F$80,Teams!$F$43*Params!$D$6*Org!$B$10*Params!$D$7/12,0)</f>
        <v>133.33333333333334</v>
      </c>
      <c r="T100" s="44">
        <f>T$5*IF(T$4&gt;=Teams!$F$80,Teams!$F$43*Params!$D$6*Org!$B$10*Params!$D$7/12,0)</f>
        <v>133.33333333333334</v>
      </c>
      <c r="U100" s="44">
        <f>U$5*IF(U$4&gt;=Teams!$F$80,Teams!$F$43*Params!$D$6*Org!$B$10*Params!$D$7/12,0)</f>
        <v>133.33333333333334</v>
      </c>
      <c r="V100" s="44">
        <f>V$5*IF(V$4&gt;=Teams!$F$80,Teams!$F$43*Params!$D$6*Org!$B$10*Params!$D$7/12,0)</f>
        <v>133.33333333333334</v>
      </c>
      <c r="W100" s="44">
        <f>W$5*IF(W$4&gt;=Teams!$F$80,Teams!$F$43*Params!$D$6*Org!$B$10*Params!$D$7/12,0)</f>
        <v>133.33333333333334</v>
      </c>
      <c r="X100" s="44">
        <f>X$5*IF(X$4&gt;=Teams!$F$80,Teams!$F$43*Params!$D$6*Org!$B$10*Params!$D$7/12,0)</f>
        <v>133.33333333333334</v>
      </c>
      <c r="Y100" s="44">
        <f>Y$5*IF(Y$4&gt;=Teams!$F$80,Teams!$F$43*Params!$D$6*Org!$B$10*Params!$D$7/12,0)</f>
        <v>133.33333333333334</v>
      </c>
      <c r="Z100" s="44">
        <f>Z$5*IF(Z$4&gt;=Teams!$F$80,Teams!$F$43*Params!$D$6*Org!$B$10*Params!$D$7/12,0)</f>
        <v>133.33333333333334</v>
      </c>
      <c r="AA100" s="44">
        <f>AA$5*IF(AA$4&gt;=Teams!$F$80,Teams!$F$43*Params!$D$6*Org!$B$10*Params!$D$7/12,0)</f>
        <v>133.33333333333334</v>
      </c>
      <c r="AB100" s="44">
        <f>AB$5*IF(AB$4&gt;=Teams!$F$80,Teams!$F$43*Params!$D$6*Org!$B$10*Params!$D$7/12,0)</f>
        <v>133.33333333333334</v>
      </c>
      <c r="AC100" s="44">
        <f>AC$5*IF(AC$4&gt;=Teams!$F$80,Teams!$F$43*Params!$D$6*Org!$B$10*Params!$D$7/12,0)</f>
        <v>133.33333333333334</v>
      </c>
      <c r="AD100" s="44">
        <f>AD$5*IF(AD$4&gt;=Teams!$F$80,Teams!$F$43*Params!$D$6*Org!$B$10*Params!$D$7/12,0)</f>
        <v>133.33333333333334</v>
      </c>
      <c r="AE100" s="44">
        <f>AE$5*IF(AE$4&gt;=Teams!$F$80,Teams!$F$43*Params!$D$6*Org!$B$10*Params!$D$7/12,0)</f>
        <v>133.33333333333334</v>
      </c>
      <c r="AF100" s="44">
        <f>AF$5*IF(AF$4&gt;=Teams!$F$80,Teams!$F$43*Params!$D$6*Org!$B$10*Params!$D$7/12,0)</f>
        <v>133.33333333333334</v>
      </c>
      <c r="AG100" s="44">
        <f>AG$5*IF(AG$4&gt;=Teams!$F$80,Teams!$F$43*Params!$D$6*Org!$B$10*Params!$D$7/12,0)</f>
        <v>133.33333333333334</v>
      </c>
      <c r="AH100" s="44">
        <f>AH$5*IF(AH$4&gt;=Teams!$F$80,Teams!$F$43*Params!$D$6*Org!$B$10*Params!$D$7/12,0)</f>
        <v>133.33333333333334</v>
      </c>
      <c r="AI100" s="44">
        <f>AI$5*IF(AI$4&gt;=Teams!$F$80,Teams!$F$43*Params!$D$6*Org!$B$10*Params!$D$7/12,0)</f>
        <v>133.33333333333334</v>
      </c>
      <c r="AJ100" s="44">
        <f>AJ$5*IF(AJ$4&gt;=Teams!$F$80,Teams!$F$43*Params!$D$6*Org!$B$10*Params!$D$7/12,0)</f>
        <v>133.33333333333334</v>
      </c>
      <c r="AK100" s="44">
        <f>AK$5*IF(AK$4&gt;=Teams!$F$80,Teams!$F$43*Params!$D$6*Org!$B$10*Params!$D$7/12,0)</f>
        <v>133.33333333333334</v>
      </c>
      <c r="AL100" s="44">
        <f>AL$5*IF(AL$4&gt;=Teams!$F$80,Teams!$F$43*Params!$D$6*Org!$B$10*Params!$D$7/12,0)</f>
        <v>133.33333333333334</v>
      </c>
      <c r="AM100" s="44">
        <f>AM$5*IF(AM$4&gt;=Teams!$F$80,Teams!$F$43*Params!$D$6*Org!$B$10*Params!$D$7/12,0)</f>
        <v>133.33333333333334</v>
      </c>
      <c r="AN100" s="44">
        <f>AN$5*IF(AN$4&gt;=Teams!$F$80,Teams!$F$43*Params!$D$6*Org!$B$10*Params!$D$7/12,0)</f>
        <v>133.33333333333334</v>
      </c>
      <c r="AO100" s="44">
        <f>AO$5*IF(AO$4&gt;=Teams!$F$80,Teams!$F$43*Params!$D$6*Org!$B$10*Params!$D$7/12,0)</f>
        <v>0</v>
      </c>
      <c r="AP100" s="44">
        <f>AP$5*IF(AP$4&gt;=Teams!$F$80,Teams!$F$43*Params!$D$6*Org!$B$10*Params!$D$7/12,0)</f>
        <v>0</v>
      </c>
      <c r="AQ100" s="44">
        <f>AQ$5*IF(AQ$4&gt;=Teams!$F$80,Teams!$F$43*Params!$D$6*Org!$B$10*Params!$D$7/12,0)</f>
        <v>0</v>
      </c>
      <c r="AR100" s="44">
        <f>AR$5*IF(AR$4&gt;=Teams!$F$80,Teams!$F$43*Params!$D$6*Org!$B$10*Params!$D$7/12,0)</f>
        <v>0</v>
      </c>
      <c r="AS100" s="44">
        <f>AS$5*IF(AS$4&gt;=Teams!$F$80,Teams!$F$43*Params!$D$6*Org!$B$10*Params!$D$7/12,0)</f>
        <v>0</v>
      </c>
      <c r="AT100" s="44">
        <f>AT$5*IF(AT$4&gt;=Teams!$F$80,Teams!$F$43*Params!$D$6*Org!$B$10*Params!$D$7/12,0)</f>
        <v>0</v>
      </c>
      <c r="AU100" s="44">
        <f>AU$5*IF(AU$4&gt;=Teams!$F$80,Teams!$F$43*Params!$D$6*Org!$B$10*Params!$D$7/12,0)</f>
        <v>0</v>
      </c>
      <c r="AV100" s="44">
        <f>AV$5*IF(AV$4&gt;=Teams!$F$80,Teams!$F$43*Params!$D$6*Org!$B$10*Params!$D$7/12,0)</f>
        <v>0</v>
      </c>
      <c r="AW100" s="44">
        <f>AW$5*IF(AW$4&gt;=Teams!$F$80,Teams!$F$43*Params!$D$6*Org!$B$10*Params!$D$7/12,0)</f>
        <v>0</v>
      </c>
      <c r="AX100" s="44">
        <f>AX$5*IF(AX$4&gt;=Teams!$F$80,Teams!$F$43*Params!$D$6*Org!$B$10*Params!$D$7/12,0)</f>
        <v>0</v>
      </c>
      <c r="AY100" s="44">
        <f>AY$5*IF(AY$4&gt;=Teams!$F$80,Teams!$F$43*Params!$D$6*Org!$B$10*Params!$D$7/12,0)</f>
        <v>0</v>
      </c>
      <c r="AZ100" s="44">
        <f>AZ$5*IF(AZ$4&gt;=Teams!$F$80,Teams!$F$43*Params!$D$6*Org!$B$10*Params!$D$7/12,0)</f>
        <v>0</v>
      </c>
      <c r="BA100" s="44">
        <f>BA$5*IF(BA$4&gt;=Teams!$F$80,Teams!$F$43*Params!$D$6*Org!$B$10*Params!$D$7/12,0)</f>
        <v>0</v>
      </c>
      <c r="BB100" s="44">
        <f>BB$5*IF(BB$4&gt;=Teams!$F$80,Teams!$F$43*Params!$D$6*Org!$B$10*Params!$D$7/12,0)</f>
        <v>0</v>
      </c>
      <c r="BC100" s="44">
        <f>BC$5*IF(BC$4&gt;=Teams!$F$80,Teams!$F$43*Params!$D$6*Org!$B$10*Params!$D$7/12,0)</f>
        <v>0</v>
      </c>
      <c r="BD100" s="44">
        <f>BD$5*IF(BD$4&gt;=Teams!$F$80,Teams!$F$43*Params!$D$6*Org!$B$10*Params!$D$7/12,0)</f>
        <v>0</v>
      </c>
      <c r="BE100" s="44">
        <f>BE$5*IF(BE$4&gt;=Teams!$F$80,Teams!$F$43*Params!$D$6*Org!$B$10*Params!$D$7/12,0)</f>
        <v>0</v>
      </c>
      <c r="BF100" s="44">
        <f>BF$5*IF(BF$4&gt;=Teams!$F$80,Teams!$F$43*Params!$D$6*Org!$B$10*Params!$D$7/12,0)</f>
        <v>0</v>
      </c>
      <c r="BG100" s="44">
        <f>BG$5*IF(BG$4&gt;=Teams!$F$80,Teams!$F$43*Params!$D$6*Org!$B$10*Params!$D$7/12,0)</f>
        <v>0</v>
      </c>
      <c r="BH100" s="44">
        <f>BH$5*IF(BH$4&gt;=Teams!$F$80,Teams!$F$43*Params!$D$6*Org!$B$10*Params!$D$7/12,0)</f>
        <v>0</v>
      </c>
      <c r="BI100" s="44">
        <f>BI$5*IF(BI$4&gt;=Teams!$F$80,Teams!$F$43*Params!$D$6*Org!$B$10*Params!$D$7/12,0)</f>
        <v>0</v>
      </c>
      <c r="BJ100" s="44">
        <f>BJ$5*IF(BJ$4&gt;=Teams!$F$80,Teams!$F$43*Params!$D$6*Org!$B$10*Params!$D$7/12,0)</f>
        <v>0</v>
      </c>
      <c r="BK100" s="44">
        <f>BK$5*IF(BK$4&gt;=Teams!$F$80,Teams!$F$43*Params!$D$6*Org!$B$10*Params!$D$7/12,0)</f>
        <v>0</v>
      </c>
      <c r="BL100" s="44">
        <f>BL$5*IF(BL$4&gt;=Teams!$F$80,Teams!$F$43*Params!$D$6*Org!$B$10*Params!$D$7/12,0)</f>
        <v>0</v>
      </c>
    </row>
    <row r="101" spans="1:64" x14ac:dyDescent="0.3">
      <c r="A101" s="8" t="s">
        <v>672</v>
      </c>
      <c r="B101" s="18" t="s">
        <v>169</v>
      </c>
      <c r="C101" s="44">
        <f t="shared" si="29"/>
        <v>16706.666666666661</v>
      </c>
      <c r="E101" s="44">
        <f>E$5*IF(E$4&gt;=Teams!$F$80,Params!$D$23*Params!$D$24/60*(Org!$B$10/Org!$B$11)+Params!$D$27/12*Params!$D$13*Org!$B$10+E92/1000*Params!$D$28*Params!$D$29*(Org!$B$10/Org!$B$11),0)</f>
        <v>0</v>
      </c>
      <c r="F101" s="44">
        <f>F$5*IF(F$4&gt;=Teams!$F$80,Params!$D$23*Params!$D$24/60*(Org!$B$10/Org!$B$11)+Params!$D$27/12*Params!$D$13*Org!$B$10+F92/1000*Params!$D$28*Params!$D$29*(Org!$B$10/Org!$B$11),0)</f>
        <v>0</v>
      </c>
      <c r="G101" s="44">
        <f>G$5*IF(G$4&gt;=Teams!$F$80,Params!$D$23*Params!$D$24/60*(Org!$B$10/Org!$B$11)+Params!$D$27/12*Params!$D$13*Org!$B$10+G92/1000*Params!$D$28*Params!$D$29*(Org!$B$10/Org!$B$11),0)</f>
        <v>469.3966666666667</v>
      </c>
      <c r="H101" s="44">
        <f>H$5*IF(H$4&gt;=Teams!$F$80,Params!$D$23*Params!$D$24/60*(Org!$B$10/Org!$B$11)+Params!$D$27/12*Params!$D$13*Org!$B$10+H92/1000*Params!$D$28*Params!$D$29*(Org!$B$10/Org!$B$11),0)</f>
        <v>475.90666666666669</v>
      </c>
      <c r="I101" s="44">
        <f>I$5*IF(I$4&gt;=Teams!$F$80,Params!$D$23*Params!$D$24/60*(Org!$B$10/Org!$B$11)+Params!$D$27/12*Params!$D$13*Org!$B$10+I92/1000*Params!$D$28*Params!$D$29*(Org!$B$10/Org!$B$11),0)</f>
        <v>483.67666666666668</v>
      </c>
      <c r="J101" s="44">
        <f>J$5*IF(J$4&gt;=Teams!$F$80,Params!$D$23*Params!$D$24/60*(Org!$B$10/Org!$B$11)+Params!$D$27/12*Params!$D$13*Org!$B$10+J92/1000*Params!$D$28*Params!$D$29*(Org!$B$10/Org!$B$11),0)</f>
        <v>490.18666666666667</v>
      </c>
      <c r="K101" s="44">
        <f>K$5*IF(K$4&gt;=Teams!$F$80,Params!$D$23*Params!$D$24/60*(Org!$B$10/Org!$B$11)+Params!$D$27/12*Params!$D$13*Org!$B$10+K92/1000*Params!$D$28*Params!$D$29*(Org!$B$10/Org!$B$11),0)</f>
        <v>492.91666666666669</v>
      </c>
      <c r="L101" s="44">
        <f>L$5*IF(L$4&gt;=Teams!$F$80,Params!$D$23*Params!$D$24/60*(Org!$B$10/Org!$B$11)+Params!$D$27/12*Params!$D$13*Org!$B$10+L92/1000*Params!$D$28*Params!$D$29*(Org!$B$10/Org!$B$11),0)</f>
        <v>492.91666666666669</v>
      </c>
      <c r="M101" s="44">
        <f>M$5*IF(M$4&gt;=Teams!$F$80,Params!$D$23*Params!$D$24/60*(Org!$B$10/Org!$B$11)+Params!$D$27/12*Params!$D$13*Org!$B$10+M92/1000*Params!$D$28*Params!$D$29*(Org!$B$10/Org!$B$11),0)</f>
        <v>492.91666666666669</v>
      </c>
      <c r="N101" s="44">
        <f>N$5*IF(N$4&gt;=Teams!$F$80,Params!$D$23*Params!$D$24/60*(Org!$B$10/Org!$B$11)+Params!$D$27/12*Params!$D$13*Org!$B$10+N92/1000*Params!$D$28*Params!$D$29*(Org!$B$10/Org!$B$11),0)</f>
        <v>492.91666666666669</v>
      </c>
      <c r="O101" s="44">
        <f>O$5*IF(O$4&gt;=Teams!$F$80,Params!$D$23*Params!$D$24/60*(Org!$B$10/Org!$B$11)+Params!$D$27/12*Params!$D$13*Org!$B$10+O92/1000*Params!$D$28*Params!$D$29*(Org!$B$10/Org!$B$11),0)</f>
        <v>492.91666666666669</v>
      </c>
      <c r="P101" s="44">
        <f>P$5*IF(P$4&gt;=Teams!$F$80,Params!$D$23*Params!$D$24/60*(Org!$B$10/Org!$B$11)+Params!$D$27/12*Params!$D$13*Org!$B$10+P92/1000*Params!$D$28*Params!$D$29*(Org!$B$10/Org!$B$11),0)</f>
        <v>492.91666666666669</v>
      </c>
      <c r="Q101" s="44">
        <f>Q$5*IF(Q$4&gt;=Teams!$F$80,Params!$D$23*Params!$D$24/60*(Org!$B$10/Org!$B$11)+Params!$D$27/12*Params!$D$13*Org!$B$10+Q92/1000*Params!$D$28*Params!$D$29*(Org!$B$10/Org!$B$11),0)</f>
        <v>492.91666666666669</v>
      </c>
      <c r="R101" s="44">
        <f>R$5*IF(R$4&gt;=Teams!$F$80,Params!$D$23*Params!$D$24/60*(Org!$B$10/Org!$B$11)+Params!$D$27/12*Params!$D$13*Org!$B$10+R92/1000*Params!$D$28*Params!$D$29*(Org!$B$10/Org!$B$11),0)</f>
        <v>492.91666666666669</v>
      </c>
      <c r="S101" s="44">
        <f>S$5*IF(S$4&gt;=Teams!$F$80,Params!$D$23*Params!$D$24/60*(Org!$B$10/Org!$B$11)+Params!$D$27/12*Params!$D$13*Org!$B$10+S92/1000*Params!$D$28*Params!$D$29*(Org!$B$10/Org!$B$11),0)</f>
        <v>492.91666666666669</v>
      </c>
      <c r="T101" s="44">
        <f>T$5*IF(T$4&gt;=Teams!$F$80,Params!$D$23*Params!$D$24/60*(Org!$B$10/Org!$B$11)+Params!$D$27/12*Params!$D$13*Org!$B$10+T92/1000*Params!$D$28*Params!$D$29*(Org!$B$10/Org!$B$11),0)</f>
        <v>492.91666666666669</v>
      </c>
      <c r="U101" s="44">
        <f>U$5*IF(U$4&gt;=Teams!$F$80,Params!$D$23*Params!$D$24/60*(Org!$B$10/Org!$B$11)+Params!$D$27/12*Params!$D$13*Org!$B$10+U92/1000*Params!$D$28*Params!$D$29*(Org!$B$10/Org!$B$11),0)</f>
        <v>492.91666666666669</v>
      </c>
      <c r="V101" s="44">
        <f>V$5*IF(V$4&gt;=Teams!$F$80,Params!$D$23*Params!$D$24/60*(Org!$B$10/Org!$B$11)+Params!$D$27/12*Params!$D$13*Org!$B$10+V92/1000*Params!$D$28*Params!$D$29*(Org!$B$10/Org!$B$11),0)</f>
        <v>492.91666666666669</v>
      </c>
      <c r="W101" s="44">
        <f>W$5*IF(W$4&gt;=Teams!$F$80,Params!$D$23*Params!$D$24/60*(Org!$B$10/Org!$B$11)+Params!$D$27/12*Params!$D$13*Org!$B$10+W92/1000*Params!$D$28*Params!$D$29*(Org!$B$10/Org!$B$11),0)</f>
        <v>492.91666666666669</v>
      </c>
      <c r="X101" s="44">
        <f>X$5*IF(X$4&gt;=Teams!$F$80,Params!$D$23*Params!$D$24/60*(Org!$B$10/Org!$B$11)+Params!$D$27/12*Params!$D$13*Org!$B$10+X92/1000*Params!$D$28*Params!$D$29*(Org!$B$10/Org!$B$11),0)</f>
        <v>492.91666666666669</v>
      </c>
      <c r="Y101" s="44">
        <f>Y$5*IF(Y$4&gt;=Teams!$F$80,Params!$D$23*Params!$D$24/60*(Org!$B$10/Org!$B$11)+Params!$D$27/12*Params!$D$13*Org!$B$10+Y92/1000*Params!$D$28*Params!$D$29*(Org!$B$10/Org!$B$11),0)</f>
        <v>492.91666666666669</v>
      </c>
      <c r="Z101" s="44">
        <f>Z$5*IF(Z$4&gt;=Teams!$F$80,Params!$D$23*Params!$D$24/60*(Org!$B$10/Org!$B$11)+Params!$D$27/12*Params!$D$13*Org!$B$10+Z92/1000*Params!$D$28*Params!$D$29*(Org!$B$10/Org!$B$11),0)</f>
        <v>492.91666666666669</v>
      </c>
      <c r="AA101" s="44">
        <f>AA$5*IF(AA$4&gt;=Teams!$F$80,Params!$D$23*Params!$D$24/60*(Org!$B$10/Org!$B$11)+Params!$D$27/12*Params!$D$13*Org!$B$10+AA92/1000*Params!$D$28*Params!$D$29*(Org!$B$10/Org!$B$11),0)</f>
        <v>492.91666666666669</v>
      </c>
      <c r="AB101" s="44">
        <f>AB$5*IF(AB$4&gt;=Teams!$F$80,Params!$D$23*Params!$D$24/60*(Org!$B$10/Org!$B$11)+Params!$D$27/12*Params!$D$13*Org!$B$10+AB92/1000*Params!$D$28*Params!$D$29*(Org!$B$10/Org!$B$11),0)</f>
        <v>492.91666666666669</v>
      </c>
      <c r="AC101" s="44">
        <f>AC$5*IF(AC$4&gt;=Teams!$F$80,Params!$D$23*Params!$D$24/60*(Org!$B$10/Org!$B$11)+Params!$D$27/12*Params!$D$13*Org!$B$10+AC92/1000*Params!$D$28*Params!$D$29*(Org!$B$10/Org!$B$11),0)</f>
        <v>492.91666666666669</v>
      </c>
      <c r="AD101" s="44">
        <f>AD$5*IF(AD$4&gt;=Teams!$F$80,Params!$D$23*Params!$D$24/60*(Org!$B$10/Org!$B$11)+Params!$D$27/12*Params!$D$13*Org!$B$10+AD92/1000*Params!$D$28*Params!$D$29*(Org!$B$10/Org!$B$11),0)</f>
        <v>492.91666666666669</v>
      </c>
      <c r="AE101" s="44">
        <f>AE$5*IF(AE$4&gt;=Teams!$F$80,Params!$D$23*Params!$D$24/60*(Org!$B$10/Org!$B$11)+Params!$D$27/12*Params!$D$13*Org!$B$10+AE92/1000*Params!$D$28*Params!$D$29*(Org!$B$10/Org!$B$11),0)</f>
        <v>492.91666666666669</v>
      </c>
      <c r="AF101" s="44">
        <f>AF$5*IF(AF$4&gt;=Teams!$F$80,Params!$D$23*Params!$D$24/60*(Org!$B$10/Org!$B$11)+Params!$D$27/12*Params!$D$13*Org!$B$10+AF92/1000*Params!$D$28*Params!$D$29*(Org!$B$10/Org!$B$11),0)</f>
        <v>492.91666666666669</v>
      </c>
      <c r="AG101" s="44">
        <f>AG$5*IF(AG$4&gt;=Teams!$F$80,Params!$D$23*Params!$D$24/60*(Org!$B$10/Org!$B$11)+Params!$D$27/12*Params!$D$13*Org!$B$10+AG92/1000*Params!$D$28*Params!$D$29*(Org!$B$10/Org!$B$11),0)</f>
        <v>492.91666666666669</v>
      </c>
      <c r="AH101" s="44">
        <f>AH$5*IF(AH$4&gt;=Teams!$F$80,Params!$D$23*Params!$D$24/60*(Org!$B$10/Org!$B$11)+Params!$D$27/12*Params!$D$13*Org!$B$10+AH92/1000*Params!$D$28*Params!$D$29*(Org!$B$10/Org!$B$11),0)</f>
        <v>492.91666666666669</v>
      </c>
      <c r="AI101" s="44">
        <f>AI$5*IF(AI$4&gt;=Teams!$F$80,Params!$D$23*Params!$D$24/60*(Org!$B$10/Org!$B$11)+Params!$D$27/12*Params!$D$13*Org!$B$10+AI92/1000*Params!$D$28*Params!$D$29*(Org!$B$10/Org!$B$11),0)</f>
        <v>492.91666666666669</v>
      </c>
      <c r="AJ101" s="44">
        <f>AJ$5*IF(AJ$4&gt;=Teams!$F$80,Params!$D$23*Params!$D$24/60*(Org!$B$10/Org!$B$11)+Params!$D$27/12*Params!$D$13*Org!$B$10+AJ92/1000*Params!$D$28*Params!$D$29*(Org!$B$10/Org!$B$11),0)</f>
        <v>492.91666666666669</v>
      </c>
      <c r="AK101" s="44">
        <f>AK$5*IF(AK$4&gt;=Teams!$F$80,Params!$D$23*Params!$D$24/60*(Org!$B$10/Org!$B$11)+Params!$D$27/12*Params!$D$13*Org!$B$10+AK92/1000*Params!$D$28*Params!$D$29*(Org!$B$10/Org!$B$11),0)</f>
        <v>492.91666666666669</v>
      </c>
      <c r="AL101" s="44">
        <f>AL$5*IF(AL$4&gt;=Teams!$F$80,Params!$D$23*Params!$D$24/60*(Org!$B$10/Org!$B$11)+Params!$D$27/12*Params!$D$13*Org!$B$10+AL92/1000*Params!$D$28*Params!$D$29*(Org!$B$10/Org!$B$11),0)</f>
        <v>492.91666666666669</v>
      </c>
      <c r="AM101" s="44">
        <f>AM$5*IF(AM$4&gt;=Teams!$F$80,Params!$D$23*Params!$D$24/60*(Org!$B$10/Org!$B$11)+Params!$D$27/12*Params!$D$13*Org!$B$10+AM92/1000*Params!$D$28*Params!$D$29*(Org!$B$10/Org!$B$11),0)</f>
        <v>492.91666666666669</v>
      </c>
      <c r="AN101" s="44">
        <f>AN$5*IF(AN$4&gt;=Teams!$F$80,Params!$D$23*Params!$D$24/60*(Org!$B$10/Org!$B$11)+Params!$D$27/12*Params!$D$13*Org!$B$10+AN92/1000*Params!$D$28*Params!$D$29*(Org!$B$10/Org!$B$11),0)</f>
        <v>492.91666666666669</v>
      </c>
      <c r="AO101" s="44">
        <f>AO$5*IF(AO$4&gt;=Teams!$F$80,Params!$D$23*Params!$D$24/60*(Org!$B$10/Org!$B$11)+Params!$D$27/12*Params!$D$13*Org!$B$10+AO92/1000*Params!$D$28*Params!$D$29*(Org!$B$10/Org!$B$11),0)</f>
        <v>0</v>
      </c>
      <c r="AP101" s="44">
        <f>AP$5*IF(AP$4&gt;=Teams!$F$80,Params!$D$23*Params!$D$24/60*(Org!$B$10/Org!$B$11)+Params!$D$27/12*Params!$D$13*Org!$B$10+AP92/1000*Params!$D$28*Params!$D$29*(Org!$B$10/Org!$B$11),0)</f>
        <v>0</v>
      </c>
      <c r="AQ101" s="44">
        <f>AQ$5*IF(AQ$4&gt;=Teams!$F$80,Params!$D$23*Params!$D$24/60*(Org!$B$10/Org!$B$11)+Params!$D$27/12*Params!$D$13*Org!$B$10+AQ92/1000*Params!$D$28*Params!$D$29*(Org!$B$10/Org!$B$11),0)</f>
        <v>0</v>
      </c>
      <c r="AR101" s="44">
        <f>AR$5*IF(AR$4&gt;=Teams!$F$80,Params!$D$23*Params!$D$24/60*(Org!$B$10/Org!$B$11)+Params!$D$27/12*Params!$D$13*Org!$B$10+AR92/1000*Params!$D$28*Params!$D$29*(Org!$B$10/Org!$B$11),0)</f>
        <v>0</v>
      </c>
      <c r="AS101" s="44">
        <f>AS$5*IF(AS$4&gt;=Teams!$F$80,Params!$D$23*Params!$D$24/60*(Org!$B$10/Org!$B$11)+Params!$D$27/12*Params!$D$13*Org!$B$10+AS92/1000*Params!$D$28*Params!$D$29*(Org!$B$10/Org!$B$11),0)</f>
        <v>0</v>
      </c>
      <c r="AT101" s="44">
        <f>AT$5*IF(AT$4&gt;=Teams!$F$80,Params!$D$23*Params!$D$24/60*(Org!$B$10/Org!$B$11)+Params!$D$27/12*Params!$D$13*Org!$B$10+AT92/1000*Params!$D$28*Params!$D$29*(Org!$B$10/Org!$B$11),0)</f>
        <v>0</v>
      </c>
      <c r="AU101" s="44">
        <f>AU$5*IF(AU$4&gt;=Teams!$F$80,Params!$D$23*Params!$D$24/60*(Org!$B$10/Org!$B$11)+Params!$D$27/12*Params!$D$13*Org!$B$10+AU92/1000*Params!$D$28*Params!$D$29*(Org!$B$10/Org!$B$11),0)</f>
        <v>0</v>
      </c>
      <c r="AV101" s="44">
        <f>AV$5*IF(AV$4&gt;=Teams!$F$80,Params!$D$23*Params!$D$24/60*(Org!$B$10/Org!$B$11)+Params!$D$27/12*Params!$D$13*Org!$B$10+AV92/1000*Params!$D$28*Params!$D$29*(Org!$B$10/Org!$B$11),0)</f>
        <v>0</v>
      </c>
      <c r="AW101" s="44">
        <f>AW$5*IF(AW$4&gt;=Teams!$F$80,Params!$D$23*Params!$D$24/60*(Org!$B$10/Org!$B$11)+Params!$D$27/12*Params!$D$13*Org!$B$10+AW92/1000*Params!$D$28*Params!$D$29*(Org!$B$10/Org!$B$11),0)</f>
        <v>0</v>
      </c>
      <c r="AX101" s="44">
        <f>AX$5*IF(AX$4&gt;=Teams!$F$80,Params!$D$23*Params!$D$24/60*(Org!$B$10/Org!$B$11)+Params!$D$27/12*Params!$D$13*Org!$B$10+AX92/1000*Params!$D$28*Params!$D$29*(Org!$B$10/Org!$B$11),0)</f>
        <v>0</v>
      </c>
      <c r="AY101" s="44">
        <f>AY$5*IF(AY$4&gt;=Teams!$F$80,Params!$D$23*Params!$D$24/60*(Org!$B$10/Org!$B$11)+Params!$D$27/12*Params!$D$13*Org!$B$10+AY92/1000*Params!$D$28*Params!$D$29*(Org!$B$10/Org!$B$11),0)</f>
        <v>0</v>
      </c>
      <c r="AZ101" s="44">
        <f>AZ$5*IF(AZ$4&gt;=Teams!$F$80,Params!$D$23*Params!$D$24/60*(Org!$B$10/Org!$B$11)+Params!$D$27/12*Params!$D$13*Org!$B$10+AZ92/1000*Params!$D$28*Params!$D$29*(Org!$B$10/Org!$B$11),0)</f>
        <v>0</v>
      </c>
      <c r="BA101" s="44">
        <f>BA$5*IF(BA$4&gt;=Teams!$F$80,Params!$D$23*Params!$D$24/60*(Org!$B$10/Org!$B$11)+Params!$D$27/12*Params!$D$13*Org!$B$10+BA92/1000*Params!$D$28*Params!$D$29*(Org!$B$10/Org!$B$11),0)</f>
        <v>0</v>
      </c>
      <c r="BB101" s="44">
        <f>BB$5*IF(BB$4&gt;=Teams!$F$80,Params!$D$23*Params!$D$24/60*(Org!$B$10/Org!$B$11)+Params!$D$27/12*Params!$D$13*Org!$B$10+BB92/1000*Params!$D$28*Params!$D$29*(Org!$B$10/Org!$B$11),0)</f>
        <v>0</v>
      </c>
      <c r="BC101" s="44">
        <f>BC$5*IF(BC$4&gt;=Teams!$F$80,Params!$D$23*Params!$D$24/60*(Org!$B$10/Org!$B$11)+Params!$D$27/12*Params!$D$13*Org!$B$10+BC92/1000*Params!$D$28*Params!$D$29*(Org!$B$10/Org!$B$11),0)</f>
        <v>0</v>
      </c>
      <c r="BD101" s="44">
        <f>BD$5*IF(BD$4&gt;=Teams!$F$80,Params!$D$23*Params!$D$24/60*(Org!$B$10/Org!$B$11)+Params!$D$27/12*Params!$D$13*Org!$B$10+BD92/1000*Params!$D$28*Params!$D$29*(Org!$B$10/Org!$B$11),0)</f>
        <v>0</v>
      </c>
      <c r="BE101" s="44">
        <f>BE$5*IF(BE$4&gt;=Teams!$F$80,Params!$D$23*Params!$D$24/60*(Org!$B$10/Org!$B$11)+Params!$D$27/12*Params!$D$13*Org!$B$10+BE92/1000*Params!$D$28*Params!$D$29*(Org!$B$10/Org!$B$11),0)</f>
        <v>0</v>
      </c>
      <c r="BF101" s="44">
        <f>BF$5*IF(BF$4&gt;=Teams!$F$80,Params!$D$23*Params!$D$24/60*(Org!$B$10/Org!$B$11)+Params!$D$27/12*Params!$D$13*Org!$B$10+BF92/1000*Params!$D$28*Params!$D$29*(Org!$B$10/Org!$B$11),0)</f>
        <v>0</v>
      </c>
      <c r="BG101" s="44">
        <f>BG$5*IF(BG$4&gt;=Teams!$F$80,Params!$D$23*Params!$D$24/60*(Org!$B$10/Org!$B$11)+Params!$D$27/12*Params!$D$13*Org!$B$10+BG92/1000*Params!$D$28*Params!$D$29*(Org!$B$10/Org!$B$11),0)</f>
        <v>0</v>
      </c>
      <c r="BH101" s="44">
        <f>BH$5*IF(BH$4&gt;=Teams!$F$80,Params!$D$23*Params!$D$24/60*(Org!$B$10/Org!$B$11)+Params!$D$27/12*Params!$D$13*Org!$B$10+BH92/1000*Params!$D$28*Params!$D$29*(Org!$B$10/Org!$B$11),0)</f>
        <v>0</v>
      </c>
      <c r="BI101" s="44">
        <f>BI$5*IF(BI$4&gt;=Teams!$F$80,Params!$D$23*Params!$D$24/60*(Org!$B$10/Org!$B$11)+Params!$D$27/12*Params!$D$13*Org!$B$10+BI92/1000*Params!$D$28*Params!$D$29*(Org!$B$10/Org!$B$11),0)</f>
        <v>0</v>
      </c>
      <c r="BJ101" s="44">
        <f>BJ$5*IF(BJ$4&gt;=Teams!$F$80,Params!$D$23*Params!$D$24/60*(Org!$B$10/Org!$B$11)+Params!$D$27/12*Params!$D$13*Org!$B$10+BJ92/1000*Params!$D$28*Params!$D$29*(Org!$B$10/Org!$B$11),0)</f>
        <v>0</v>
      </c>
      <c r="BK101" s="44">
        <f>BK$5*IF(BK$4&gt;=Teams!$F$80,Params!$D$23*Params!$D$24/60*(Org!$B$10/Org!$B$11)+Params!$D$27/12*Params!$D$13*Org!$B$10+BK92/1000*Params!$D$28*Params!$D$29*(Org!$B$10/Org!$B$11),0)</f>
        <v>0</v>
      </c>
      <c r="BL101" s="44">
        <f>BL$5*IF(BL$4&gt;=Teams!$F$80,Params!$D$23*Params!$D$24/60*(Org!$B$10/Org!$B$11)+Params!$D$27/12*Params!$D$13*Org!$B$10+BL92/1000*Params!$D$28*Params!$D$29*(Org!$B$10/Org!$B$11),0)</f>
        <v>0</v>
      </c>
    </row>
    <row r="102" spans="1:64" x14ac:dyDescent="0.3">
      <c r="A102" s="8" t="s">
        <v>673</v>
      </c>
      <c r="B102" s="18" t="s">
        <v>604</v>
      </c>
      <c r="C102" s="44">
        <f t="shared" si="29"/>
        <v>1760.0000000000002</v>
      </c>
      <c r="E102" s="44">
        <f>E$5*IF(AND(E$4&gt;Teams!$F$80,MOD(E$4-Teams!$F$80,MAX(1,ROUND(Params!$D$25,0)))=0),(Params!$D$26+Params!$D$17*Params!$D$16)*Org!$B$10,0)</f>
        <v>0</v>
      </c>
      <c r="F102" s="44">
        <f>F$5*IF(AND(F$4&gt;Teams!$F$80,MOD(F$4-Teams!$F$80,MAX(1,ROUND(Params!$D$25,0)))=0),(Params!$D$26+Params!$D$17*Params!$D$16)*Org!$B$10,0)</f>
        <v>0</v>
      </c>
      <c r="G102" s="44">
        <f>G$5*IF(AND(G$4&gt;Teams!$F$80,MOD(G$4-Teams!$F$80,MAX(1,ROUND(Params!$D$25,0)))=0),(Params!$D$26+Params!$D$17*Params!$D$16)*Org!$B$10,0)</f>
        <v>0</v>
      </c>
      <c r="H102" s="44">
        <f>H$5*IF(AND(H$4&gt;Teams!$F$80,MOD(H$4-Teams!$F$80,MAX(1,ROUND(Params!$D$25,0)))=0),(Params!$D$26+Params!$D$17*Params!$D$16)*Org!$B$10,0)</f>
        <v>0</v>
      </c>
      <c r="I102" s="44">
        <f>I$5*IF(AND(I$4&gt;Teams!$F$80,MOD(I$4-Teams!$F$80,MAX(1,ROUND(Params!$D$25,0)))=0),(Params!$D$26+Params!$D$17*Params!$D$16)*Org!$B$10,0)</f>
        <v>0</v>
      </c>
      <c r="J102" s="44">
        <f>J$5*IF(AND(J$4&gt;Teams!$F$80,MOD(J$4-Teams!$F$80,MAX(1,ROUND(Params!$D$25,0)))=0),(Params!$D$26+Params!$D$17*Params!$D$16)*Org!$B$10,0)</f>
        <v>0</v>
      </c>
      <c r="K102" s="44">
        <f>K$5*IF(AND(K$4&gt;Teams!$F$80,MOD(K$4-Teams!$F$80,MAX(1,ROUND(Params!$D$25,0)))=0),(Params!$D$26+Params!$D$17*Params!$D$16)*Org!$B$10,0)</f>
        <v>0</v>
      </c>
      <c r="L102" s="44">
        <f>L$5*IF(AND(L$4&gt;Teams!$F$80,MOD(L$4-Teams!$F$80,MAX(1,ROUND(Params!$D$25,0)))=0),(Params!$D$26+Params!$D$17*Params!$D$16)*Org!$B$10,0)</f>
        <v>0</v>
      </c>
      <c r="M102" s="44">
        <f>M$5*IF(AND(M$4&gt;Teams!$F$80,MOD(M$4-Teams!$F$80,MAX(1,ROUND(Params!$D$25,0)))=0),(Params!$D$26+Params!$D$17*Params!$D$16)*Org!$B$10,0)</f>
        <v>0</v>
      </c>
      <c r="N102" s="44">
        <f>N$5*IF(AND(N$4&gt;Teams!$F$80,MOD(N$4-Teams!$F$80,MAX(1,ROUND(Params!$D$25,0)))=0),(Params!$D$26+Params!$D$17*Params!$D$16)*Org!$B$10,0)</f>
        <v>0</v>
      </c>
      <c r="O102" s="44">
        <f>O$5*IF(AND(O$4&gt;Teams!$F$80,MOD(O$4-Teams!$F$80,MAX(1,ROUND(Params!$D$25,0)))=0),(Params!$D$26+Params!$D$17*Params!$D$16)*Org!$B$10,0)</f>
        <v>0</v>
      </c>
      <c r="P102" s="44">
        <f>P$5*IF(AND(P$4&gt;Teams!$F$80,MOD(P$4-Teams!$F$80,MAX(1,ROUND(Params!$D$25,0)))=0),(Params!$D$26+Params!$D$17*Params!$D$16)*Org!$B$10,0)</f>
        <v>0</v>
      </c>
      <c r="Q102" s="44">
        <f>Q$5*IF(AND(Q$4&gt;Teams!$F$80,MOD(Q$4-Teams!$F$80,MAX(1,ROUND(Params!$D$25,0)))=0),(Params!$D$26+Params!$D$17*Params!$D$16)*Org!$B$10,0)</f>
        <v>0</v>
      </c>
      <c r="R102" s="44">
        <f>R$5*IF(AND(R$4&gt;Teams!$F$80,MOD(R$4-Teams!$F$80,MAX(1,ROUND(Params!$D$25,0)))=0),(Params!$D$26+Params!$D$17*Params!$D$16)*Org!$B$10,0)</f>
        <v>0</v>
      </c>
      <c r="S102" s="44">
        <f>S$5*IF(AND(S$4&gt;Teams!$F$80,MOD(S$4-Teams!$F$80,MAX(1,ROUND(Params!$D$25,0)))=0),(Params!$D$26+Params!$D$17*Params!$D$16)*Org!$B$10,0)</f>
        <v>0</v>
      </c>
      <c r="T102" s="44">
        <f>T$5*IF(AND(T$4&gt;Teams!$F$80,MOD(T$4-Teams!$F$80,MAX(1,ROUND(Params!$D$25,0)))=0),(Params!$D$26+Params!$D$17*Params!$D$16)*Org!$B$10,0)</f>
        <v>0</v>
      </c>
      <c r="U102" s="44">
        <f>U$5*IF(AND(U$4&gt;Teams!$F$80,MOD(U$4-Teams!$F$80,MAX(1,ROUND(Params!$D$25,0)))=0),(Params!$D$26+Params!$D$17*Params!$D$16)*Org!$B$10,0)</f>
        <v>0</v>
      </c>
      <c r="V102" s="44">
        <f>V$5*IF(AND(V$4&gt;Teams!$F$80,MOD(V$4-Teams!$F$80,MAX(1,ROUND(Params!$D$25,0)))=0),(Params!$D$26+Params!$D$17*Params!$D$16)*Org!$B$10,0)</f>
        <v>0</v>
      </c>
      <c r="W102" s="44">
        <f>W$5*IF(AND(W$4&gt;Teams!$F$80,MOD(W$4-Teams!$F$80,MAX(1,ROUND(Params!$D$25,0)))=0),(Params!$D$26+Params!$D$17*Params!$D$16)*Org!$B$10,0)</f>
        <v>0</v>
      </c>
      <c r="X102" s="44">
        <f>X$5*IF(AND(X$4&gt;Teams!$F$80,MOD(X$4-Teams!$F$80,MAX(1,ROUND(Params!$D$25,0)))=0),(Params!$D$26+Params!$D$17*Params!$D$16)*Org!$B$10,0)</f>
        <v>0</v>
      </c>
      <c r="Y102" s="44">
        <f>Y$5*IF(AND(Y$4&gt;Teams!$F$80,MOD(Y$4-Teams!$F$80,MAX(1,ROUND(Params!$D$25,0)))=0),(Params!$D$26+Params!$D$17*Params!$D$16)*Org!$B$10,0)</f>
        <v>0</v>
      </c>
      <c r="Z102" s="44">
        <f>Z$5*IF(AND(Z$4&gt;Teams!$F$80,MOD(Z$4-Teams!$F$80,MAX(1,ROUND(Params!$D$25,0)))=0),(Params!$D$26+Params!$D$17*Params!$D$16)*Org!$B$10,0)</f>
        <v>0</v>
      </c>
      <c r="AA102" s="44">
        <f>AA$5*IF(AND(AA$4&gt;Teams!$F$80,MOD(AA$4-Teams!$F$80,MAX(1,ROUND(Params!$D$25,0)))=0),(Params!$D$26+Params!$D$17*Params!$D$16)*Org!$B$10,0)</f>
        <v>0</v>
      </c>
      <c r="AB102" s="44">
        <f>AB$5*IF(AND(AB$4&gt;Teams!$F$80,MOD(AB$4-Teams!$F$80,MAX(1,ROUND(Params!$D$25,0)))=0),(Params!$D$26+Params!$D$17*Params!$D$16)*Org!$B$10,0)</f>
        <v>0</v>
      </c>
      <c r="AC102" s="44">
        <f>AC$5*IF(AND(AC$4&gt;Teams!$F$80,MOD(AC$4-Teams!$F$80,MAX(1,ROUND(Params!$D$25,0)))=0),(Params!$D$26+Params!$D$17*Params!$D$16)*Org!$B$10,0)</f>
        <v>0</v>
      </c>
      <c r="AD102" s="44">
        <f>AD$5*IF(AND(AD$4&gt;Teams!$F$80,MOD(AD$4-Teams!$F$80,MAX(1,ROUND(Params!$D$25,0)))=0),(Params!$D$26+Params!$D$17*Params!$D$16)*Org!$B$10,0)</f>
        <v>0</v>
      </c>
      <c r="AE102" s="44">
        <f>AE$5*IF(AND(AE$4&gt;Teams!$F$80,MOD(AE$4-Teams!$F$80,MAX(1,ROUND(Params!$D$25,0)))=0),(Params!$D$26+Params!$D$17*Params!$D$16)*Org!$B$10,0)</f>
        <v>0</v>
      </c>
      <c r="AF102" s="44">
        <f>AF$5*IF(AND(AF$4&gt;Teams!$F$80,MOD(AF$4-Teams!$F$80,MAX(1,ROUND(Params!$D$25,0)))=0),(Params!$D$26+Params!$D$17*Params!$D$16)*Org!$B$10,0)</f>
        <v>1760.0000000000002</v>
      </c>
      <c r="AG102" s="44">
        <f>AG$5*IF(AND(AG$4&gt;Teams!$F$80,MOD(AG$4-Teams!$F$80,MAX(1,ROUND(Params!$D$25,0)))=0),(Params!$D$26+Params!$D$17*Params!$D$16)*Org!$B$10,0)</f>
        <v>0</v>
      </c>
      <c r="AH102" s="44">
        <f>AH$5*IF(AND(AH$4&gt;Teams!$F$80,MOD(AH$4-Teams!$F$80,MAX(1,ROUND(Params!$D$25,0)))=0),(Params!$D$26+Params!$D$17*Params!$D$16)*Org!$B$10,0)</f>
        <v>0</v>
      </c>
      <c r="AI102" s="44">
        <f>AI$5*IF(AND(AI$4&gt;Teams!$F$80,MOD(AI$4-Teams!$F$80,MAX(1,ROUND(Params!$D$25,0)))=0),(Params!$D$26+Params!$D$17*Params!$D$16)*Org!$B$10,0)</f>
        <v>0</v>
      </c>
      <c r="AJ102" s="44">
        <f>AJ$5*IF(AND(AJ$4&gt;Teams!$F$80,MOD(AJ$4-Teams!$F$80,MAX(1,ROUND(Params!$D$25,0)))=0),(Params!$D$26+Params!$D$17*Params!$D$16)*Org!$B$10,0)</f>
        <v>0</v>
      </c>
      <c r="AK102" s="44">
        <f>AK$5*IF(AND(AK$4&gt;Teams!$F$80,MOD(AK$4-Teams!$F$80,MAX(1,ROUND(Params!$D$25,0)))=0),(Params!$D$26+Params!$D$17*Params!$D$16)*Org!$B$10,0)</f>
        <v>0</v>
      </c>
      <c r="AL102" s="44">
        <f>AL$5*IF(AND(AL$4&gt;Teams!$F$80,MOD(AL$4-Teams!$F$80,MAX(1,ROUND(Params!$D$25,0)))=0),(Params!$D$26+Params!$D$17*Params!$D$16)*Org!$B$10,0)</f>
        <v>0</v>
      </c>
      <c r="AM102" s="44">
        <f>AM$5*IF(AND(AM$4&gt;Teams!$F$80,MOD(AM$4-Teams!$F$80,MAX(1,ROUND(Params!$D$25,0)))=0),(Params!$D$26+Params!$D$17*Params!$D$16)*Org!$B$10,0)</f>
        <v>0</v>
      </c>
      <c r="AN102" s="44">
        <f>AN$5*IF(AND(AN$4&gt;Teams!$F$80,MOD(AN$4-Teams!$F$80,MAX(1,ROUND(Params!$D$25,0)))=0),(Params!$D$26+Params!$D$17*Params!$D$16)*Org!$B$10,0)</f>
        <v>0</v>
      </c>
      <c r="AO102" s="44">
        <f>AO$5*IF(AND(AO$4&gt;Teams!$F$80,MOD(AO$4-Teams!$F$80,MAX(1,ROUND(Params!$D$25,0)))=0),(Params!$D$26+Params!$D$17*Params!$D$16)*Org!$B$10,0)</f>
        <v>0</v>
      </c>
      <c r="AP102" s="44">
        <f>AP$5*IF(AND(AP$4&gt;Teams!$F$80,MOD(AP$4-Teams!$F$80,MAX(1,ROUND(Params!$D$25,0)))=0),(Params!$D$26+Params!$D$17*Params!$D$16)*Org!$B$10,0)</f>
        <v>0</v>
      </c>
      <c r="AQ102" s="44">
        <f>AQ$5*IF(AND(AQ$4&gt;Teams!$F$80,MOD(AQ$4-Teams!$F$80,MAX(1,ROUND(Params!$D$25,0)))=0),(Params!$D$26+Params!$D$17*Params!$D$16)*Org!$B$10,0)</f>
        <v>0</v>
      </c>
      <c r="AR102" s="44">
        <f>AR$5*IF(AND(AR$4&gt;Teams!$F$80,MOD(AR$4-Teams!$F$80,MAX(1,ROUND(Params!$D$25,0)))=0),(Params!$D$26+Params!$D$17*Params!$D$16)*Org!$B$10,0)</f>
        <v>0</v>
      </c>
      <c r="AS102" s="44">
        <f>AS$5*IF(AND(AS$4&gt;Teams!$F$80,MOD(AS$4-Teams!$F$80,MAX(1,ROUND(Params!$D$25,0)))=0),(Params!$D$26+Params!$D$17*Params!$D$16)*Org!$B$10,0)</f>
        <v>0</v>
      </c>
      <c r="AT102" s="44">
        <f>AT$5*IF(AND(AT$4&gt;Teams!$F$80,MOD(AT$4-Teams!$F$80,MAX(1,ROUND(Params!$D$25,0)))=0),(Params!$D$26+Params!$D$17*Params!$D$16)*Org!$B$10,0)</f>
        <v>0</v>
      </c>
      <c r="AU102" s="44">
        <f>AU$5*IF(AND(AU$4&gt;Teams!$F$80,MOD(AU$4-Teams!$F$80,MAX(1,ROUND(Params!$D$25,0)))=0),(Params!$D$26+Params!$D$17*Params!$D$16)*Org!$B$10,0)</f>
        <v>0</v>
      </c>
      <c r="AV102" s="44">
        <f>AV$5*IF(AND(AV$4&gt;Teams!$F$80,MOD(AV$4-Teams!$F$80,MAX(1,ROUND(Params!$D$25,0)))=0),(Params!$D$26+Params!$D$17*Params!$D$16)*Org!$B$10,0)</f>
        <v>0</v>
      </c>
      <c r="AW102" s="44">
        <f>AW$5*IF(AND(AW$4&gt;Teams!$F$80,MOD(AW$4-Teams!$F$80,MAX(1,ROUND(Params!$D$25,0)))=0),(Params!$D$26+Params!$D$17*Params!$D$16)*Org!$B$10,0)</f>
        <v>0</v>
      </c>
      <c r="AX102" s="44">
        <f>AX$5*IF(AND(AX$4&gt;Teams!$F$80,MOD(AX$4-Teams!$F$80,MAX(1,ROUND(Params!$D$25,0)))=0),(Params!$D$26+Params!$D$17*Params!$D$16)*Org!$B$10,0)</f>
        <v>0</v>
      </c>
      <c r="AY102" s="44">
        <f>AY$5*IF(AND(AY$4&gt;Teams!$F$80,MOD(AY$4-Teams!$F$80,MAX(1,ROUND(Params!$D$25,0)))=0),(Params!$D$26+Params!$D$17*Params!$D$16)*Org!$B$10,0)</f>
        <v>0</v>
      </c>
      <c r="AZ102" s="44">
        <f>AZ$5*IF(AND(AZ$4&gt;Teams!$F$80,MOD(AZ$4-Teams!$F$80,MAX(1,ROUND(Params!$D$25,0)))=0),(Params!$D$26+Params!$D$17*Params!$D$16)*Org!$B$10,0)</f>
        <v>0</v>
      </c>
      <c r="BA102" s="44">
        <f>BA$5*IF(AND(BA$4&gt;Teams!$F$80,MOD(BA$4-Teams!$F$80,MAX(1,ROUND(Params!$D$25,0)))=0),(Params!$D$26+Params!$D$17*Params!$D$16)*Org!$B$10,0)</f>
        <v>0</v>
      </c>
      <c r="BB102" s="44">
        <f>BB$5*IF(AND(BB$4&gt;Teams!$F$80,MOD(BB$4-Teams!$F$80,MAX(1,ROUND(Params!$D$25,0)))=0),(Params!$D$26+Params!$D$17*Params!$D$16)*Org!$B$10,0)</f>
        <v>0</v>
      </c>
      <c r="BC102" s="44">
        <f>BC$5*IF(AND(BC$4&gt;Teams!$F$80,MOD(BC$4-Teams!$F$80,MAX(1,ROUND(Params!$D$25,0)))=0),(Params!$D$26+Params!$D$17*Params!$D$16)*Org!$B$10,0)</f>
        <v>0</v>
      </c>
      <c r="BD102" s="44">
        <f>BD$5*IF(AND(BD$4&gt;Teams!$F$80,MOD(BD$4-Teams!$F$80,MAX(1,ROUND(Params!$D$25,0)))=0),(Params!$D$26+Params!$D$17*Params!$D$16)*Org!$B$10,0)</f>
        <v>0</v>
      </c>
      <c r="BE102" s="44">
        <f>BE$5*IF(AND(BE$4&gt;Teams!$F$80,MOD(BE$4-Teams!$F$80,MAX(1,ROUND(Params!$D$25,0)))=0),(Params!$D$26+Params!$D$17*Params!$D$16)*Org!$B$10,0)</f>
        <v>0</v>
      </c>
      <c r="BF102" s="44">
        <f>BF$5*IF(AND(BF$4&gt;Teams!$F$80,MOD(BF$4-Teams!$F$80,MAX(1,ROUND(Params!$D$25,0)))=0),(Params!$D$26+Params!$D$17*Params!$D$16)*Org!$B$10,0)</f>
        <v>0</v>
      </c>
      <c r="BG102" s="44">
        <f>BG$5*IF(AND(BG$4&gt;Teams!$F$80,MOD(BG$4-Teams!$F$80,MAX(1,ROUND(Params!$D$25,0)))=0),(Params!$D$26+Params!$D$17*Params!$D$16)*Org!$B$10,0)</f>
        <v>0</v>
      </c>
      <c r="BH102" s="44">
        <f>BH$5*IF(AND(BH$4&gt;Teams!$F$80,MOD(BH$4-Teams!$F$80,MAX(1,ROUND(Params!$D$25,0)))=0),(Params!$D$26+Params!$D$17*Params!$D$16)*Org!$B$10,0)</f>
        <v>0</v>
      </c>
      <c r="BI102" s="44">
        <f>BI$5*IF(AND(BI$4&gt;Teams!$F$80,MOD(BI$4-Teams!$F$80,MAX(1,ROUND(Params!$D$25,0)))=0),(Params!$D$26+Params!$D$17*Params!$D$16)*Org!$B$10,0)</f>
        <v>0</v>
      </c>
      <c r="BJ102" s="44">
        <f>BJ$5*IF(AND(BJ$4&gt;Teams!$F$80,MOD(BJ$4-Teams!$F$80,MAX(1,ROUND(Params!$D$25,0)))=0),(Params!$D$26+Params!$D$17*Params!$D$16)*Org!$B$10,0)</f>
        <v>0</v>
      </c>
      <c r="BK102" s="44">
        <f>BK$5*IF(AND(BK$4&gt;Teams!$F$80,MOD(BK$4-Teams!$F$80,MAX(1,ROUND(Params!$D$25,0)))=0),(Params!$D$26+Params!$D$17*Params!$D$16)*Org!$B$10,0)</f>
        <v>0</v>
      </c>
      <c r="BL102" s="44">
        <f>BL$5*IF(AND(BL$4&gt;Teams!$F$80,MOD(BL$4-Teams!$F$80,MAX(1,ROUND(Params!$D$25,0)))=0),(Params!$D$26+Params!$D$17*Params!$D$16)*Org!$B$10,0)</f>
        <v>0</v>
      </c>
    </row>
    <row r="103" spans="1:64" x14ac:dyDescent="0.3">
      <c r="A103" s="8" t="s">
        <v>674</v>
      </c>
      <c r="B103" s="18" t="s">
        <v>604</v>
      </c>
      <c r="C103" s="44">
        <f t="shared" si="29"/>
        <v>315100.80000000005</v>
      </c>
      <c r="E103" s="44">
        <f>E$5*E93*MIN(1,Teams!$F$41*Params!$D$35)*Params!$D$36/60*Teams!$F$42</f>
        <v>0</v>
      </c>
      <c r="F103" s="44">
        <f>F$5*F93*MIN(1,Teams!$F$41*Params!$D$35)*Params!$D$36/60*Teams!$F$42</f>
        <v>0</v>
      </c>
      <c r="G103" s="44">
        <f>G$5*G93*MIN(1,Teams!$F$41*Params!$D$35)*Params!$D$36/60*Teams!$F$42</f>
        <v>1024.0776000000001</v>
      </c>
      <c r="H103" s="44">
        <f>H$5*H93*MIN(1,Teams!$F$41*Params!$D$35)*Params!$D$36/60*Teams!$F$42</f>
        <v>3466.1088000000009</v>
      </c>
      <c r="I103" s="44">
        <f>I$5*I93*MIN(1,Teams!$F$41*Params!$D$35)*Params!$D$36/60*Teams!$F$42</f>
        <v>6380.7912000000006</v>
      </c>
      <c r="J103" s="44">
        <f>J$5*J93*MIN(1,Teams!$F$41*Params!$D$35)*Params!$D$36/60*Teams!$F$42</f>
        <v>8822.8224000000009</v>
      </c>
      <c r="K103" s="44">
        <f>K$5*K93*MIN(1,Teams!$F$41*Params!$D$35)*Params!$D$36/60*Teams!$F$42</f>
        <v>9846.9</v>
      </c>
      <c r="L103" s="44">
        <f>L$5*L93*MIN(1,Teams!$F$41*Params!$D$35)*Params!$D$36/60*Teams!$F$42</f>
        <v>9846.9</v>
      </c>
      <c r="M103" s="44">
        <f>M$5*M93*MIN(1,Teams!$F$41*Params!$D$35)*Params!$D$36/60*Teams!$F$42</f>
        <v>9846.9</v>
      </c>
      <c r="N103" s="44">
        <f>N$5*N93*MIN(1,Teams!$F$41*Params!$D$35)*Params!$D$36/60*Teams!$F$42</f>
        <v>9846.9</v>
      </c>
      <c r="O103" s="44">
        <f>O$5*O93*MIN(1,Teams!$F$41*Params!$D$35)*Params!$D$36/60*Teams!$F$42</f>
        <v>9846.9</v>
      </c>
      <c r="P103" s="44">
        <f>P$5*P93*MIN(1,Teams!$F$41*Params!$D$35)*Params!$D$36/60*Teams!$F$42</f>
        <v>9846.9</v>
      </c>
      <c r="Q103" s="44">
        <f>Q$5*Q93*MIN(1,Teams!$F$41*Params!$D$35)*Params!$D$36/60*Teams!$F$42</f>
        <v>9846.9</v>
      </c>
      <c r="R103" s="44">
        <f>R$5*R93*MIN(1,Teams!$F$41*Params!$D$35)*Params!$D$36/60*Teams!$F$42</f>
        <v>9846.9</v>
      </c>
      <c r="S103" s="44">
        <f>S$5*S93*MIN(1,Teams!$F$41*Params!$D$35)*Params!$D$36/60*Teams!$F$42</f>
        <v>9846.9</v>
      </c>
      <c r="T103" s="44">
        <f>T$5*T93*MIN(1,Teams!$F$41*Params!$D$35)*Params!$D$36/60*Teams!$F$42</f>
        <v>9846.9</v>
      </c>
      <c r="U103" s="44">
        <f>U$5*U93*MIN(1,Teams!$F$41*Params!$D$35)*Params!$D$36/60*Teams!$F$42</f>
        <v>9846.9</v>
      </c>
      <c r="V103" s="44">
        <f>V$5*V93*MIN(1,Teams!$F$41*Params!$D$35)*Params!$D$36/60*Teams!$F$42</f>
        <v>9846.9</v>
      </c>
      <c r="W103" s="44">
        <f>W$5*W93*MIN(1,Teams!$F$41*Params!$D$35)*Params!$D$36/60*Teams!$F$42</f>
        <v>9846.9</v>
      </c>
      <c r="X103" s="44">
        <f>X$5*X93*MIN(1,Teams!$F$41*Params!$D$35)*Params!$D$36/60*Teams!$F$42</f>
        <v>9846.9</v>
      </c>
      <c r="Y103" s="44">
        <f>Y$5*Y93*MIN(1,Teams!$F$41*Params!$D$35)*Params!$D$36/60*Teams!$F$42</f>
        <v>9846.9</v>
      </c>
      <c r="Z103" s="44">
        <f>Z$5*Z93*MIN(1,Teams!$F$41*Params!$D$35)*Params!$D$36/60*Teams!$F$42</f>
        <v>9846.9</v>
      </c>
      <c r="AA103" s="44">
        <f>AA$5*AA93*MIN(1,Teams!$F$41*Params!$D$35)*Params!$D$36/60*Teams!$F$42</f>
        <v>9846.9</v>
      </c>
      <c r="AB103" s="44">
        <f>AB$5*AB93*MIN(1,Teams!$F$41*Params!$D$35)*Params!$D$36/60*Teams!$F$42</f>
        <v>9846.9</v>
      </c>
      <c r="AC103" s="44">
        <f>AC$5*AC93*MIN(1,Teams!$F$41*Params!$D$35)*Params!$D$36/60*Teams!$F$42</f>
        <v>9846.9</v>
      </c>
      <c r="AD103" s="44">
        <f>AD$5*AD93*MIN(1,Teams!$F$41*Params!$D$35)*Params!$D$36/60*Teams!$F$42</f>
        <v>9846.9</v>
      </c>
      <c r="AE103" s="44">
        <f>AE$5*AE93*MIN(1,Teams!$F$41*Params!$D$35)*Params!$D$36/60*Teams!$F$42</f>
        <v>9846.9</v>
      </c>
      <c r="AF103" s="44">
        <f>AF$5*AF93*MIN(1,Teams!$F$41*Params!$D$35)*Params!$D$36/60*Teams!$F$42</f>
        <v>9846.9</v>
      </c>
      <c r="AG103" s="44">
        <f>AG$5*AG93*MIN(1,Teams!$F$41*Params!$D$35)*Params!$D$36/60*Teams!$F$42</f>
        <v>9846.9</v>
      </c>
      <c r="AH103" s="44">
        <f>AH$5*AH93*MIN(1,Teams!$F$41*Params!$D$35)*Params!$D$36/60*Teams!$F$42</f>
        <v>9846.9</v>
      </c>
      <c r="AI103" s="44">
        <f>AI$5*AI93*MIN(1,Teams!$F$41*Params!$D$35)*Params!$D$36/60*Teams!$F$42</f>
        <v>9846.9</v>
      </c>
      <c r="AJ103" s="44">
        <f>AJ$5*AJ93*MIN(1,Teams!$F$41*Params!$D$35)*Params!$D$36/60*Teams!$F$42</f>
        <v>9846.9</v>
      </c>
      <c r="AK103" s="44">
        <f>AK$5*AK93*MIN(1,Teams!$F$41*Params!$D$35)*Params!$D$36/60*Teams!$F$42</f>
        <v>9846.9</v>
      </c>
      <c r="AL103" s="44">
        <f>AL$5*AL93*MIN(1,Teams!$F$41*Params!$D$35)*Params!$D$36/60*Teams!$F$42</f>
        <v>9846.9</v>
      </c>
      <c r="AM103" s="44">
        <f>AM$5*AM93*MIN(1,Teams!$F$41*Params!$D$35)*Params!$D$36/60*Teams!$F$42</f>
        <v>9846.9</v>
      </c>
      <c r="AN103" s="44">
        <f>AN$5*AN93*MIN(1,Teams!$F$41*Params!$D$35)*Params!$D$36/60*Teams!$F$42</f>
        <v>9846.9</v>
      </c>
      <c r="AO103" s="44">
        <f>AO$5*AO93*MIN(1,Teams!$F$41*Params!$D$35)*Params!$D$36/60*Teams!$F$42</f>
        <v>0</v>
      </c>
      <c r="AP103" s="44">
        <f>AP$5*AP93*MIN(1,Teams!$F$41*Params!$D$35)*Params!$D$36/60*Teams!$F$42</f>
        <v>0</v>
      </c>
      <c r="AQ103" s="44">
        <f>AQ$5*AQ93*MIN(1,Teams!$F$41*Params!$D$35)*Params!$D$36/60*Teams!$F$42</f>
        <v>0</v>
      </c>
      <c r="AR103" s="44">
        <f>AR$5*AR93*MIN(1,Teams!$F$41*Params!$D$35)*Params!$D$36/60*Teams!$F$42</f>
        <v>0</v>
      </c>
      <c r="AS103" s="44">
        <f>AS$5*AS93*MIN(1,Teams!$F$41*Params!$D$35)*Params!$D$36/60*Teams!$F$42</f>
        <v>0</v>
      </c>
      <c r="AT103" s="44">
        <f>AT$5*AT93*MIN(1,Teams!$F$41*Params!$D$35)*Params!$D$36/60*Teams!$F$42</f>
        <v>0</v>
      </c>
      <c r="AU103" s="44">
        <f>AU$5*AU93*MIN(1,Teams!$F$41*Params!$D$35)*Params!$D$36/60*Teams!$F$42</f>
        <v>0</v>
      </c>
      <c r="AV103" s="44">
        <f>AV$5*AV93*MIN(1,Teams!$F$41*Params!$D$35)*Params!$D$36/60*Teams!$F$42</f>
        <v>0</v>
      </c>
      <c r="AW103" s="44">
        <f>AW$5*AW93*MIN(1,Teams!$F$41*Params!$D$35)*Params!$D$36/60*Teams!$F$42</f>
        <v>0</v>
      </c>
      <c r="AX103" s="44">
        <f>AX$5*AX93*MIN(1,Teams!$F$41*Params!$D$35)*Params!$D$36/60*Teams!$F$42</f>
        <v>0</v>
      </c>
      <c r="AY103" s="44">
        <f>AY$5*AY93*MIN(1,Teams!$F$41*Params!$D$35)*Params!$D$36/60*Teams!$F$42</f>
        <v>0</v>
      </c>
      <c r="AZ103" s="44">
        <f>AZ$5*AZ93*MIN(1,Teams!$F$41*Params!$D$35)*Params!$D$36/60*Teams!$F$42</f>
        <v>0</v>
      </c>
      <c r="BA103" s="44">
        <f>BA$5*BA93*MIN(1,Teams!$F$41*Params!$D$35)*Params!$D$36/60*Teams!$F$42</f>
        <v>0</v>
      </c>
      <c r="BB103" s="44">
        <f>BB$5*BB93*MIN(1,Teams!$F$41*Params!$D$35)*Params!$D$36/60*Teams!$F$42</f>
        <v>0</v>
      </c>
      <c r="BC103" s="44">
        <f>BC$5*BC93*MIN(1,Teams!$F$41*Params!$D$35)*Params!$D$36/60*Teams!$F$42</f>
        <v>0</v>
      </c>
      <c r="BD103" s="44">
        <f>BD$5*BD93*MIN(1,Teams!$F$41*Params!$D$35)*Params!$D$36/60*Teams!$F$42</f>
        <v>0</v>
      </c>
      <c r="BE103" s="44">
        <f>BE$5*BE93*MIN(1,Teams!$F$41*Params!$D$35)*Params!$D$36/60*Teams!$F$42</f>
        <v>0</v>
      </c>
      <c r="BF103" s="44">
        <f>BF$5*BF93*MIN(1,Teams!$F$41*Params!$D$35)*Params!$D$36/60*Teams!$F$42</f>
        <v>0</v>
      </c>
      <c r="BG103" s="44">
        <f>BG$5*BG93*MIN(1,Teams!$F$41*Params!$D$35)*Params!$D$36/60*Teams!$F$42</f>
        <v>0</v>
      </c>
      <c r="BH103" s="44">
        <f>BH$5*BH93*MIN(1,Teams!$F$41*Params!$D$35)*Params!$D$36/60*Teams!$F$42</f>
        <v>0</v>
      </c>
      <c r="BI103" s="44">
        <f>BI$5*BI93*MIN(1,Teams!$F$41*Params!$D$35)*Params!$D$36/60*Teams!$F$42</f>
        <v>0</v>
      </c>
      <c r="BJ103" s="44">
        <f>BJ$5*BJ93*MIN(1,Teams!$F$41*Params!$D$35)*Params!$D$36/60*Teams!$F$42</f>
        <v>0</v>
      </c>
      <c r="BK103" s="44">
        <f>BK$5*BK93*MIN(1,Teams!$F$41*Params!$D$35)*Params!$D$36/60*Teams!$F$42</f>
        <v>0</v>
      </c>
      <c r="BL103" s="44">
        <f>BL$5*BL93*MIN(1,Teams!$F$41*Params!$D$35)*Params!$D$36/60*Teams!$F$42</f>
        <v>0</v>
      </c>
    </row>
    <row r="104" spans="1:64" x14ac:dyDescent="0.3">
      <c r="A104" s="8" t="s">
        <v>675</v>
      </c>
      <c r="B104" s="18" t="s">
        <v>169</v>
      </c>
      <c r="C104" s="44">
        <f t="shared" si="29"/>
        <v>6380</v>
      </c>
      <c r="E104" s="44">
        <f>E$5*IF(E$4&gt;=Teams!$F$80,E91/1000*IF(E$4-Teams!$F$80&lt;6,Params!$D$37,Params!$D$38)*Org!$B$10*Org!$B$12/12,0)</f>
        <v>0</v>
      </c>
      <c r="F104" s="44">
        <f>F$5*IF(F$4&gt;=Teams!$F$80,F91/1000*IF(F$4-Teams!$F$80&lt;6,Params!$D$37,Params!$D$38)*Org!$B$10*Org!$B$12/12,0)</f>
        <v>0</v>
      </c>
      <c r="G104" s="44">
        <f>G$5*IF(G$4&gt;=Teams!$F$80,G91/1000*IF(G$4-Teams!$F$80&lt;6,Params!$D$37,Params!$D$38)*Org!$B$10*Org!$B$12/12,0)</f>
        <v>550</v>
      </c>
      <c r="H104" s="44">
        <f>H$5*IF(H$4&gt;=Teams!$F$80,H91/1000*IF(H$4-Teams!$F$80&lt;6,Params!$D$37,Params!$D$38)*Org!$B$10*Org!$B$12/12,0)</f>
        <v>550</v>
      </c>
      <c r="I104" s="44">
        <f>I$5*IF(I$4&gt;=Teams!$F$80,I91/1000*IF(I$4-Teams!$F$80&lt;6,Params!$D$37,Params!$D$38)*Org!$B$10*Org!$B$12/12,0)</f>
        <v>550</v>
      </c>
      <c r="J104" s="44">
        <f>J$5*IF(J$4&gt;=Teams!$F$80,J91/1000*IF(J$4-Teams!$F$80&lt;6,Params!$D$37,Params!$D$38)*Org!$B$10*Org!$B$12/12,0)</f>
        <v>550</v>
      </c>
      <c r="K104" s="44">
        <f>K$5*IF(K$4&gt;=Teams!$F$80,K91/1000*IF(K$4-Teams!$F$80&lt;6,Params!$D$37,Params!$D$38)*Org!$B$10*Org!$B$12/12,0)</f>
        <v>550</v>
      </c>
      <c r="L104" s="44">
        <f>L$5*IF(L$4&gt;=Teams!$F$80,L91/1000*IF(L$4-Teams!$F$80&lt;6,Params!$D$37,Params!$D$38)*Org!$B$10*Org!$B$12/12,0)</f>
        <v>550</v>
      </c>
      <c r="M104" s="44">
        <f>M$5*IF(M$4&gt;=Teams!$F$80,M91/1000*IF(M$4-Teams!$F$80&lt;6,Params!$D$37,Params!$D$38)*Org!$B$10*Org!$B$12/12,0)</f>
        <v>110</v>
      </c>
      <c r="N104" s="44">
        <f>N$5*IF(N$4&gt;=Teams!$F$80,N91/1000*IF(N$4-Teams!$F$80&lt;6,Params!$D$37,Params!$D$38)*Org!$B$10*Org!$B$12/12,0)</f>
        <v>110</v>
      </c>
      <c r="O104" s="44">
        <f>O$5*IF(O$4&gt;=Teams!$F$80,O91/1000*IF(O$4-Teams!$F$80&lt;6,Params!$D$37,Params!$D$38)*Org!$B$10*Org!$B$12/12,0)</f>
        <v>110</v>
      </c>
      <c r="P104" s="44">
        <f>P$5*IF(P$4&gt;=Teams!$F$80,P91/1000*IF(P$4-Teams!$F$80&lt;6,Params!$D$37,Params!$D$38)*Org!$B$10*Org!$B$12/12,0)</f>
        <v>110</v>
      </c>
      <c r="Q104" s="44">
        <f>Q$5*IF(Q$4&gt;=Teams!$F$80,Q91/1000*IF(Q$4-Teams!$F$80&lt;6,Params!$D$37,Params!$D$38)*Org!$B$10*Org!$B$12/12,0)</f>
        <v>110</v>
      </c>
      <c r="R104" s="44">
        <f>R$5*IF(R$4&gt;=Teams!$F$80,R91/1000*IF(R$4-Teams!$F$80&lt;6,Params!$D$37,Params!$D$38)*Org!$B$10*Org!$B$12/12,0)</f>
        <v>110</v>
      </c>
      <c r="S104" s="44">
        <f>S$5*IF(S$4&gt;=Teams!$F$80,S91/1000*IF(S$4-Teams!$F$80&lt;6,Params!$D$37,Params!$D$38)*Org!$B$10*Org!$B$12/12,0)</f>
        <v>110</v>
      </c>
      <c r="T104" s="44">
        <f>T$5*IF(T$4&gt;=Teams!$F$80,T91/1000*IF(T$4-Teams!$F$80&lt;6,Params!$D$37,Params!$D$38)*Org!$B$10*Org!$B$12/12,0)</f>
        <v>110</v>
      </c>
      <c r="U104" s="44">
        <f>U$5*IF(U$4&gt;=Teams!$F$80,U91/1000*IF(U$4-Teams!$F$80&lt;6,Params!$D$37,Params!$D$38)*Org!$B$10*Org!$B$12/12,0)</f>
        <v>110</v>
      </c>
      <c r="V104" s="44">
        <f>V$5*IF(V$4&gt;=Teams!$F$80,V91/1000*IF(V$4-Teams!$F$80&lt;6,Params!$D$37,Params!$D$38)*Org!$B$10*Org!$B$12/12,0)</f>
        <v>110</v>
      </c>
      <c r="W104" s="44">
        <f>W$5*IF(W$4&gt;=Teams!$F$80,W91/1000*IF(W$4-Teams!$F$80&lt;6,Params!$D$37,Params!$D$38)*Org!$B$10*Org!$B$12/12,0)</f>
        <v>110</v>
      </c>
      <c r="X104" s="44">
        <f>X$5*IF(X$4&gt;=Teams!$F$80,X91/1000*IF(X$4-Teams!$F$80&lt;6,Params!$D$37,Params!$D$38)*Org!$B$10*Org!$B$12/12,0)</f>
        <v>110</v>
      </c>
      <c r="Y104" s="44">
        <f>Y$5*IF(Y$4&gt;=Teams!$F$80,Y91/1000*IF(Y$4-Teams!$F$80&lt;6,Params!$D$37,Params!$D$38)*Org!$B$10*Org!$B$12/12,0)</f>
        <v>110</v>
      </c>
      <c r="Z104" s="44">
        <f>Z$5*IF(Z$4&gt;=Teams!$F$80,Z91/1000*IF(Z$4-Teams!$F$80&lt;6,Params!$D$37,Params!$D$38)*Org!$B$10*Org!$B$12/12,0)</f>
        <v>110</v>
      </c>
      <c r="AA104" s="44">
        <f>AA$5*IF(AA$4&gt;=Teams!$F$80,AA91/1000*IF(AA$4-Teams!$F$80&lt;6,Params!$D$37,Params!$D$38)*Org!$B$10*Org!$B$12/12,0)</f>
        <v>110</v>
      </c>
      <c r="AB104" s="44">
        <f>AB$5*IF(AB$4&gt;=Teams!$F$80,AB91/1000*IF(AB$4-Teams!$F$80&lt;6,Params!$D$37,Params!$D$38)*Org!$B$10*Org!$B$12/12,0)</f>
        <v>110</v>
      </c>
      <c r="AC104" s="44">
        <f>AC$5*IF(AC$4&gt;=Teams!$F$80,AC91/1000*IF(AC$4-Teams!$F$80&lt;6,Params!$D$37,Params!$D$38)*Org!$B$10*Org!$B$12/12,0)</f>
        <v>110</v>
      </c>
      <c r="AD104" s="44">
        <f>AD$5*IF(AD$4&gt;=Teams!$F$80,AD91/1000*IF(AD$4-Teams!$F$80&lt;6,Params!$D$37,Params!$D$38)*Org!$B$10*Org!$B$12/12,0)</f>
        <v>110</v>
      </c>
      <c r="AE104" s="44">
        <f>AE$5*IF(AE$4&gt;=Teams!$F$80,AE91/1000*IF(AE$4-Teams!$F$80&lt;6,Params!$D$37,Params!$D$38)*Org!$B$10*Org!$B$12/12,0)</f>
        <v>110</v>
      </c>
      <c r="AF104" s="44">
        <f>AF$5*IF(AF$4&gt;=Teams!$F$80,AF91/1000*IF(AF$4-Teams!$F$80&lt;6,Params!$D$37,Params!$D$38)*Org!$B$10*Org!$B$12/12,0)</f>
        <v>110</v>
      </c>
      <c r="AG104" s="44">
        <f>AG$5*IF(AG$4&gt;=Teams!$F$80,AG91/1000*IF(AG$4-Teams!$F$80&lt;6,Params!$D$37,Params!$D$38)*Org!$B$10*Org!$B$12/12,0)</f>
        <v>110</v>
      </c>
      <c r="AH104" s="44">
        <f>AH$5*IF(AH$4&gt;=Teams!$F$80,AH91/1000*IF(AH$4-Teams!$F$80&lt;6,Params!$D$37,Params!$D$38)*Org!$B$10*Org!$B$12/12,0)</f>
        <v>110</v>
      </c>
      <c r="AI104" s="44">
        <f>AI$5*IF(AI$4&gt;=Teams!$F$80,AI91/1000*IF(AI$4-Teams!$F$80&lt;6,Params!$D$37,Params!$D$38)*Org!$B$10*Org!$B$12/12,0)</f>
        <v>110</v>
      </c>
      <c r="AJ104" s="44">
        <f>AJ$5*IF(AJ$4&gt;=Teams!$F$80,AJ91/1000*IF(AJ$4-Teams!$F$80&lt;6,Params!$D$37,Params!$D$38)*Org!$B$10*Org!$B$12/12,0)</f>
        <v>110</v>
      </c>
      <c r="AK104" s="44">
        <f>AK$5*IF(AK$4&gt;=Teams!$F$80,AK91/1000*IF(AK$4-Teams!$F$80&lt;6,Params!$D$37,Params!$D$38)*Org!$B$10*Org!$B$12/12,0)</f>
        <v>110</v>
      </c>
      <c r="AL104" s="44">
        <f>AL$5*IF(AL$4&gt;=Teams!$F$80,AL91/1000*IF(AL$4-Teams!$F$80&lt;6,Params!$D$37,Params!$D$38)*Org!$B$10*Org!$B$12/12,0)</f>
        <v>110</v>
      </c>
      <c r="AM104" s="44">
        <f>AM$5*IF(AM$4&gt;=Teams!$F$80,AM91/1000*IF(AM$4-Teams!$F$80&lt;6,Params!$D$37,Params!$D$38)*Org!$B$10*Org!$B$12/12,0)</f>
        <v>110</v>
      </c>
      <c r="AN104" s="44">
        <f>AN$5*IF(AN$4&gt;=Teams!$F$80,AN91/1000*IF(AN$4-Teams!$F$80&lt;6,Params!$D$37,Params!$D$38)*Org!$B$10*Org!$B$12/12,0)</f>
        <v>110</v>
      </c>
      <c r="AO104" s="44">
        <f>AO$5*IF(AO$4&gt;=Teams!$F$80,AO91/1000*IF(AO$4-Teams!$F$80&lt;6,Params!$D$37,Params!$D$38)*Org!$B$10*Org!$B$12/12,0)</f>
        <v>0</v>
      </c>
      <c r="AP104" s="44">
        <f>AP$5*IF(AP$4&gt;=Teams!$F$80,AP91/1000*IF(AP$4-Teams!$F$80&lt;6,Params!$D$37,Params!$D$38)*Org!$B$10*Org!$B$12/12,0)</f>
        <v>0</v>
      </c>
      <c r="AQ104" s="44">
        <f>AQ$5*IF(AQ$4&gt;=Teams!$F$80,AQ91/1000*IF(AQ$4-Teams!$F$80&lt;6,Params!$D$37,Params!$D$38)*Org!$B$10*Org!$B$12/12,0)</f>
        <v>0</v>
      </c>
      <c r="AR104" s="44">
        <f>AR$5*IF(AR$4&gt;=Teams!$F$80,AR91/1000*IF(AR$4-Teams!$F$80&lt;6,Params!$D$37,Params!$D$38)*Org!$B$10*Org!$B$12/12,0)</f>
        <v>0</v>
      </c>
      <c r="AS104" s="44">
        <f>AS$5*IF(AS$4&gt;=Teams!$F$80,AS91/1000*IF(AS$4-Teams!$F$80&lt;6,Params!$D$37,Params!$D$38)*Org!$B$10*Org!$B$12/12,0)</f>
        <v>0</v>
      </c>
      <c r="AT104" s="44">
        <f>AT$5*IF(AT$4&gt;=Teams!$F$80,AT91/1000*IF(AT$4-Teams!$F$80&lt;6,Params!$D$37,Params!$D$38)*Org!$B$10*Org!$B$12/12,0)</f>
        <v>0</v>
      </c>
      <c r="AU104" s="44">
        <f>AU$5*IF(AU$4&gt;=Teams!$F$80,AU91/1000*IF(AU$4-Teams!$F$80&lt;6,Params!$D$37,Params!$D$38)*Org!$B$10*Org!$B$12/12,0)</f>
        <v>0</v>
      </c>
      <c r="AV104" s="44">
        <f>AV$5*IF(AV$4&gt;=Teams!$F$80,AV91/1000*IF(AV$4-Teams!$F$80&lt;6,Params!$D$37,Params!$D$38)*Org!$B$10*Org!$B$12/12,0)</f>
        <v>0</v>
      </c>
      <c r="AW104" s="44">
        <f>AW$5*IF(AW$4&gt;=Teams!$F$80,AW91/1000*IF(AW$4-Teams!$F$80&lt;6,Params!$D$37,Params!$D$38)*Org!$B$10*Org!$B$12/12,0)</f>
        <v>0</v>
      </c>
      <c r="AX104" s="44">
        <f>AX$5*IF(AX$4&gt;=Teams!$F$80,AX91/1000*IF(AX$4-Teams!$F$80&lt;6,Params!$D$37,Params!$D$38)*Org!$B$10*Org!$B$12/12,0)</f>
        <v>0</v>
      </c>
      <c r="AY104" s="44">
        <f>AY$5*IF(AY$4&gt;=Teams!$F$80,AY91/1000*IF(AY$4-Teams!$F$80&lt;6,Params!$D$37,Params!$D$38)*Org!$B$10*Org!$B$12/12,0)</f>
        <v>0</v>
      </c>
      <c r="AZ104" s="44">
        <f>AZ$5*IF(AZ$4&gt;=Teams!$F$80,AZ91/1000*IF(AZ$4-Teams!$F$80&lt;6,Params!$D$37,Params!$D$38)*Org!$B$10*Org!$B$12/12,0)</f>
        <v>0</v>
      </c>
      <c r="BA104" s="44">
        <f>BA$5*IF(BA$4&gt;=Teams!$F$80,BA91/1000*IF(BA$4-Teams!$F$80&lt;6,Params!$D$37,Params!$D$38)*Org!$B$10*Org!$B$12/12,0)</f>
        <v>0</v>
      </c>
      <c r="BB104" s="44">
        <f>BB$5*IF(BB$4&gt;=Teams!$F$80,BB91/1000*IF(BB$4-Teams!$F$80&lt;6,Params!$D$37,Params!$D$38)*Org!$B$10*Org!$B$12/12,0)</f>
        <v>0</v>
      </c>
      <c r="BC104" s="44">
        <f>BC$5*IF(BC$4&gt;=Teams!$F$80,BC91/1000*IF(BC$4-Teams!$F$80&lt;6,Params!$D$37,Params!$D$38)*Org!$B$10*Org!$B$12/12,0)</f>
        <v>0</v>
      </c>
      <c r="BD104" s="44">
        <f>BD$5*IF(BD$4&gt;=Teams!$F$80,BD91/1000*IF(BD$4-Teams!$F$80&lt;6,Params!$D$37,Params!$D$38)*Org!$B$10*Org!$B$12/12,0)</f>
        <v>0</v>
      </c>
      <c r="BE104" s="44">
        <f>BE$5*IF(BE$4&gt;=Teams!$F$80,BE91/1000*IF(BE$4-Teams!$F$80&lt;6,Params!$D$37,Params!$D$38)*Org!$B$10*Org!$B$12/12,0)</f>
        <v>0</v>
      </c>
      <c r="BF104" s="44">
        <f>BF$5*IF(BF$4&gt;=Teams!$F$80,BF91/1000*IF(BF$4-Teams!$F$80&lt;6,Params!$D$37,Params!$D$38)*Org!$B$10*Org!$B$12/12,0)</f>
        <v>0</v>
      </c>
      <c r="BG104" s="44">
        <f>BG$5*IF(BG$4&gt;=Teams!$F$80,BG91/1000*IF(BG$4-Teams!$F$80&lt;6,Params!$D$37,Params!$D$38)*Org!$B$10*Org!$B$12/12,0)</f>
        <v>0</v>
      </c>
      <c r="BH104" s="44">
        <f>BH$5*IF(BH$4&gt;=Teams!$F$80,BH91/1000*IF(BH$4-Teams!$F$80&lt;6,Params!$D$37,Params!$D$38)*Org!$B$10*Org!$B$12/12,0)</f>
        <v>0</v>
      </c>
      <c r="BI104" s="44">
        <f>BI$5*IF(BI$4&gt;=Teams!$F$80,BI91/1000*IF(BI$4-Teams!$F$80&lt;6,Params!$D$37,Params!$D$38)*Org!$B$10*Org!$B$12/12,0)</f>
        <v>0</v>
      </c>
      <c r="BJ104" s="44">
        <f>BJ$5*IF(BJ$4&gt;=Teams!$F$80,BJ91/1000*IF(BJ$4-Teams!$F$80&lt;6,Params!$D$37,Params!$D$38)*Org!$B$10*Org!$B$12/12,0)</f>
        <v>0</v>
      </c>
      <c r="BK104" s="44">
        <f>BK$5*IF(BK$4&gt;=Teams!$F$80,BK91/1000*IF(BK$4-Teams!$F$80&lt;6,Params!$D$37,Params!$D$38)*Org!$B$10*Org!$B$12/12,0)</f>
        <v>0</v>
      </c>
      <c r="BL104" s="44">
        <f>BL$5*IF(BL$4&gt;=Teams!$F$80,BL91/1000*IF(BL$4-Teams!$F$80&lt;6,Params!$D$37,Params!$D$38)*Org!$B$10*Org!$B$12/12,0)</f>
        <v>0</v>
      </c>
    </row>
    <row r="105" spans="1:64" x14ac:dyDescent="0.3">
      <c r="A105" s="8" t="s">
        <v>676</v>
      </c>
      <c r="B105" s="18" t="s">
        <v>169</v>
      </c>
      <c r="C105" s="44">
        <f t="shared" si="29"/>
        <v>27200</v>
      </c>
      <c r="D105" s="44">
        <f>Teams!$F$5*((Teams!$F$43*Params!$D$4+Teams!$F$44/100000*Params!$D$5+Teams!$F$43*Params!$D$6)*Org!$B$10)</f>
        <v>27200</v>
      </c>
    </row>
    <row r="106" spans="1:64" x14ac:dyDescent="0.3">
      <c r="A106" s="8" t="s">
        <v>677</v>
      </c>
      <c r="B106" s="18" t="s">
        <v>435</v>
      </c>
      <c r="C106" s="44">
        <f t="shared" si="29"/>
        <v>24156</v>
      </c>
      <c r="D106" s="44">
        <f>Teams!$F$5*(Teams!$F$49*(Teams!$F$44*Teams!$F$45*Teams!$F$75+Teams!$F$44*Teams!$F$47*Teams!$F$76/1000000))</f>
        <v>24156</v>
      </c>
    </row>
    <row r="107" spans="1:64" x14ac:dyDescent="0.3">
      <c r="A107" s="8" t="s">
        <v>678</v>
      </c>
      <c r="B107" s="18" t="s">
        <v>169</v>
      </c>
      <c r="C107" s="44">
        <f t="shared" si="29"/>
        <v>18400</v>
      </c>
      <c r="D107" s="44">
        <f>Teams!$F$5*((Params!$D$13+Params!$D$16)*Org!$B$10)</f>
        <v>18400</v>
      </c>
    </row>
    <row r="108" spans="1:64" x14ac:dyDescent="0.3">
      <c r="A108" s="8" t="s">
        <v>679</v>
      </c>
      <c r="B108" s="18" t="s">
        <v>169</v>
      </c>
      <c r="C108" s="44">
        <f t="shared" si="29"/>
        <v>21000</v>
      </c>
      <c r="D108" s="44">
        <f>Teams!$F$5*(Teams!$F$18*Teams!$F$19*Params!$D$34*(Org!$B$10/Org!$B$11))</f>
        <v>21000</v>
      </c>
    </row>
    <row r="109" spans="1:64" x14ac:dyDescent="0.3">
      <c r="A109" s="8" t="s">
        <v>11</v>
      </c>
      <c r="C109" s="44">
        <f t="shared" si="29"/>
        <v>1197383.0399999993</v>
      </c>
      <c r="E109" s="44">
        <f>E$5*E93*Teams!$F$55/60*Teams!$F$56*INDEX(Params!$D$41:$F$41,Org!$B$17)*Teams!$F$57</f>
        <v>0</v>
      </c>
      <c r="F109" s="44">
        <f>F$5*F93*Teams!$F$55/60*Teams!$F$56*INDEX(Params!$D$41:$F$41,Org!$B$17)*Teams!$F$57</f>
        <v>0</v>
      </c>
      <c r="G109" s="44">
        <f>G$5*G93*Teams!$F$55/60*Teams!$F$56*INDEX(Params!$D$41:$F$41,Org!$B$17)*Teams!$F$57</f>
        <v>3891.4948800000002</v>
      </c>
      <c r="H109" s="44">
        <f>H$5*H93*Teams!$F$55/60*Teams!$F$56*INDEX(Params!$D$41:$F$41,Org!$B$17)*Teams!$F$57</f>
        <v>13171.213440000003</v>
      </c>
      <c r="I109" s="44">
        <f>I$5*I93*Teams!$F$55/60*Teams!$F$56*INDEX(Params!$D$41:$F$41,Org!$B$17)*Teams!$F$57</f>
        <v>24247.006560000002</v>
      </c>
      <c r="J109" s="44">
        <f>J$5*J93*Teams!$F$55/60*Teams!$F$56*INDEX(Params!$D$41:$F$41,Org!$B$17)*Teams!$F$57</f>
        <v>33526.725120000003</v>
      </c>
      <c r="K109" s="44">
        <f>K$5*K93*Teams!$F$55/60*Teams!$F$56*INDEX(Params!$D$41:$F$41,Org!$B$17)*Teams!$F$57</f>
        <v>37418.219999999994</v>
      </c>
      <c r="L109" s="44">
        <f>L$5*L93*Teams!$F$55/60*Teams!$F$56*INDEX(Params!$D$41:$F$41,Org!$B$17)*Teams!$F$57</f>
        <v>37418.219999999994</v>
      </c>
      <c r="M109" s="44">
        <f>M$5*M93*Teams!$F$55/60*Teams!$F$56*INDEX(Params!$D$41:$F$41,Org!$B$17)*Teams!$F$57</f>
        <v>37418.219999999994</v>
      </c>
      <c r="N109" s="44">
        <f>N$5*N93*Teams!$F$55/60*Teams!$F$56*INDEX(Params!$D$41:$F$41,Org!$B$17)*Teams!$F$57</f>
        <v>37418.219999999994</v>
      </c>
      <c r="O109" s="44">
        <f>O$5*O93*Teams!$F$55/60*Teams!$F$56*INDEX(Params!$D$41:$F$41,Org!$B$17)*Teams!$F$57</f>
        <v>37418.219999999994</v>
      </c>
      <c r="P109" s="44">
        <f>P$5*P93*Teams!$F$55/60*Teams!$F$56*INDEX(Params!$D$41:$F$41,Org!$B$17)*Teams!$F$57</f>
        <v>37418.219999999994</v>
      </c>
      <c r="Q109" s="44">
        <f>Q$5*Q93*Teams!$F$55/60*Teams!$F$56*INDEX(Params!$D$41:$F$41,Org!$B$17)*Teams!$F$57</f>
        <v>37418.219999999994</v>
      </c>
      <c r="R109" s="44">
        <f>R$5*R93*Teams!$F$55/60*Teams!$F$56*INDEX(Params!$D$41:$F$41,Org!$B$17)*Teams!$F$57</f>
        <v>37418.219999999994</v>
      </c>
      <c r="S109" s="44">
        <f>S$5*S93*Teams!$F$55/60*Teams!$F$56*INDEX(Params!$D$41:$F$41,Org!$B$17)*Teams!$F$57</f>
        <v>37418.219999999994</v>
      </c>
      <c r="T109" s="44">
        <f>T$5*T93*Teams!$F$55/60*Teams!$F$56*INDEX(Params!$D$41:$F$41,Org!$B$17)*Teams!$F$57</f>
        <v>37418.219999999994</v>
      </c>
      <c r="U109" s="44">
        <f>U$5*U93*Teams!$F$55/60*Teams!$F$56*INDEX(Params!$D$41:$F$41,Org!$B$17)*Teams!$F$57</f>
        <v>37418.219999999994</v>
      </c>
      <c r="V109" s="44">
        <f>V$5*V93*Teams!$F$55/60*Teams!$F$56*INDEX(Params!$D$41:$F$41,Org!$B$17)*Teams!$F$57</f>
        <v>37418.219999999994</v>
      </c>
      <c r="W109" s="44">
        <f>W$5*W93*Teams!$F$55/60*Teams!$F$56*INDEX(Params!$D$41:$F$41,Org!$B$17)*Teams!$F$57</f>
        <v>37418.219999999994</v>
      </c>
      <c r="X109" s="44">
        <f>X$5*X93*Teams!$F$55/60*Teams!$F$56*INDEX(Params!$D$41:$F$41,Org!$B$17)*Teams!$F$57</f>
        <v>37418.219999999994</v>
      </c>
      <c r="Y109" s="44">
        <f>Y$5*Y93*Teams!$F$55/60*Teams!$F$56*INDEX(Params!$D$41:$F$41,Org!$B$17)*Teams!$F$57</f>
        <v>37418.219999999994</v>
      </c>
      <c r="Z109" s="44">
        <f>Z$5*Z93*Teams!$F$55/60*Teams!$F$56*INDEX(Params!$D$41:$F$41,Org!$B$17)*Teams!$F$57</f>
        <v>37418.219999999994</v>
      </c>
      <c r="AA109" s="44">
        <f>AA$5*AA93*Teams!$F$55/60*Teams!$F$56*INDEX(Params!$D$41:$F$41,Org!$B$17)*Teams!$F$57</f>
        <v>37418.219999999994</v>
      </c>
      <c r="AB109" s="44">
        <f>AB$5*AB93*Teams!$F$55/60*Teams!$F$56*INDEX(Params!$D$41:$F$41,Org!$B$17)*Teams!$F$57</f>
        <v>37418.219999999994</v>
      </c>
      <c r="AC109" s="44">
        <f>AC$5*AC93*Teams!$F$55/60*Teams!$F$56*INDEX(Params!$D$41:$F$41,Org!$B$17)*Teams!$F$57</f>
        <v>37418.219999999994</v>
      </c>
      <c r="AD109" s="44">
        <f>AD$5*AD93*Teams!$F$55/60*Teams!$F$56*INDEX(Params!$D$41:$F$41,Org!$B$17)*Teams!$F$57</f>
        <v>37418.219999999994</v>
      </c>
      <c r="AE109" s="44">
        <f>AE$5*AE93*Teams!$F$55/60*Teams!$F$56*INDEX(Params!$D$41:$F$41,Org!$B$17)*Teams!$F$57</f>
        <v>37418.219999999994</v>
      </c>
      <c r="AF109" s="44">
        <f>AF$5*AF93*Teams!$F$55/60*Teams!$F$56*INDEX(Params!$D$41:$F$41,Org!$B$17)*Teams!$F$57</f>
        <v>37418.219999999994</v>
      </c>
      <c r="AG109" s="44">
        <f>AG$5*AG93*Teams!$F$55/60*Teams!$F$56*INDEX(Params!$D$41:$F$41,Org!$B$17)*Teams!$F$57</f>
        <v>37418.219999999994</v>
      </c>
      <c r="AH109" s="44">
        <f>AH$5*AH93*Teams!$F$55/60*Teams!$F$56*INDEX(Params!$D$41:$F$41,Org!$B$17)*Teams!$F$57</f>
        <v>37418.219999999994</v>
      </c>
      <c r="AI109" s="44">
        <f>AI$5*AI93*Teams!$F$55/60*Teams!$F$56*INDEX(Params!$D$41:$F$41,Org!$B$17)*Teams!$F$57</f>
        <v>37418.219999999994</v>
      </c>
      <c r="AJ109" s="44">
        <f>AJ$5*AJ93*Teams!$F$55/60*Teams!$F$56*INDEX(Params!$D$41:$F$41,Org!$B$17)*Teams!$F$57</f>
        <v>37418.219999999994</v>
      </c>
      <c r="AK109" s="44">
        <f>AK$5*AK93*Teams!$F$55/60*Teams!$F$56*INDEX(Params!$D$41:$F$41,Org!$B$17)*Teams!$F$57</f>
        <v>37418.219999999994</v>
      </c>
      <c r="AL109" s="44">
        <f>AL$5*AL93*Teams!$F$55/60*Teams!$F$56*INDEX(Params!$D$41:$F$41,Org!$B$17)*Teams!$F$57</f>
        <v>37418.219999999994</v>
      </c>
      <c r="AM109" s="44">
        <f>AM$5*AM93*Teams!$F$55/60*Teams!$F$56*INDEX(Params!$D$41:$F$41,Org!$B$17)*Teams!$F$57</f>
        <v>37418.219999999994</v>
      </c>
      <c r="AN109" s="44">
        <f>AN$5*AN93*Teams!$F$55/60*Teams!$F$56*INDEX(Params!$D$41:$F$41,Org!$B$17)*Teams!$F$57</f>
        <v>37418.219999999994</v>
      </c>
      <c r="AO109" s="44">
        <f>AO$5*AO93*Teams!$F$55/60*Teams!$F$56*INDEX(Params!$D$41:$F$41,Org!$B$17)*Teams!$F$57</f>
        <v>0</v>
      </c>
      <c r="AP109" s="44">
        <f>AP$5*AP93*Teams!$F$55/60*Teams!$F$56*INDEX(Params!$D$41:$F$41,Org!$B$17)*Teams!$F$57</f>
        <v>0</v>
      </c>
      <c r="AQ109" s="44">
        <f>AQ$5*AQ93*Teams!$F$55/60*Teams!$F$56*INDEX(Params!$D$41:$F$41,Org!$B$17)*Teams!$F$57</f>
        <v>0</v>
      </c>
      <c r="AR109" s="44">
        <f>AR$5*AR93*Teams!$F$55/60*Teams!$F$56*INDEX(Params!$D$41:$F$41,Org!$B$17)*Teams!$F$57</f>
        <v>0</v>
      </c>
      <c r="AS109" s="44">
        <f>AS$5*AS93*Teams!$F$55/60*Teams!$F$56*INDEX(Params!$D$41:$F$41,Org!$B$17)*Teams!$F$57</f>
        <v>0</v>
      </c>
      <c r="AT109" s="44">
        <f>AT$5*AT93*Teams!$F$55/60*Teams!$F$56*INDEX(Params!$D$41:$F$41,Org!$B$17)*Teams!$F$57</f>
        <v>0</v>
      </c>
      <c r="AU109" s="44">
        <f>AU$5*AU93*Teams!$F$55/60*Teams!$F$56*INDEX(Params!$D$41:$F$41,Org!$B$17)*Teams!$F$57</f>
        <v>0</v>
      </c>
      <c r="AV109" s="44">
        <f>AV$5*AV93*Teams!$F$55/60*Teams!$F$56*INDEX(Params!$D$41:$F$41,Org!$B$17)*Teams!$F$57</f>
        <v>0</v>
      </c>
      <c r="AW109" s="44">
        <f>AW$5*AW93*Teams!$F$55/60*Teams!$F$56*INDEX(Params!$D$41:$F$41,Org!$B$17)*Teams!$F$57</f>
        <v>0</v>
      </c>
      <c r="AX109" s="44">
        <f>AX$5*AX93*Teams!$F$55/60*Teams!$F$56*INDEX(Params!$D$41:$F$41,Org!$B$17)*Teams!$F$57</f>
        <v>0</v>
      </c>
      <c r="AY109" s="44">
        <f>AY$5*AY93*Teams!$F$55/60*Teams!$F$56*INDEX(Params!$D$41:$F$41,Org!$B$17)*Teams!$F$57</f>
        <v>0</v>
      </c>
      <c r="AZ109" s="44">
        <f>AZ$5*AZ93*Teams!$F$55/60*Teams!$F$56*INDEX(Params!$D$41:$F$41,Org!$B$17)*Teams!$F$57</f>
        <v>0</v>
      </c>
      <c r="BA109" s="44">
        <f>BA$5*BA93*Teams!$F$55/60*Teams!$F$56*INDEX(Params!$D$41:$F$41,Org!$B$17)*Teams!$F$57</f>
        <v>0</v>
      </c>
      <c r="BB109" s="44">
        <f>BB$5*BB93*Teams!$F$55/60*Teams!$F$56*INDEX(Params!$D$41:$F$41,Org!$B$17)*Teams!$F$57</f>
        <v>0</v>
      </c>
      <c r="BC109" s="44">
        <f>BC$5*BC93*Teams!$F$55/60*Teams!$F$56*INDEX(Params!$D$41:$F$41,Org!$B$17)*Teams!$F$57</f>
        <v>0</v>
      </c>
      <c r="BD109" s="44">
        <f>BD$5*BD93*Teams!$F$55/60*Teams!$F$56*INDEX(Params!$D$41:$F$41,Org!$B$17)*Teams!$F$57</f>
        <v>0</v>
      </c>
      <c r="BE109" s="44">
        <f>BE$5*BE93*Teams!$F$55/60*Teams!$F$56*INDEX(Params!$D$41:$F$41,Org!$B$17)*Teams!$F$57</f>
        <v>0</v>
      </c>
      <c r="BF109" s="44">
        <f>BF$5*BF93*Teams!$F$55/60*Teams!$F$56*INDEX(Params!$D$41:$F$41,Org!$B$17)*Teams!$F$57</f>
        <v>0</v>
      </c>
      <c r="BG109" s="44">
        <f>BG$5*BG93*Teams!$F$55/60*Teams!$F$56*INDEX(Params!$D$41:$F$41,Org!$B$17)*Teams!$F$57</f>
        <v>0</v>
      </c>
      <c r="BH109" s="44">
        <f>BH$5*BH93*Teams!$F$55/60*Teams!$F$56*INDEX(Params!$D$41:$F$41,Org!$B$17)*Teams!$F$57</f>
        <v>0</v>
      </c>
      <c r="BI109" s="44">
        <f>BI$5*BI93*Teams!$F$55/60*Teams!$F$56*INDEX(Params!$D$41:$F$41,Org!$B$17)*Teams!$F$57</f>
        <v>0</v>
      </c>
      <c r="BJ109" s="44">
        <f>BJ$5*BJ93*Teams!$F$55/60*Teams!$F$56*INDEX(Params!$D$41:$F$41,Org!$B$17)*Teams!$F$57</f>
        <v>0</v>
      </c>
      <c r="BK109" s="44">
        <f>BK$5*BK93*Teams!$F$55/60*Teams!$F$56*INDEX(Params!$D$41:$F$41,Org!$B$17)*Teams!$F$57</f>
        <v>0</v>
      </c>
      <c r="BL109" s="44">
        <f>BL$5*BL93*Teams!$F$55/60*Teams!$F$56*INDEX(Params!$D$41:$F$41,Org!$B$17)*Teams!$F$57</f>
        <v>0</v>
      </c>
    </row>
    <row r="110" spans="1:64" x14ac:dyDescent="0.3">
      <c r="A110" s="8" t="s">
        <v>701</v>
      </c>
      <c r="C110" s="44">
        <f t="shared" si="29"/>
        <v>483378.38486399961</v>
      </c>
      <c r="D110" s="44">
        <f t="shared" ref="D110:AI110" si="30">SUM(D94:D108)</f>
        <v>90756</v>
      </c>
      <c r="E110" s="44">
        <f t="shared" si="30"/>
        <v>0</v>
      </c>
      <c r="F110" s="44">
        <f t="shared" si="30"/>
        <v>0</v>
      </c>
      <c r="G110" s="44">
        <f t="shared" si="30"/>
        <v>2680.670870808</v>
      </c>
      <c r="H110" s="44">
        <f t="shared" si="30"/>
        <v>5399.3967935040009</v>
      </c>
      <c r="I110" s="44">
        <f t="shared" si="30"/>
        <v>8644.3277334960003</v>
      </c>
      <c r="J110" s="44">
        <f t="shared" si="30"/>
        <v>11363.053656192002</v>
      </c>
      <c r="K110" s="44">
        <f t="shared" si="30"/>
        <v>12503.164526999999</v>
      </c>
      <c r="L110" s="44">
        <f t="shared" si="30"/>
        <v>12503.164526999999</v>
      </c>
      <c r="M110" s="44">
        <f t="shared" si="30"/>
        <v>12063.164526999999</v>
      </c>
      <c r="N110" s="44">
        <f t="shared" si="30"/>
        <v>12063.164526999999</v>
      </c>
      <c r="O110" s="44">
        <f t="shared" si="30"/>
        <v>12063.164526999999</v>
      </c>
      <c r="P110" s="44">
        <f t="shared" si="30"/>
        <v>12063.164526999999</v>
      </c>
      <c r="Q110" s="44">
        <f t="shared" si="30"/>
        <v>12063.164526999999</v>
      </c>
      <c r="R110" s="44">
        <f t="shared" si="30"/>
        <v>12063.164526999999</v>
      </c>
      <c r="S110" s="44">
        <f t="shared" si="30"/>
        <v>12063.164526999999</v>
      </c>
      <c r="T110" s="44">
        <f t="shared" si="30"/>
        <v>12063.164526999999</v>
      </c>
      <c r="U110" s="44">
        <f t="shared" si="30"/>
        <v>12063.164526999999</v>
      </c>
      <c r="V110" s="44">
        <f t="shared" si="30"/>
        <v>12063.164526999999</v>
      </c>
      <c r="W110" s="44">
        <f t="shared" si="30"/>
        <v>12063.164526999999</v>
      </c>
      <c r="X110" s="44">
        <f t="shared" si="30"/>
        <v>12063.164526999999</v>
      </c>
      <c r="Y110" s="44">
        <f t="shared" si="30"/>
        <v>12063.164526999999</v>
      </c>
      <c r="Z110" s="44">
        <f t="shared" si="30"/>
        <v>12063.164526999999</v>
      </c>
      <c r="AA110" s="44">
        <f t="shared" si="30"/>
        <v>12063.164526999999</v>
      </c>
      <c r="AB110" s="44">
        <f t="shared" si="30"/>
        <v>12063.164526999999</v>
      </c>
      <c r="AC110" s="44">
        <f t="shared" si="30"/>
        <v>12063.164526999999</v>
      </c>
      <c r="AD110" s="44">
        <f t="shared" si="30"/>
        <v>12063.164526999999</v>
      </c>
      <c r="AE110" s="44">
        <f t="shared" si="30"/>
        <v>12063.164526999999</v>
      </c>
      <c r="AF110" s="44">
        <f t="shared" si="30"/>
        <v>13823.164527000001</v>
      </c>
      <c r="AG110" s="44">
        <f t="shared" si="30"/>
        <v>12063.164526999999</v>
      </c>
      <c r="AH110" s="44">
        <f t="shared" si="30"/>
        <v>12063.164526999999</v>
      </c>
      <c r="AI110" s="44">
        <f t="shared" si="30"/>
        <v>12063.164526999999</v>
      </c>
      <c r="AJ110" s="44">
        <f t="shared" ref="AJ110:BL110" si="31">SUM(AJ94:AJ108)</f>
        <v>12063.164526999999</v>
      </c>
      <c r="AK110" s="44">
        <f t="shared" si="31"/>
        <v>12063.164526999999</v>
      </c>
      <c r="AL110" s="44">
        <f t="shared" si="31"/>
        <v>12063.164526999999</v>
      </c>
      <c r="AM110" s="44">
        <f t="shared" si="31"/>
        <v>12063.164526999999</v>
      </c>
      <c r="AN110" s="44">
        <f t="shared" si="31"/>
        <v>12063.164526999999</v>
      </c>
      <c r="AO110" s="44">
        <f t="shared" si="31"/>
        <v>0</v>
      </c>
      <c r="AP110" s="44">
        <f t="shared" si="31"/>
        <v>0</v>
      </c>
      <c r="AQ110" s="44">
        <f t="shared" si="31"/>
        <v>0</v>
      </c>
      <c r="AR110" s="44">
        <f t="shared" si="31"/>
        <v>0</v>
      </c>
      <c r="AS110" s="44">
        <f t="shared" si="31"/>
        <v>0</v>
      </c>
      <c r="AT110" s="44">
        <f t="shared" si="31"/>
        <v>0</v>
      </c>
      <c r="AU110" s="44">
        <f t="shared" si="31"/>
        <v>0</v>
      </c>
      <c r="AV110" s="44">
        <f t="shared" si="31"/>
        <v>0</v>
      </c>
      <c r="AW110" s="44">
        <f t="shared" si="31"/>
        <v>0</v>
      </c>
      <c r="AX110" s="44">
        <f t="shared" si="31"/>
        <v>0</v>
      </c>
      <c r="AY110" s="44">
        <f t="shared" si="31"/>
        <v>0</v>
      </c>
      <c r="AZ110" s="44">
        <f t="shared" si="31"/>
        <v>0</v>
      </c>
      <c r="BA110" s="44">
        <f t="shared" si="31"/>
        <v>0</v>
      </c>
      <c r="BB110" s="44">
        <f t="shared" si="31"/>
        <v>0</v>
      </c>
      <c r="BC110" s="44">
        <f t="shared" si="31"/>
        <v>0</v>
      </c>
      <c r="BD110" s="44">
        <f t="shared" si="31"/>
        <v>0</v>
      </c>
      <c r="BE110" s="44">
        <f t="shared" si="31"/>
        <v>0</v>
      </c>
      <c r="BF110" s="44">
        <f t="shared" si="31"/>
        <v>0</v>
      </c>
      <c r="BG110" s="44">
        <f t="shared" si="31"/>
        <v>0</v>
      </c>
      <c r="BH110" s="44">
        <f t="shared" si="31"/>
        <v>0</v>
      </c>
      <c r="BI110" s="44">
        <f t="shared" si="31"/>
        <v>0</v>
      </c>
      <c r="BJ110" s="44">
        <f t="shared" si="31"/>
        <v>0</v>
      </c>
      <c r="BK110" s="44">
        <f t="shared" si="31"/>
        <v>0</v>
      </c>
      <c r="BL110" s="44">
        <f t="shared" si="31"/>
        <v>0</v>
      </c>
    </row>
    <row r="111" spans="1:64" x14ac:dyDescent="0.3">
      <c r="A111" s="8" t="s">
        <v>702</v>
      </c>
      <c r="C111" s="44">
        <f t="shared" si="29"/>
        <v>66404.465987554766</v>
      </c>
      <c r="D111" s="44">
        <f t="shared" ref="D111:AI111" si="32">$E$169*D158</f>
        <v>3796.6351693938691</v>
      </c>
      <c r="E111" s="44">
        <f t="shared" si="32"/>
        <v>1735.2282092648074</v>
      </c>
      <c r="F111" s="44">
        <f t="shared" si="32"/>
        <v>1736.1348390566184</v>
      </c>
      <c r="G111" s="44">
        <f t="shared" si="32"/>
        <v>1737.2506135914573</v>
      </c>
      <c r="H111" s="44">
        <f t="shared" si="32"/>
        <v>1738.4199740769761</v>
      </c>
      <c r="I111" s="44">
        <f t="shared" si="32"/>
        <v>1739.0398154290542</v>
      </c>
      <c r="J111" s="44">
        <f t="shared" si="32"/>
        <v>1739.3566292448336</v>
      </c>
      <c r="K111" s="44">
        <f t="shared" si="32"/>
        <v>1739.4133579165707</v>
      </c>
      <c r="L111" s="44">
        <f t="shared" si="32"/>
        <v>1739.4133579165707</v>
      </c>
      <c r="M111" s="44">
        <f t="shared" si="32"/>
        <v>1739.4133579165707</v>
      </c>
      <c r="N111" s="44">
        <f t="shared" si="32"/>
        <v>1739.4133579165707</v>
      </c>
      <c r="O111" s="44">
        <f t="shared" si="32"/>
        <v>1739.4133579165707</v>
      </c>
      <c r="P111" s="44">
        <f t="shared" si="32"/>
        <v>1739.4133579165707</v>
      </c>
      <c r="Q111" s="44">
        <f t="shared" si="32"/>
        <v>1739.4133579165707</v>
      </c>
      <c r="R111" s="44">
        <f t="shared" si="32"/>
        <v>1739.4133579165707</v>
      </c>
      <c r="S111" s="44">
        <f t="shared" si="32"/>
        <v>1739.4133579165707</v>
      </c>
      <c r="T111" s="44">
        <f t="shared" si="32"/>
        <v>1739.4133579165707</v>
      </c>
      <c r="U111" s="44">
        <f t="shared" si="32"/>
        <v>1739.4133579165707</v>
      </c>
      <c r="V111" s="44">
        <f t="shared" si="32"/>
        <v>1739.4133579165707</v>
      </c>
      <c r="W111" s="44">
        <f t="shared" si="32"/>
        <v>1739.4133579165707</v>
      </c>
      <c r="X111" s="44">
        <f t="shared" si="32"/>
        <v>1739.4133579165707</v>
      </c>
      <c r="Y111" s="44">
        <f t="shared" si="32"/>
        <v>1739.4133579165707</v>
      </c>
      <c r="Z111" s="44">
        <f t="shared" si="32"/>
        <v>1739.4133579165707</v>
      </c>
      <c r="AA111" s="44">
        <f t="shared" si="32"/>
        <v>1739.4133579165707</v>
      </c>
      <c r="AB111" s="44">
        <f t="shared" si="32"/>
        <v>1739.4133579165707</v>
      </c>
      <c r="AC111" s="44">
        <f t="shared" si="32"/>
        <v>1739.4133579165707</v>
      </c>
      <c r="AD111" s="44">
        <f t="shared" si="32"/>
        <v>1739.4133579165707</v>
      </c>
      <c r="AE111" s="44">
        <f t="shared" si="32"/>
        <v>1739.4133579165707</v>
      </c>
      <c r="AF111" s="44">
        <f t="shared" si="32"/>
        <v>1739.4133579165707</v>
      </c>
      <c r="AG111" s="44">
        <f t="shared" si="32"/>
        <v>1739.4133579165707</v>
      </c>
      <c r="AH111" s="44">
        <f t="shared" si="32"/>
        <v>1739.4133579165707</v>
      </c>
      <c r="AI111" s="44">
        <f t="shared" si="32"/>
        <v>1739.4133579165707</v>
      </c>
      <c r="AJ111" s="44">
        <f t="shared" ref="AJ111:BL111" si="33">$E$169*AJ158</f>
        <v>1739.4133579165707</v>
      </c>
      <c r="AK111" s="44">
        <f t="shared" si="33"/>
        <v>1739.4133579165707</v>
      </c>
      <c r="AL111" s="44">
        <f t="shared" si="33"/>
        <v>1739.4133579165707</v>
      </c>
      <c r="AM111" s="44">
        <f t="shared" si="33"/>
        <v>1739.4133579165707</v>
      </c>
      <c r="AN111" s="44">
        <f t="shared" si="33"/>
        <v>1739.4133579165707</v>
      </c>
      <c r="AO111" s="44">
        <f t="shared" si="33"/>
        <v>0</v>
      </c>
      <c r="AP111" s="44">
        <f t="shared" si="33"/>
        <v>0</v>
      </c>
      <c r="AQ111" s="44">
        <f t="shared" si="33"/>
        <v>0</v>
      </c>
      <c r="AR111" s="44">
        <f t="shared" si="33"/>
        <v>0</v>
      </c>
      <c r="AS111" s="44">
        <f t="shared" si="33"/>
        <v>0</v>
      </c>
      <c r="AT111" s="44">
        <f t="shared" si="33"/>
        <v>0</v>
      </c>
      <c r="AU111" s="44">
        <f t="shared" si="33"/>
        <v>0</v>
      </c>
      <c r="AV111" s="44">
        <f t="shared" si="33"/>
        <v>0</v>
      </c>
      <c r="AW111" s="44">
        <f t="shared" si="33"/>
        <v>0</v>
      </c>
      <c r="AX111" s="44">
        <f t="shared" si="33"/>
        <v>0</v>
      </c>
      <c r="AY111" s="44">
        <f t="shared" si="33"/>
        <v>0</v>
      </c>
      <c r="AZ111" s="44">
        <f t="shared" si="33"/>
        <v>0</v>
      </c>
      <c r="BA111" s="44">
        <f t="shared" si="33"/>
        <v>0</v>
      </c>
      <c r="BB111" s="44">
        <f t="shared" si="33"/>
        <v>0</v>
      </c>
      <c r="BC111" s="44">
        <f t="shared" si="33"/>
        <v>0</v>
      </c>
      <c r="BD111" s="44">
        <f t="shared" si="33"/>
        <v>0</v>
      </c>
      <c r="BE111" s="44">
        <f t="shared" si="33"/>
        <v>0</v>
      </c>
      <c r="BF111" s="44">
        <f t="shared" si="33"/>
        <v>0</v>
      </c>
      <c r="BG111" s="44">
        <f t="shared" si="33"/>
        <v>0</v>
      </c>
      <c r="BH111" s="44">
        <f t="shared" si="33"/>
        <v>0</v>
      </c>
      <c r="BI111" s="44">
        <f t="shared" si="33"/>
        <v>0</v>
      </c>
      <c r="BJ111" s="44">
        <f t="shared" si="33"/>
        <v>0</v>
      </c>
      <c r="BK111" s="44">
        <f t="shared" si="33"/>
        <v>0</v>
      </c>
      <c r="BL111" s="44">
        <f t="shared" si="33"/>
        <v>0</v>
      </c>
    </row>
    <row r="112" spans="1:64" x14ac:dyDescent="0.3">
      <c r="A112" s="8" t="s">
        <v>1012</v>
      </c>
      <c r="C112" s="44">
        <f t="shared" si="29"/>
        <v>647600.1891484448</v>
      </c>
      <c r="D112" s="44">
        <f t="shared" ref="D112:AI112" si="34">D109-D110-D111</f>
        <v>-94552.635169393863</v>
      </c>
      <c r="E112" s="44">
        <f t="shared" si="34"/>
        <v>-1735.2282092648074</v>
      </c>
      <c r="F112" s="44">
        <f t="shared" si="34"/>
        <v>-1736.1348390566184</v>
      </c>
      <c r="G112" s="44">
        <f t="shared" si="34"/>
        <v>-526.42660439945712</v>
      </c>
      <c r="H112" s="44">
        <f t="shared" si="34"/>
        <v>6033.3966724190259</v>
      </c>
      <c r="I112" s="44">
        <f t="shared" si="34"/>
        <v>13863.639011074947</v>
      </c>
      <c r="J112" s="44">
        <f t="shared" si="34"/>
        <v>20424.314834563167</v>
      </c>
      <c r="K112" s="44">
        <f t="shared" si="34"/>
        <v>23175.642115083421</v>
      </c>
      <c r="L112" s="44">
        <f t="shared" si="34"/>
        <v>23175.642115083421</v>
      </c>
      <c r="M112" s="44">
        <f t="shared" si="34"/>
        <v>23615.642115083421</v>
      </c>
      <c r="N112" s="44">
        <f t="shared" si="34"/>
        <v>23615.642115083421</v>
      </c>
      <c r="O112" s="44">
        <f t="shared" si="34"/>
        <v>23615.642115083421</v>
      </c>
      <c r="P112" s="44">
        <f t="shared" si="34"/>
        <v>23615.642115083421</v>
      </c>
      <c r="Q112" s="44">
        <f t="shared" si="34"/>
        <v>23615.642115083421</v>
      </c>
      <c r="R112" s="44">
        <f t="shared" si="34"/>
        <v>23615.642115083421</v>
      </c>
      <c r="S112" s="44">
        <f t="shared" si="34"/>
        <v>23615.642115083421</v>
      </c>
      <c r="T112" s="44">
        <f t="shared" si="34"/>
        <v>23615.642115083421</v>
      </c>
      <c r="U112" s="44">
        <f t="shared" si="34"/>
        <v>23615.642115083421</v>
      </c>
      <c r="V112" s="44">
        <f t="shared" si="34"/>
        <v>23615.642115083421</v>
      </c>
      <c r="W112" s="44">
        <f t="shared" si="34"/>
        <v>23615.642115083421</v>
      </c>
      <c r="X112" s="44">
        <f t="shared" si="34"/>
        <v>23615.642115083421</v>
      </c>
      <c r="Y112" s="44">
        <f t="shared" si="34"/>
        <v>23615.642115083421</v>
      </c>
      <c r="Z112" s="44">
        <f t="shared" si="34"/>
        <v>23615.642115083421</v>
      </c>
      <c r="AA112" s="44">
        <f t="shared" si="34"/>
        <v>23615.642115083421</v>
      </c>
      <c r="AB112" s="44">
        <f t="shared" si="34"/>
        <v>23615.642115083421</v>
      </c>
      <c r="AC112" s="44">
        <f t="shared" si="34"/>
        <v>23615.642115083421</v>
      </c>
      <c r="AD112" s="44">
        <f t="shared" si="34"/>
        <v>23615.642115083421</v>
      </c>
      <c r="AE112" s="44">
        <f t="shared" si="34"/>
        <v>23615.642115083421</v>
      </c>
      <c r="AF112" s="44">
        <f t="shared" si="34"/>
        <v>21855.642115083421</v>
      </c>
      <c r="AG112" s="44">
        <f t="shared" si="34"/>
        <v>23615.642115083421</v>
      </c>
      <c r="AH112" s="44">
        <f t="shared" si="34"/>
        <v>23615.642115083421</v>
      </c>
      <c r="AI112" s="44">
        <f t="shared" si="34"/>
        <v>23615.642115083421</v>
      </c>
      <c r="AJ112" s="44">
        <f t="shared" ref="AJ112:BO112" si="35">AJ109-AJ110-AJ111</f>
        <v>23615.642115083421</v>
      </c>
      <c r="AK112" s="44">
        <f t="shared" si="35"/>
        <v>23615.642115083421</v>
      </c>
      <c r="AL112" s="44">
        <f t="shared" si="35"/>
        <v>23615.642115083421</v>
      </c>
      <c r="AM112" s="44">
        <f t="shared" si="35"/>
        <v>23615.642115083421</v>
      </c>
      <c r="AN112" s="44">
        <f t="shared" si="35"/>
        <v>23615.642115083421</v>
      </c>
      <c r="AO112" s="44">
        <f t="shared" si="35"/>
        <v>0</v>
      </c>
      <c r="AP112" s="44">
        <f t="shared" si="35"/>
        <v>0</v>
      </c>
      <c r="AQ112" s="44">
        <f t="shared" si="35"/>
        <v>0</v>
      </c>
      <c r="AR112" s="44">
        <f t="shared" si="35"/>
        <v>0</v>
      </c>
      <c r="AS112" s="44">
        <f t="shared" si="35"/>
        <v>0</v>
      </c>
      <c r="AT112" s="44">
        <f t="shared" si="35"/>
        <v>0</v>
      </c>
      <c r="AU112" s="44">
        <f t="shared" si="35"/>
        <v>0</v>
      </c>
      <c r="AV112" s="44">
        <f t="shared" si="35"/>
        <v>0</v>
      </c>
      <c r="AW112" s="44">
        <f t="shared" si="35"/>
        <v>0</v>
      </c>
      <c r="AX112" s="44">
        <f t="shared" si="35"/>
        <v>0</v>
      </c>
      <c r="AY112" s="44">
        <f t="shared" si="35"/>
        <v>0</v>
      </c>
      <c r="AZ112" s="44">
        <f t="shared" si="35"/>
        <v>0</v>
      </c>
      <c r="BA112" s="44">
        <f t="shared" si="35"/>
        <v>0</v>
      </c>
      <c r="BB112" s="44">
        <f t="shared" si="35"/>
        <v>0</v>
      </c>
      <c r="BC112" s="44">
        <f t="shared" si="35"/>
        <v>0</v>
      </c>
      <c r="BD112" s="44">
        <f t="shared" si="35"/>
        <v>0</v>
      </c>
      <c r="BE112" s="44">
        <f t="shared" si="35"/>
        <v>0</v>
      </c>
      <c r="BF112" s="44">
        <f t="shared" si="35"/>
        <v>0</v>
      </c>
      <c r="BG112" s="44">
        <f t="shared" si="35"/>
        <v>0</v>
      </c>
      <c r="BH112" s="44">
        <f t="shared" si="35"/>
        <v>0</v>
      </c>
      <c r="BI112" s="44">
        <f t="shared" si="35"/>
        <v>0</v>
      </c>
      <c r="BJ112" s="44">
        <f t="shared" si="35"/>
        <v>0</v>
      </c>
      <c r="BK112" s="44">
        <f t="shared" si="35"/>
        <v>0</v>
      </c>
      <c r="BL112" s="44">
        <f t="shared" si="35"/>
        <v>0</v>
      </c>
    </row>
    <row r="113" spans="1:64" x14ac:dyDescent="0.3">
      <c r="A113" s="8" t="s">
        <v>1013</v>
      </c>
      <c r="D113" s="44">
        <f>D112</f>
        <v>-94552.635169393863</v>
      </c>
      <c r="E113" s="44">
        <f t="shared" ref="E113:AJ113" si="36">D113+E112</f>
        <v>-96287.863378658672</v>
      </c>
      <c r="F113" s="44">
        <f t="shared" si="36"/>
        <v>-98023.998217715285</v>
      </c>
      <c r="G113" s="44">
        <f t="shared" si="36"/>
        <v>-98550.424822114743</v>
      </c>
      <c r="H113" s="44">
        <f t="shared" si="36"/>
        <v>-92517.028149695718</v>
      </c>
      <c r="I113" s="44">
        <f t="shared" si="36"/>
        <v>-78653.389138620769</v>
      </c>
      <c r="J113" s="44">
        <f t="shared" si="36"/>
        <v>-58229.074304057605</v>
      </c>
      <c r="K113" s="44">
        <f t="shared" si="36"/>
        <v>-35053.432188974184</v>
      </c>
      <c r="L113" s="44">
        <f t="shared" si="36"/>
        <v>-11877.790073890763</v>
      </c>
      <c r="M113" s="44">
        <f t="shared" si="36"/>
        <v>11737.852041192658</v>
      </c>
      <c r="N113" s="44">
        <f t="shared" si="36"/>
        <v>35353.49415627608</v>
      </c>
      <c r="O113" s="44">
        <f t="shared" si="36"/>
        <v>58969.136271359501</v>
      </c>
      <c r="P113" s="44">
        <f t="shared" si="36"/>
        <v>82584.778386442922</v>
      </c>
      <c r="Q113" s="44">
        <f t="shared" si="36"/>
        <v>106200.42050152634</v>
      </c>
      <c r="R113" s="44">
        <f t="shared" si="36"/>
        <v>129816.06261660976</v>
      </c>
      <c r="S113" s="44">
        <f t="shared" si="36"/>
        <v>153431.7047316932</v>
      </c>
      <c r="T113" s="44">
        <f t="shared" si="36"/>
        <v>177047.34684677661</v>
      </c>
      <c r="U113" s="44">
        <f t="shared" si="36"/>
        <v>200662.98896186001</v>
      </c>
      <c r="V113" s="44">
        <f t="shared" si="36"/>
        <v>224278.63107694342</v>
      </c>
      <c r="W113" s="44">
        <f t="shared" si="36"/>
        <v>247894.27319202683</v>
      </c>
      <c r="X113" s="44">
        <f t="shared" si="36"/>
        <v>271509.91530711023</v>
      </c>
      <c r="Y113" s="44">
        <f t="shared" si="36"/>
        <v>295125.55742219364</v>
      </c>
      <c r="Z113" s="44">
        <f t="shared" si="36"/>
        <v>318741.19953727705</v>
      </c>
      <c r="AA113" s="44">
        <f t="shared" si="36"/>
        <v>342356.84165236045</v>
      </c>
      <c r="AB113" s="44">
        <f t="shared" si="36"/>
        <v>365972.48376744386</v>
      </c>
      <c r="AC113" s="44">
        <f t="shared" si="36"/>
        <v>389588.12588252727</v>
      </c>
      <c r="AD113" s="44">
        <f t="shared" si="36"/>
        <v>413203.76799761067</v>
      </c>
      <c r="AE113" s="44">
        <f t="shared" si="36"/>
        <v>436819.41011269408</v>
      </c>
      <c r="AF113" s="44">
        <f t="shared" si="36"/>
        <v>458675.05222777749</v>
      </c>
      <c r="AG113" s="44">
        <f t="shared" si="36"/>
        <v>482290.69434286089</v>
      </c>
      <c r="AH113" s="44">
        <f t="shared" si="36"/>
        <v>505906.3364579443</v>
      </c>
      <c r="AI113" s="44">
        <f t="shared" si="36"/>
        <v>529521.97857302777</v>
      </c>
      <c r="AJ113" s="44">
        <f t="shared" si="36"/>
        <v>553137.62068811117</v>
      </c>
      <c r="AK113" s="44">
        <f t="shared" ref="AK113:BP113" si="37">AJ113+AK112</f>
        <v>576753.26280319458</v>
      </c>
      <c r="AL113" s="44">
        <f t="shared" si="37"/>
        <v>600368.90491827799</v>
      </c>
      <c r="AM113" s="44">
        <f t="shared" si="37"/>
        <v>623984.54703336139</v>
      </c>
      <c r="AN113" s="44">
        <f t="shared" si="37"/>
        <v>647600.1891484448</v>
      </c>
      <c r="AO113" s="44">
        <f t="shared" si="37"/>
        <v>647600.1891484448</v>
      </c>
      <c r="AP113" s="44">
        <f t="shared" si="37"/>
        <v>647600.1891484448</v>
      </c>
      <c r="AQ113" s="44">
        <f t="shared" si="37"/>
        <v>647600.1891484448</v>
      </c>
      <c r="AR113" s="44">
        <f t="shared" si="37"/>
        <v>647600.1891484448</v>
      </c>
      <c r="AS113" s="44">
        <f t="shared" si="37"/>
        <v>647600.1891484448</v>
      </c>
      <c r="AT113" s="44">
        <f t="shared" si="37"/>
        <v>647600.1891484448</v>
      </c>
      <c r="AU113" s="44">
        <f t="shared" si="37"/>
        <v>647600.1891484448</v>
      </c>
      <c r="AV113" s="44">
        <f t="shared" si="37"/>
        <v>647600.1891484448</v>
      </c>
      <c r="AW113" s="44">
        <f t="shared" si="37"/>
        <v>647600.1891484448</v>
      </c>
      <c r="AX113" s="44">
        <f t="shared" si="37"/>
        <v>647600.1891484448</v>
      </c>
      <c r="AY113" s="44">
        <f t="shared" si="37"/>
        <v>647600.1891484448</v>
      </c>
      <c r="AZ113" s="44">
        <f t="shared" si="37"/>
        <v>647600.1891484448</v>
      </c>
      <c r="BA113" s="44">
        <f t="shared" si="37"/>
        <v>647600.1891484448</v>
      </c>
      <c r="BB113" s="44">
        <f t="shared" si="37"/>
        <v>647600.1891484448</v>
      </c>
      <c r="BC113" s="44">
        <f t="shared" si="37"/>
        <v>647600.1891484448</v>
      </c>
      <c r="BD113" s="44">
        <f t="shared" si="37"/>
        <v>647600.1891484448</v>
      </c>
      <c r="BE113" s="44">
        <f t="shared" si="37"/>
        <v>647600.1891484448</v>
      </c>
      <c r="BF113" s="44">
        <f t="shared" si="37"/>
        <v>647600.1891484448</v>
      </c>
      <c r="BG113" s="44">
        <f t="shared" si="37"/>
        <v>647600.1891484448</v>
      </c>
      <c r="BH113" s="44">
        <f t="shared" si="37"/>
        <v>647600.1891484448</v>
      </c>
      <c r="BI113" s="44">
        <f t="shared" si="37"/>
        <v>647600.1891484448</v>
      </c>
      <c r="BJ113" s="44">
        <f t="shared" si="37"/>
        <v>647600.1891484448</v>
      </c>
      <c r="BK113" s="44">
        <f t="shared" si="37"/>
        <v>647600.1891484448</v>
      </c>
      <c r="BL113" s="44">
        <f t="shared" si="37"/>
        <v>647600.1891484448</v>
      </c>
    </row>
    <row r="114" spans="1:64" x14ac:dyDescent="0.3">
      <c r="A114" s="8" t="s">
        <v>1014</v>
      </c>
      <c r="C114" s="22">
        <f>IF(COUNT(E114:BL114)=0,"None",MIN(E114:BL114))</f>
        <v>9</v>
      </c>
      <c r="E114" s="22" t="str">
        <f>IF(AND(E$4&lt;=Org!$B$5,E113&gt;=0),E$4,"")</f>
        <v/>
      </c>
      <c r="F114" s="22" t="str">
        <f>IF(AND(F$4&lt;=Org!$B$5,F113&gt;=0),F$4,"")</f>
        <v/>
      </c>
      <c r="G114" s="22" t="str">
        <f>IF(AND(G$4&lt;=Org!$B$5,G113&gt;=0),G$4,"")</f>
        <v/>
      </c>
      <c r="H114" s="22" t="str">
        <f>IF(AND(H$4&lt;=Org!$B$5,H113&gt;=0),H$4,"")</f>
        <v/>
      </c>
      <c r="I114" s="22" t="str">
        <f>IF(AND(I$4&lt;=Org!$B$5,I113&gt;=0),I$4,"")</f>
        <v/>
      </c>
      <c r="J114" s="22" t="str">
        <f>IF(AND(J$4&lt;=Org!$B$5,J113&gt;=0),J$4,"")</f>
        <v/>
      </c>
      <c r="K114" s="22" t="str">
        <f>IF(AND(K$4&lt;=Org!$B$5,K113&gt;=0),K$4,"")</f>
        <v/>
      </c>
      <c r="L114" s="22" t="str">
        <f>IF(AND(L$4&lt;=Org!$B$5,L113&gt;=0),L$4,"")</f>
        <v/>
      </c>
      <c r="M114" s="22">
        <f>IF(AND(M$4&lt;=Org!$B$5,M113&gt;=0),M$4,"")</f>
        <v>9</v>
      </c>
      <c r="N114" s="22">
        <f>IF(AND(N$4&lt;=Org!$B$5,N113&gt;=0),N$4,"")</f>
        <v>10</v>
      </c>
      <c r="O114" s="22">
        <f>IF(AND(O$4&lt;=Org!$B$5,O113&gt;=0),O$4,"")</f>
        <v>11</v>
      </c>
      <c r="P114" s="22">
        <f>IF(AND(P$4&lt;=Org!$B$5,P113&gt;=0),P$4,"")</f>
        <v>12</v>
      </c>
      <c r="Q114" s="22">
        <f>IF(AND(Q$4&lt;=Org!$B$5,Q113&gt;=0),Q$4,"")</f>
        <v>13</v>
      </c>
      <c r="R114" s="22">
        <f>IF(AND(R$4&lt;=Org!$B$5,R113&gt;=0),R$4,"")</f>
        <v>14</v>
      </c>
      <c r="S114" s="22">
        <f>IF(AND(S$4&lt;=Org!$B$5,S113&gt;=0),S$4,"")</f>
        <v>15</v>
      </c>
      <c r="T114" s="22">
        <f>IF(AND(T$4&lt;=Org!$B$5,T113&gt;=0),T$4,"")</f>
        <v>16</v>
      </c>
      <c r="U114" s="22">
        <f>IF(AND(U$4&lt;=Org!$B$5,U113&gt;=0),U$4,"")</f>
        <v>17</v>
      </c>
      <c r="V114" s="22">
        <f>IF(AND(V$4&lt;=Org!$B$5,V113&gt;=0),V$4,"")</f>
        <v>18</v>
      </c>
      <c r="W114" s="22">
        <f>IF(AND(W$4&lt;=Org!$B$5,W113&gt;=0),W$4,"")</f>
        <v>19</v>
      </c>
      <c r="X114" s="22">
        <f>IF(AND(X$4&lt;=Org!$B$5,X113&gt;=0),X$4,"")</f>
        <v>20</v>
      </c>
      <c r="Y114" s="22">
        <f>IF(AND(Y$4&lt;=Org!$B$5,Y113&gt;=0),Y$4,"")</f>
        <v>21</v>
      </c>
      <c r="Z114" s="22">
        <f>IF(AND(Z$4&lt;=Org!$B$5,Z113&gt;=0),Z$4,"")</f>
        <v>22</v>
      </c>
      <c r="AA114" s="22">
        <f>IF(AND(AA$4&lt;=Org!$B$5,AA113&gt;=0),AA$4,"")</f>
        <v>23</v>
      </c>
      <c r="AB114" s="22">
        <f>IF(AND(AB$4&lt;=Org!$B$5,AB113&gt;=0),AB$4,"")</f>
        <v>24</v>
      </c>
      <c r="AC114" s="22">
        <f>IF(AND(AC$4&lt;=Org!$B$5,AC113&gt;=0),AC$4,"")</f>
        <v>25</v>
      </c>
      <c r="AD114" s="22">
        <f>IF(AND(AD$4&lt;=Org!$B$5,AD113&gt;=0),AD$4,"")</f>
        <v>26</v>
      </c>
      <c r="AE114" s="22">
        <f>IF(AND(AE$4&lt;=Org!$B$5,AE113&gt;=0),AE$4,"")</f>
        <v>27</v>
      </c>
      <c r="AF114" s="22">
        <f>IF(AND(AF$4&lt;=Org!$B$5,AF113&gt;=0),AF$4,"")</f>
        <v>28</v>
      </c>
      <c r="AG114" s="22">
        <f>IF(AND(AG$4&lt;=Org!$B$5,AG113&gt;=0),AG$4,"")</f>
        <v>29</v>
      </c>
      <c r="AH114" s="22">
        <f>IF(AND(AH$4&lt;=Org!$B$5,AH113&gt;=0),AH$4,"")</f>
        <v>30</v>
      </c>
      <c r="AI114" s="22">
        <f>IF(AND(AI$4&lt;=Org!$B$5,AI113&gt;=0),AI$4,"")</f>
        <v>31</v>
      </c>
      <c r="AJ114" s="22">
        <f>IF(AND(AJ$4&lt;=Org!$B$5,AJ113&gt;=0),AJ$4,"")</f>
        <v>32</v>
      </c>
      <c r="AK114" s="22">
        <f>IF(AND(AK$4&lt;=Org!$B$5,AK113&gt;=0),AK$4,"")</f>
        <v>33</v>
      </c>
      <c r="AL114" s="22">
        <f>IF(AND(AL$4&lt;=Org!$B$5,AL113&gt;=0),AL$4,"")</f>
        <v>34</v>
      </c>
      <c r="AM114" s="22">
        <f>IF(AND(AM$4&lt;=Org!$B$5,AM113&gt;=0),AM$4,"")</f>
        <v>35</v>
      </c>
      <c r="AN114" s="22">
        <f>IF(AND(AN$4&lt;=Org!$B$5,AN113&gt;=0),AN$4,"")</f>
        <v>36</v>
      </c>
      <c r="AO114" s="22" t="str">
        <f>IF(AND(AO$4&lt;=Org!$B$5,AO113&gt;=0),AO$4,"")</f>
        <v/>
      </c>
      <c r="AP114" s="22" t="str">
        <f>IF(AND(AP$4&lt;=Org!$B$5,AP113&gt;=0),AP$4,"")</f>
        <v/>
      </c>
      <c r="AQ114" s="22" t="str">
        <f>IF(AND(AQ$4&lt;=Org!$B$5,AQ113&gt;=0),AQ$4,"")</f>
        <v/>
      </c>
      <c r="AR114" s="22" t="str">
        <f>IF(AND(AR$4&lt;=Org!$B$5,AR113&gt;=0),AR$4,"")</f>
        <v/>
      </c>
      <c r="AS114" s="22" t="str">
        <f>IF(AND(AS$4&lt;=Org!$B$5,AS113&gt;=0),AS$4,"")</f>
        <v/>
      </c>
      <c r="AT114" s="22" t="str">
        <f>IF(AND(AT$4&lt;=Org!$B$5,AT113&gt;=0),AT$4,"")</f>
        <v/>
      </c>
      <c r="AU114" s="22" t="str">
        <f>IF(AND(AU$4&lt;=Org!$B$5,AU113&gt;=0),AU$4,"")</f>
        <v/>
      </c>
      <c r="AV114" s="22" t="str">
        <f>IF(AND(AV$4&lt;=Org!$B$5,AV113&gt;=0),AV$4,"")</f>
        <v/>
      </c>
      <c r="AW114" s="22" t="str">
        <f>IF(AND(AW$4&lt;=Org!$B$5,AW113&gt;=0),AW$4,"")</f>
        <v/>
      </c>
      <c r="AX114" s="22" t="str">
        <f>IF(AND(AX$4&lt;=Org!$B$5,AX113&gt;=0),AX$4,"")</f>
        <v/>
      </c>
      <c r="AY114" s="22" t="str">
        <f>IF(AND(AY$4&lt;=Org!$B$5,AY113&gt;=0),AY$4,"")</f>
        <v/>
      </c>
      <c r="AZ114" s="22" t="str">
        <f>IF(AND(AZ$4&lt;=Org!$B$5,AZ113&gt;=0),AZ$4,"")</f>
        <v/>
      </c>
      <c r="BA114" s="22" t="str">
        <f>IF(AND(BA$4&lt;=Org!$B$5,BA113&gt;=0),BA$4,"")</f>
        <v/>
      </c>
      <c r="BB114" s="22" t="str">
        <f>IF(AND(BB$4&lt;=Org!$B$5,BB113&gt;=0),BB$4,"")</f>
        <v/>
      </c>
      <c r="BC114" s="22" t="str">
        <f>IF(AND(BC$4&lt;=Org!$B$5,BC113&gt;=0),BC$4,"")</f>
        <v/>
      </c>
      <c r="BD114" s="22" t="str">
        <f>IF(AND(BD$4&lt;=Org!$B$5,BD113&gt;=0),BD$4,"")</f>
        <v/>
      </c>
      <c r="BE114" s="22" t="str">
        <f>IF(AND(BE$4&lt;=Org!$B$5,BE113&gt;=0),BE$4,"")</f>
        <v/>
      </c>
      <c r="BF114" s="22" t="str">
        <f>IF(AND(BF$4&lt;=Org!$B$5,BF113&gt;=0),BF$4,"")</f>
        <v/>
      </c>
      <c r="BG114" s="22" t="str">
        <f>IF(AND(BG$4&lt;=Org!$B$5,BG113&gt;=0),BG$4,"")</f>
        <v/>
      </c>
      <c r="BH114" s="22" t="str">
        <f>IF(AND(BH$4&lt;=Org!$B$5,BH113&gt;=0),BH$4,"")</f>
        <v/>
      </c>
      <c r="BI114" s="22" t="str">
        <f>IF(AND(BI$4&lt;=Org!$B$5,BI113&gt;=0),BI$4,"")</f>
        <v/>
      </c>
      <c r="BJ114" s="22" t="str">
        <f>IF(AND(BJ$4&lt;=Org!$B$5,BJ113&gt;=0),BJ$4,"")</f>
        <v/>
      </c>
      <c r="BK114" s="22" t="str">
        <f>IF(AND(BK$4&lt;=Org!$B$5,BK113&gt;=0),BK$4,"")</f>
        <v/>
      </c>
      <c r="BL114" s="22" t="str">
        <f>IF(AND(BL$4&lt;=Org!$B$5,BL113&gt;=0),BL$4,"")</f>
        <v/>
      </c>
    </row>
    <row r="116" spans="1:64" x14ac:dyDescent="0.3">
      <c r="A116" s="17" t="str">
        <f>Teams!$G$4</f>
        <v>Sales assistant (published-range calibration)</v>
      </c>
      <c r="B116" s="18" t="s">
        <v>1009</v>
      </c>
      <c r="C116" s="50">
        <f>(Teams!$G$29*(1-Teams!$G$31)*Params!$D$39*Params!$D$21*IF(Teams!$G$36="Yes",Params!$D$22,1)*Teams!$G$68*Teams!$G$70+Teams!$G$30*(1-Teams!$G$31)*Params!$D$39*Params!$D$21*IF(Teams!$G$36="Yes",Params!$D$22,1)*Teams!$G$69)/1000000*Teams!$G$71*Teams!$G$35</f>
        <v>5.8579499999999998E-3</v>
      </c>
    </row>
    <row r="117" spans="1:64" x14ac:dyDescent="0.3">
      <c r="A117" s="8" t="s">
        <v>1010</v>
      </c>
      <c r="E117" s="26">
        <f>IF(E$4&lt;Teams!$G$80,0,IF(Teams!$G$22="S",MIN(1,(E$4-Teams!$G$80+1)/Teams!$G$21)^2*(3-2*MIN(1,(E$4-Teams!$G$80+1)/Teams!$G$21)),MIN(1,(E$4-Teams!$G$80+1)/Teams!$G$21)))</f>
        <v>7.407407407407407E-2</v>
      </c>
      <c r="F117" s="26">
        <f>IF(F$4&lt;Teams!$G$80,0,IF(Teams!$G$22="S",MIN(1,(F$4-Teams!$G$80+1)/Teams!$G$21)^2*(3-2*MIN(1,(F$4-Teams!$G$80+1)/Teams!$G$21)),MIN(1,(F$4-Teams!$G$80+1)/Teams!$G$21)))</f>
        <v>0.25925925925925924</v>
      </c>
      <c r="G117" s="26">
        <f>IF(G$4&lt;Teams!$G$80,0,IF(Teams!$G$22="S",MIN(1,(G$4-Teams!$G$80+1)/Teams!$G$21)^2*(3-2*MIN(1,(G$4-Teams!$G$80+1)/Teams!$G$21)),MIN(1,(G$4-Teams!$G$80+1)/Teams!$G$21)))</f>
        <v>0.5</v>
      </c>
      <c r="H117" s="26">
        <f>IF(H$4&lt;Teams!$G$80,0,IF(Teams!$G$22="S",MIN(1,(H$4-Teams!$G$80+1)/Teams!$G$21)^2*(3-2*MIN(1,(H$4-Teams!$G$80+1)/Teams!$G$21)),MIN(1,(H$4-Teams!$G$80+1)/Teams!$G$21)))</f>
        <v>0.7407407407407407</v>
      </c>
      <c r="I117" s="26">
        <f>IF(I$4&lt;Teams!$G$80,0,IF(Teams!$G$22="S",MIN(1,(I$4-Teams!$G$80+1)/Teams!$G$21)^2*(3-2*MIN(1,(I$4-Teams!$G$80+1)/Teams!$G$21)),MIN(1,(I$4-Teams!$G$80+1)/Teams!$G$21)))</f>
        <v>0.92592592592592604</v>
      </c>
      <c r="J117" s="26">
        <f>IF(J$4&lt;Teams!$G$80,0,IF(Teams!$G$22="S",MIN(1,(J$4-Teams!$G$80+1)/Teams!$G$21)^2*(3-2*MIN(1,(J$4-Teams!$G$80+1)/Teams!$G$21)),MIN(1,(J$4-Teams!$G$80+1)/Teams!$G$21)))</f>
        <v>1</v>
      </c>
      <c r="K117" s="26">
        <f>IF(K$4&lt;Teams!$G$80,0,IF(Teams!$G$22="S",MIN(1,(K$4-Teams!$G$80+1)/Teams!$G$21)^2*(3-2*MIN(1,(K$4-Teams!$G$80+1)/Teams!$G$21)),MIN(1,(K$4-Teams!$G$80+1)/Teams!$G$21)))</f>
        <v>1</v>
      </c>
      <c r="L117" s="26">
        <f>IF(L$4&lt;Teams!$G$80,0,IF(Teams!$G$22="S",MIN(1,(L$4-Teams!$G$80+1)/Teams!$G$21)^2*(3-2*MIN(1,(L$4-Teams!$G$80+1)/Teams!$G$21)),MIN(1,(L$4-Teams!$G$80+1)/Teams!$G$21)))</f>
        <v>1</v>
      </c>
      <c r="M117" s="26">
        <f>IF(M$4&lt;Teams!$G$80,0,IF(Teams!$G$22="S",MIN(1,(M$4-Teams!$G$80+1)/Teams!$G$21)^2*(3-2*MIN(1,(M$4-Teams!$G$80+1)/Teams!$G$21)),MIN(1,(M$4-Teams!$G$80+1)/Teams!$G$21)))</f>
        <v>1</v>
      </c>
      <c r="N117" s="26">
        <f>IF(N$4&lt;Teams!$G$80,0,IF(Teams!$G$22="S",MIN(1,(N$4-Teams!$G$80+1)/Teams!$G$21)^2*(3-2*MIN(1,(N$4-Teams!$G$80+1)/Teams!$G$21)),MIN(1,(N$4-Teams!$G$80+1)/Teams!$G$21)))</f>
        <v>1</v>
      </c>
      <c r="O117" s="26">
        <f>IF(O$4&lt;Teams!$G$80,0,IF(Teams!$G$22="S",MIN(1,(O$4-Teams!$G$80+1)/Teams!$G$21)^2*(3-2*MIN(1,(O$4-Teams!$G$80+1)/Teams!$G$21)),MIN(1,(O$4-Teams!$G$80+1)/Teams!$G$21)))</f>
        <v>1</v>
      </c>
      <c r="P117" s="26">
        <f>IF(P$4&lt;Teams!$G$80,0,IF(Teams!$G$22="S",MIN(1,(P$4-Teams!$G$80+1)/Teams!$G$21)^2*(3-2*MIN(1,(P$4-Teams!$G$80+1)/Teams!$G$21)),MIN(1,(P$4-Teams!$G$80+1)/Teams!$G$21)))</f>
        <v>1</v>
      </c>
      <c r="Q117" s="26">
        <f>IF(Q$4&lt;Teams!$G$80,0,IF(Teams!$G$22="S",MIN(1,(Q$4-Teams!$G$80+1)/Teams!$G$21)^2*(3-2*MIN(1,(Q$4-Teams!$G$80+1)/Teams!$G$21)),MIN(1,(Q$4-Teams!$G$80+1)/Teams!$G$21)))</f>
        <v>1</v>
      </c>
      <c r="R117" s="26">
        <f>IF(R$4&lt;Teams!$G$80,0,IF(Teams!$G$22="S",MIN(1,(R$4-Teams!$G$80+1)/Teams!$G$21)^2*(3-2*MIN(1,(R$4-Teams!$G$80+1)/Teams!$G$21)),MIN(1,(R$4-Teams!$G$80+1)/Teams!$G$21)))</f>
        <v>1</v>
      </c>
      <c r="S117" s="26">
        <f>IF(S$4&lt;Teams!$G$80,0,IF(Teams!$G$22="S",MIN(1,(S$4-Teams!$G$80+1)/Teams!$G$21)^2*(3-2*MIN(1,(S$4-Teams!$G$80+1)/Teams!$G$21)),MIN(1,(S$4-Teams!$G$80+1)/Teams!$G$21)))</f>
        <v>1</v>
      </c>
      <c r="T117" s="26">
        <f>IF(T$4&lt;Teams!$G$80,0,IF(Teams!$G$22="S",MIN(1,(T$4-Teams!$G$80+1)/Teams!$G$21)^2*(3-2*MIN(1,(T$4-Teams!$G$80+1)/Teams!$G$21)),MIN(1,(T$4-Teams!$G$80+1)/Teams!$G$21)))</f>
        <v>1</v>
      </c>
      <c r="U117" s="26">
        <f>IF(U$4&lt;Teams!$G$80,0,IF(Teams!$G$22="S",MIN(1,(U$4-Teams!$G$80+1)/Teams!$G$21)^2*(3-2*MIN(1,(U$4-Teams!$G$80+1)/Teams!$G$21)),MIN(1,(U$4-Teams!$G$80+1)/Teams!$G$21)))</f>
        <v>1</v>
      </c>
      <c r="V117" s="26">
        <f>IF(V$4&lt;Teams!$G$80,0,IF(Teams!$G$22="S",MIN(1,(V$4-Teams!$G$80+1)/Teams!$G$21)^2*(3-2*MIN(1,(V$4-Teams!$G$80+1)/Teams!$G$21)),MIN(1,(V$4-Teams!$G$80+1)/Teams!$G$21)))</f>
        <v>1</v>
      </c>
      <c r="W117" s="26">
        <f>IF(W$4&lt;Teams!$G$80,0,IF(Teams!$G$22="S",MIN(1,(W$4-Teams!$G$80+1)/Teams!$G$21)^2*(3-2*MIN(1,(W$4-Teams!$G$80+1)/Teams!$G$21)),MIN(1,(W$4-Teams!$G$80+1)/Teams!$G$21)))</f>
        <v>1</v>
      </c>
      <c r="X117" s="26">
        <f>IF(X$4&lt;Teams!$G$80,0,IF(Teams!$G$22="S",MIN(1,(X$4-Teams!$G$80+1)/Teams!$G$21)^2*(3-2*MIN(1,(X$4-Teams!$G$80+1)/Teams!$G$21)),MIN(1,(X$4-Teams!$G$80+1)/Teams!$G$21)))</f>
        <v>1</v>
      </c>
      <c r="Y117" s="26">
        <f>IF(Y$4&lt;Teams!$G$80,0,IF(Teams!$G$22="S",MIN(1,(Y$4-Teams!$G$80+1)/Teams!$G$21)^2*(3-2*MIN(1,(Y$4-Teams!$G$80+1)/Teams!$G$21)),MIN(1,(Y$4-Teams!$G$80+1)/Teams!$G$21)))</f>
        <v>1</v>
      </c>
      <c r="Z117" s="26">
        <f>IF(Z$4&lt;Teams!$G$80,0,IF(Teams!$G$22="S",MIN(1,(Z$4-Teams!$G$80+1)/Teams!$G$21)^2*(3-2*MIN(1,(Z$4-Teams!$G$80+1)/Teams!$G$21)),MIN(1,(Z$4-Teams!$G$80+1)/Teams!$G$21)))</f>
        <v>1</v>
      </c>
      <c r="AA117" s="26">
        <f>IF(AA$4&lt;Teams!$G$80,0,IF(Teams!$G$22="S",MIN(1,(AA$4-Teams!$G$80+1)/Teams!$G$21)^2*(3-2*MIN(1,(AA$4-Teams!$G$80+1)/Teams!$G$21)),MIN(1,(AA$4-Teams!$G$80+1)/Teams!$G$21)))</f>
        <v>1</v>
      </c>
      <c r="AB117" s="26">
        <f>IF(AB$4&lt;Teams!$G$80,0,IF(Teams!$G$22="S",MIN(1,(AB$4-Teams!$G$80+1)/Teams!$G$21)^2*(3-2*MIN(1,(AB$4-Teams!$G$80+1)/Teams!$G$21)),MIN(1,(AB$4-Teams!$G$80+1)/Teams!$G$21)))</f>
        <v>1</v>
      </c>
      <c r="AC117" s="26">
        <f>IF(AC$4&lt;Teams!$G$80,0,IF(Teams!$G$22="S",MIN(1,(AC$4-Teams!$G$80+1)/Teams!$G$21)^2*(3-2*MIN(1,(AC$4-Teams!$G$80+1)/Teams!$G$21)),MIN(1,(AC$4-Teams!$G$80+1)/Teams!$G$21)))</f>
        <v>1</v>
      </c>
      <c r="AD117" s="26">
        <f>IF(AD$4&lt;Teams!$G$80,0,IF(Teams!$G$22="S",MIN(1,(AD$4-Teams!$G$80+1)/Teams!$G$21)^2*(3-2*MIN(1,(AD$4-Teams!$G$80+1)/Teams!$G$21)),MIN(1,(AD$4-Teams!$G$80+1)/Teams!$G$21)))</f>
        <v>1</v>
      </c>
      <c r="AE117" s="26">
        <f>IF(AE$4&lt;Teams!$G$80,0,IF(Teams!$G$22="S",MIN(1,(AE$4-Teams!$G$80+1)/Teams!$G$21)^2*(3-2*MIN(1,(AE$4-Teams!$G$80+1)/Teams!$G$21)),MIN(1,(AE$4-Teams!$G$80+1)/Teams!$G$21)))</f>
        <v>1</v>
      </c>
      <c r="AF117" s="26">
        <f>IF(AF$4&lt;Teams!$G$80,0,IF(Teams!$G$22="S",MIN(1,(AF$4-Teams!$G$80+1)/Teams!$G$21)^2*(3-2*MIN(1,(AF$4-Teams!$G$80+1)/Teams!$G$21)),MIN(1,(AF$4-Teams!$G$80+1)/Teams!$G$21)))</f>
        <v>1</v>
      </c>
      <c r="AG117" s="26">
        <f>IF(AG$4&lt;Teams!$G$80,0,IF(Teams!$G$22="S",MIN(1,(AG$4-Teams!$G$80+1)/Teams!$G$21)^2*(3-2*MIN(1,(AG$4-Teams!$G$80+1)/Teams!$G$21)),MIN(1,(AG$4-Teams!$G$80+1)/Teams!$G$21)))</f>
        <v>1</v>
      </c>
      <c r="AH117" s="26">
        <f>IF(AH$4&lt;Teams!$G$80,0,IF(Teams!$G$22="S",MIN(1,(AH$4-Teams!$G$80+1)/Teams!$G$21)^2*(3-2*MIN(1,(AH$4-Teams!$G$80+1)/Teams!$G$21)),MIN(1,(AH$4-Teams!$G$80+1)/Teams!$G$21)))</f>
        <v>1</v>
      </c>
      <c r="AI117" s="26">
        <f>IF(AI$4&lt;Teams!$G$80,0,IF(Teams!$G$22="S",MIN(1,(AI$4-Teams!$G$80+1)/Teams!$G$21)^2*(3-2*MIN(1,(AI$4-Teams!$G$80+1)/Teams!$G$21)),MIN(1,(AI$4-Teams!$G$80+1)/Teams!$G$21)))</f>
        <v>1</v>
      </c>
      <c r="AJ117" s="26">
        <f>IF(AJ$4&lt;Teams!$G$80,0,IF(Teams!$G$22="S",MIN(1,(AJ$4-Teams!$G$80+1)/Teams!$G$21)^2*(3-2*MIN(1,(AJ$4-Teams!$G$80+1)/Teams!$G$21)),MIN(1,(AJ$4-Teams!$G$80+1)/Teams!$G$21)))</f>
        <v>1</v>
      </c>
      <c r="AK117" s="26">
        <f>IF(AK$4&lt;Teams!$G$80,0,IF(Teams!$G$22="S",MIN(1,(AK$4-Teams!$G$80+1)/Teams!$G$21)^2*(3-2*MIN(1,(AK$4-Teams!$G$80+1)/Teams!$G$21)),MIN(1,(AK$4-Teams!$G$80+1)/Teams!$G$21)))</f>
        <v>1</v>
      </c>
      <c r="AL117" s="26">
        <f>IF(AL$4&lt;Teams!$G$80,0,IF(Teams!$G$22="S",MIN(1,(AL$4-Teams!$G$80+1)/Teams!$G$21)^2*(3-2*MIN(1,(AL$4-Teams!$G$80+1)/Teams!$G$21)),MIN(1,(AL$4-Teams!$G$80+1)/Teams!$G$21)))</f>
        <v>1</v>
      </c>
      <c r="AM117" s="26">
        <f>IF(AM$4&lt;Teams!$G$80,0,IF(Teams!$G$22="S",MIN(1,(AM$4-Teams!$G$80+1)/Teams!$G$21)^2*(3-2*MIN(1,(AM$4-Teams!$G$80+1)/Teams!$G$21)),MIN(1,(AM$4-Teams!$G$80+1)/Teams!$G$21)))</f>
        <v>1</v>
      </c>
      <c r="AN117" s="26">
        <f>IF(AN$4&lt;Teams!$G$80,0,IF(Teams!$G$22="S",MIN(1,(AN$4-Teams!$G$80+1)/Teams!$G$21)^2*(3-2*MIN(1,(AN$4-Teams!$G$80+1)/Teams!$G$21)),MIN(1,(AN$4-Teams!$G$80+1)/Teams!$G$21)))</f>
        <v>1</v>
      </c>
      <c r="AO117" s="26">
        <f>IF(AO$4&lt;Teams!$G$80,0,IF(Teams!$G$22="S",MIN(1,(AO$4-Teams!$G$80+1)/Teams!$G$21)^2*(3-2*MIN(1,(AO$4-Teams!$G$80+1)/Teams!$G$21)),MIN(1,(AO$4-Teams!$G$80+1)/Teams!$G$21)))</f>
        <v>1</v>
      </c>
      <c r="AP117" s="26">
        <f>IF(AP$4&lt;Teams!$G$80,0,IF(Teams!$G$22="S",MIN(1,(AP$4-Teams!$G$80+1)/Teams!$G$21)^2*(3-2*MIN(1,(AP$4-Teams!$G$80+1)/Teams!$G$21)),MIN(1,(AP$4-Teams!$G$80+1)/Teams!$G$21)))</f>
        <v>1</v>
      </c>
      <c r="AQ117" s="26">
        <f>IF(AQ$4&lt;Teams!$G$80,0,IF(Teams!$G$22="S",MIN(1,(AQ$4-Teams!$G$80+1)/Teams!$G$21)^2*(3-2*MIN(1,(AQ$4-Teams!$G$80+1)/Teams!$G$21)),MIN(1,(AQ$4-Teams!$G$80+1)/Teams!$G$21)))</f>
        <v>1</v>
      </c>
      <c r="AR117" s="26">
        <f>IF(AR$4&lt;Teams!$G$80,0,IF(Teams!$G$22="S",MIN(1,(AR$4-Teams!$G$80+1)/Teams!$G$21)^2*(3-2*MIN(1,(AR$4-Teams!$G$80+1)/Teams!$G$21)),MIN(1,(AR$4-Teams!$G$80+1)/Teams!$G$21)))</f>
        <v>1</v>
      </c>
      <c r="AS117" s="26">
        <f>IF(AS$4&lt;Teams!$G$80,0,IF(Teams!$G$22="S",MIN(1,(AS$4-Teams!$G$80+1)/Teams!$G$21)^2*(3-2*MIN(1,(AS$4-Teams!$G$80+1)/Teams!$G$21)),MIN(1,(AS$4-Teams!$G$80+1)/Teams!$G$21)))</f>
        <v>1</v>
      </c>
      <c r="AT117" s="26">
        <f>IF(AT$4&lt;Teams!$G$80,0,IF(Teams!$G$22="S",MIN(1,(AT$4-Teams!$G$80+1)/Teams!$G$21)^2*(3-2*MIN(1,(AT$4-Teams!$G$80+1)/Teams!$G$21)),MIN(1,(AT$4-Teams!$G$80+1)/Teams!$G$21)))</f>
        <v>1</v>
      </c>
      <c r="AU117" s="26">
        <f>IF(AU$4&lt;Teams!$G$80,0,IF(Teams!$G$22="S",MIN(1,(AU$4-Teams!$G$80+1)/Teams!$G$21)^2*(3-2*MIN(1,(AU$4-Teams!$G$80+1)/Teams!$G$21)),MIN(1,(AU$4-Teams!$G$80+1)/Teams!$G$21)))</f>
        <v>1</v>
      </c>
      <c r="AV117" s="26">
        <f>IF(AV$4&lt;Teams!$G$80,0,IF(Teams!$G$22="S",MIN(1,(AV$4-Teams!$G$80+1)/Teams!$G$21)^2*(3-2*MIN(1,(AV$4-Teams!$G$80+1)/Teams!$G$21)),MIN(1,(AV$4-Teams!$G$80+1)/Teams!$G$21)))</f>
        <v>1</v>
      </c>
      <c r="AW117" s="26">
        <f>IF(AW$4&lt;Teams!$G$80,0,IF(Teams!$G$22="S",MIN(1,(AW$4-Teams!$G$80+1)/Teams!$G$21)^2*(3-2*MIN(1,(AW$4-Teams!$G$80+1)/Teams!$G$21)),MIN(1,(AW$4-Teams!$G$80+1)/Teams!$G$21)))</f>
        <v>1</v>
      </c>
      <c r="AX117" s="26">
        <f>IF(AX$4&lt;Teams!$G$80,0,IF(Teams!$G$22="S",MIN(1,(AX$4-Teams!$G$80+1)/Teams!$G$21)^2*(3-2*MIN(1,(AX$4-Teams!$G$80+1)/Teams!$G$21)),MIN(1,(AX$4-Teams!$G$80+1)/Teams!$G$21)))</f>
        <v>1</v>
      </c>
      <c r="AY117" s="26">
        <f>IF(AY$4&lt;Teams!$G$80,0,IF(Teams!$G$22="S",MIN(1,(AY$4-Teams!$G$80+1)/Teams!$G$21)^2*(3-2*MIN(1,(AY$4-Teams!$G$80+1)/Teams!$G$21)),MIN(1,(AY$4-Teams!$G$80+1)/Teams!$G$21)))</f>
        <v>1</v>
      </c>
      <c r="AZ117" s="26">
        <f>IF(AZ$4&lt;Teams!$G$80,0,IF(Teams!$G$22="S",MIN(1,(AZ$4-Teams!$G$80+1)/Teams!$G$21)^2*(3-2*MIN(1,(AZ$4-Teams!$G$80+1)/Teams!$G$21)),MIN(1,(AZ$4-Teams!$G$80+1)/Teams!$G$21)))</f>
        <v>1</v>
      </c>
      <c r="BA117" s="26">
        <f>IF(BA$4&lt;Teams!$G$80,0,IF(Teams!$G$22="S",MIN(1,(BA$4-Teams!$G$80+1)/Teams!$G$21)^2*(3-2*MIN(1,(BA$4-Teams!$G$80+1)/Teams!$G$21)),MIN(1,(BA$4-Teams!$G$80+1)/Teams!$G$21)))</f>
        <v>1</v>
      </c>
      <c r="BB117" s="26">
        <f>IF(BB$4&lt;Teams!$G$80,0,IF(Teams!$G$22="S",MIN(1,(BB$4-Teams!$G$80+1)/Teams!$G$21)^2*(3-2*MIN(1,(BB$4-Teams!$G$80+1)/Teams!$G$21)),MIN(1,(BB$4-Teams!$G$80+1)/Teams!$G$21)))</f>
        <v>1</v>
      </c>
      <c r="BC117" s="26">
        <f>IF(BC$4&lt;Teams!$G$80,0,IF(Teams!$G$22="S",MIN(1,(BC$4-Teams!$G$80+1)/Teams!$G$21)^2*(3-2*MIN(1,(BC$4-Teams!$G$80+1)/Teams!$G$21)),MIN(1,(BC$4-Teams!$G$80+1)/Teams!$G$21)))</f>
        <v>1</v>
      </c>
      <c r="BD117" s="26">
        <f>IF(BD$4&lt;Teams!$G$80,0,IF(Teams!$G$22="S",MIN(1,(BD$4-Teams!$G$80+1)/Teams!$G$21)^2*(3-2*MIN(1,(BD$4-Teams!$G$80+1)/Teams!$G$21)),MIN(1,(BD$4-Teams!$G$80+1)/Teams!$G$21)))</f>
        <v>1</v>
      </c>
      <c r="BE117" s="26">
        <f>IF(BE$4&lt;Teams!$G$80,0,IF(Teams!$G$22="S",MIN(1,(BE$4-Teams!$G$80+1)/Teams!$G$21)^2*(3-2*MIN(1,(BE$4-Teams!$G$80+1)/Teams!$G$21)),MIN(1,(BE$4-Teams!$G$80+1)/Teams!$G$21)))</f>
        <v>1</v>
      </c>
      <c r="BF117" s="26">
        <f>IF(BF$4&lt;Teams!$G$80,0,IF(Teams!$G$22="S",MIN(1,(BF$4-Teams!$G$80+1)/Teams!$G$21)^2*(3-2*MIN(1,(BF$4-Teams!$G$80+1)/Teams!$G$21)),MIN(1,(BF$4-Teams!$G$80+1)/Teams!$G$21)))</f>
        <v>1</v>
      </c>
      <c r="BG117" s="26">
        <f>IF(BG$4&lt;Teams!$G$80,0,IF(Teams!$G$22="S",MIN(1,(BG$4-Teams!$G$80+1)/Teams!$G$21)^2*(3-2*MIN(1,(BG$4-Teams!$G$80+1)/Teams!$G$21)),MIN(1,(BG$4-Teams!$G$80+1)/Teams!$G$21)))</f>
        <v>1</v>
      </c>
      <c r="BH117" s="26">
        <f>IF(BH$4&lt;Teams!$G$80,0,IF(Teams!$G$22="S",MIN(1,(BH$4-Teams!$G$80+1)/Teams!$G$21)^2*(3-2*MIN(1,(BH$4-Teams!$G$80+1)/Teams!$G$21)),MIN(1,(BH$4-Teams!$G$80+1)/Teams!$G$21)))</f>
        <v>1</v>
      </c>
      <c r="BI117" s="26">
        <f>IF(BI$4&lt;Teams!$G$80,0,IF(Teams!$G$22="S",MIN(1,(BI$4-Teams!$G$80+1)/Teams!$G$21)^2*(3-2*MIN(1,(BI$4-Teams!$G$80+1)/Teams!$G$21)),MIN(1,(BI$4-Teams!$G$80+1)/Teams!$G$21)))</f>
        <v>1</v>
      </c>
      <c r="BJ117" s="26">
        <f>IF(BJ$4&lt;Teams!$G$80,0,IF(Teams!$G$22="S",MIN(1,(BJ$4-Teams!$G$80+1)/Teams!$G$21)^2*(3-2*MIN(1,(BJ$4-Teams!$G$80+1)/Teams!$G$21)),MIN(1,(BJ$4-Teams!$G$80+1)/Teams!$G$21)))</f>
        <v>1</v>
      </c>
      <c r="BK117" s="26">
        <f>IF(BK$4&lt;Teams!$G$80,0,IF(Teams!$G$22="S",MIN(1,(BK$4-Teams!$G$80+1)/Teams!$G$21)^2*(3-2*MIN(1,(BK$4-Teams!$G$80+1)/Teams!$G$21)),MIN(1,(BK$4-Teams!$G$80+1)/Teams!$G$21)))</f>
        <v>1</v>
      </c>
      <c r="BL117" s="26">
        <f>IF(BL$4&lt;Teams!$G$80,0,IF(Teams!$G$22="S",MIN(1,(BL$4-Teams!$G$80+1)/Teams!$G$21)^2*(3-2*MIN(1,(BL$4-Teams!$G$80+1)/Teams!$G$21)),MIN(1,(BL$4-Teams!$G$80+1)/Teams!$G$21)))</f>
        <v>1</v>
      </c>
    </row>
    <row r="118" spans="1:64" x14ac:dyDescent="0.3">
      <c r="A118" s="8" t="s">
        <v>160</v>
      </c>
      <c r="E118" s="22">
        <f>IF(E$4&gt;=Teams!$G$80,Teams!$G$18,0)</f>
        <v>2000</v>
      </c>
      <c r="F118" s="22">
        <f>IF(F$4&gt;=Teams!$G$80,Teams!$G$18,0)</f>
        <v>2000</v>
      </c>
      <c r="G118" s="22">
        <f>IF(G$4&gt;=Teams!$G$80,Teams!$G$18,0)</f>
        <v>2000</v>
      </c>
      <c r="H118" s="22">
        <f>IF(H$4&gt;=Teams!$G$80,Teams!$G$18,0)</f>
        <v>2000</v>
      </c>
      <c r="I118" s="22">
        <f>IF(I$4&gt;=Teams!$G$80,Teams!$G$18,0)</f>
        <v>2000</v>
      </c>
      <c r="J118" s="22">
        <f>IF(J$4&gt;=Teams!$G$80,Teams!$G$18,0)</f>
        <v>2000</v>
      </c>
      <c r="K118" s="22">
        <f>IF(K$4&gt;=Teams!$G$80,Teams!$G$18,0)</f>
        <v>2000</v>
      </c>
      <c r="L118" s="22">
        <f>IF(L$4&gt;=Teams!$G$80,Teams!$G$18,0)</f>
        <v>2000</v>
      </c>
      <c r="M118" s="22">
        <f>IF(M$4&gt;=Teams!$G$80,Teams!$G$18,0)</f>
        <v>2000</v>
      </c>
      <c r="N118" s="22">
        <f>IF(N$4&gt;=Teams!$G$80,Teams!$G$18,0)</f>
        <v>2000</v>
      </c>
      <c r="O118" s="22">
        <f>IF(O$4&gt;=Teams!$G$80,Teams!$G$18,0)</f>
        <v>2000</v>
      </c>
      <c r="P118" s="22">
        <f>IF(P$4&gt;=Teams!$G$80,Teams!$G$18,0)</f>
        <v>2000</v>
      </c>
      <c r="Q118" s="22">
        <f>IF(Q$4&gt;=Teams!$G$80,Teams!$G$18,0)</f>
        <v>2000</v>
      </c>
      <c r="R118" s="22">
        <f>IF(R$4&gt;=Teams!$G$80,Teams!$G$18,0)</f>
        <v>2000</v>
      </c>
      <c r="S118" s="22">
        <f>IF(S$4&gt;=Teams!$G$80,Teams!$G$18,0)</f>
        <v>2000</v>
      </c>
      <c r="T118" s="22">
        <f>IF(T$4&gt;=Teams!$G$80,Teams!$G$18,0)</f>
        <v>2000</v>
      </c>
      <c r="U118" s="22">
        <f>IF(U$4&gt;=Teams!$G$80,Teams!$G$18,0)</f>
        <v>2000</v>
      </c>
      <c r="V118" s="22">
        <f>IF(V$4&gt;=Teams!$G$80,Teams!$G$18,0)</f>
        <v>2000</v>
      </c>
      <c r="W118" s="22">
        <f>IF(W$4&gt;=Teams!$G$80,Teams!$G$18,0)</f>
        <v>2000</v>
      </c>
      <c r="X118" s="22">
        <f>IF(X$4&gt;=Teams!$G$80,Teams!$G$18,0)</f>
        <v>2000</v>
      </c>
      <c r="Y118" s="22">
        <f>IF(Y$4&gt;=Teams!$G$80,Teams!$G$18,0)</f>
        <v>2000</v>
      </c>
      <c r="Z118" s="22">
        <f>IF(Z$4&gt;=Teams!$G$80,Teams!$G$18,0)</f>
        <v>2000</v>
      </c>
      <c r="AA118" s="22">
        <f>IF(AA$4&gt;=Teams!$G$80,Teams!$G$18,0)</f>
        <v>2000</v>
      </c>
      <c r="AB118" s="22">
        <f>IF(AB$4&gt;=Teams!$G$80,Teams!$G$18,0)</f>
        <v>2000</v>
      </c>
      <c r="AC118" s="22">
        <f>IF(AC$4&gt;=Teams!$G$80,Teams!$G$18,0)</f>
        <v>2000</v>
      </c>
      <c r="AD118" s="22">
        <f>IF(AD$4&gt;=Teams!$G$80,Teams!$G$18,0)</f>
        <v>2000</v>
      </c>
      <c r="AE118" s="22">
        <f>IF(AE$4&gt;=Teams!$G$80,Teams!$G$18,0)</f>
        <v>2000</v>
      </c>
      <c r="AF118" s="22">
        <f>IF(AF$4&gt;=Teams!$G$80,Teams!$G$18,0)</f>
        <v>2000</v>
      </c>
      <c r="AG118" s="22">
        <f>IF(AG$4&gt;=Teams!$G$80,Teams!$G$18,0)</f>
        <v>2000</v>
      </c>
      <c r="AH118" s="22">
        <f>IF(AH$4&gt;=Teams!$G$80,Teams!$G$18,0)</f>
        <v>2000</v>
      </c>
      <c r="AI118" s="22">
        <f>IF(AI$4&gt;=Teams!$G$80,Teams!$G$18,0)</f>
        <v>2000</v>
      </c>
      <c r="AJ118" s="22">
        <f>IF(AJ$4&gt;=Teams!$G$80,Teams!$G$18,0)</f>
        <v>2000</v>
      </c>
      <c r="AK118" s="22">
        <f>IF(AK$4&gt;=Teams!$G$80,Teams!$G$18,0)</f>
        <v>2000</v>
      </c>
      <c r="AL118" s="22">
        <f>IF(AL$4&gt;=Teams!$G$80,Teams!$G$18,0)</f>
        <v>2000</v>
      </c>
      <c r="AM118" s="22">
        <f>IF(AM$4&gt;=Teams!$G$80,Teams!$G$18,0)</f>
        <v>2000</v>
      </c>
      <c r="AN118" s="22">
        <f>IF(AN$4&gt;=Teams!$G$80,Teams!$G$18,0)</f>
        <v>2000</v>
      </c>
      <c r="AO118" s="22">
        <f>IF(AO$4&gt;=Teams!$G$80,Teams!$G$18,0)</f>
        <v>2000</v>
      </c>
      <c r="AP118" s="22">
        <f>IF(AP$4&gt;=Teams!$G$80,Teams!$G$18,0)</f>
        <v>2000</v>
      </c>
      <c r="AQ118" s="22">
        <f>IF(AQ$4&gt;=Teams!$G$80,Teams!$G$18,0)</f>
        <v>2000</v>
      </c>
      <c r="AR118" s="22">
        <f>IF(AR$4&gt;=Teams!$G$80,Teams!$G$18,0)</f>
        <v>2000</v>
      </c>
      <c r="AS118" s="22">
        <f>IF(AS$4&gt;=Teams!$G$80,Teams!$G$18,0)</f>
        <v>2000</v>
      </c>
      <c r="AT118" s="22">
        <f>IF(AT$4&gt;=Teams!$G$80,Teams!$G$18,0)</f>
        <v>2000</v>
      </c>
      <c r="AU118" s="22">
        <f>IF(AU$4&gt;=Teams!$G$80,Teams!$G$18,0)</f>
        <v>2000</v>
      </c>
      <c r="AV118" s="22">
        <f>IF(AV$4&gt;=Teams!$G$80,Teams!$G$18,0)</f>
        <v>2000</v>
      </c>
      <c r="AW118" s="22">
        <f>IF(AW$4&gt;=Teams!$G$80,Teams!$G$18,0)</f>
        <v>2000</v>
      </c>
      <c r="AX118" s="22">
        <f>IF(AX$4&gt;=Teams!$G$80,Teams!$G$18,0)</f>
        <v>2000</v>
      </c>
      <c r="AY118" s="22">
        <f>IF(AY$4&gt;=Teams!$G$80,Teams!$G$18,0)</f>
        <v>2000</v>
      </c>
      <c r="AZ118" s="22">
        <f>IF(AZ$4&gt;=Teams!$G$80,Teams!$G$18,0)</f>
        <v>2000</v>
      </c>
      <c r="BA118" s="22">
        <f>IF(BA$4&gt;=Teams!$G$80,Teams!$G$18,0)</f>
        <v>2000</v>
      </c>
      <c r="BB118" s="22">
        <f>IF(BB$4&gt;=Teams!$G$80,Teams!$G$18,0)</f>
        <v>2000</v>
      </c>
      <c r="BC118" s="22">
        <f>IF(BC$4&gt;=Teams!$G$80,Teams!$G$18,0)</f>
        <v>2000</v>
      </c>
      <c r="BD118" s="22">
        <f>IF(BD$4&gt;=Teams!$G$80,Teams!$G$18,0)</f>
        <v>2000</v>
      </c>
      <c r="BE118" s="22">
        <f>IF(BE$4&gt;=Teams!$G$80,Teams!$G$18,0)</f>
        <v>2000</v>
      </c>
      <c r="BF118" s="22">
        <f>IF(BF$4&gt;=Teams!$G$80,Teams!$G$18,0)</f>
        <v>2000</v>
      </c>
      <c r="BG118" s="22">
        <f>IF(BG$4&gt;=Teams!$G$80,Teams!$G$18,0)</f>
        <v>2000</v>
      </c>
      <c r="BH118" s="22">
        <f>IF(BH$4&gt;=Teams!$G$80,Teams!$G$18,0)</f>
        <v>2000</v>
      </c>
      <c r="BI118" s="22">
        <f>IF(BI$4&gt;=Teams!$G$80,Teams!$G$18,0)</f>
        <v>2000</v>
      </c>
      <c r="BJ118" s="22">
        <f>IF(BJ$4&gt;=Teams!$G$80,Teams!$G$18,0)</f>
        <v>2000</v>
      </c>
      <c r="BK118" s="22">
        <f>IF(BK$4&gt;=Teams!$G$80,Teams!$G$18,0)</f>
        <v>2000</v>
      </c>
      <c r="BL118" s="22">
        <f>IF(BL$4&gt;=Teams!$G$80,Teams!$G$18,0)</f>
        <v>2000</v>
      </c>
    </row>
    <row r="119" spans="1:64" x14ac:dyDescent="0.3">
      <c r="A119" s="8" t="s">
        <v>1011</v>
      </c>
      <c r="C119" s="22">
        <f>SUMPRODUCT(E119:BL119,E$5:BL$5)</f>
        <v>40200</v>
      </c>
      <c r="E119" s="22">
        <f>E118*Teams!$G$19*E117</f>
        <v>88.888888888888886</v>
      </c>
      <c r="F119" s="22">
        <f>F118*Teams!$G$19*F117</f>
        <v>311.11111111111109</v>
      </c>
      <c r="G119" s="22">
        <f>G118*Teams!$G$19*G117</f>
        <v>600</v>
      </c>
      <c r="H119" s="22">
        <f>H118*Teams!$G$19*H117</f>
        <v>888.8888888888888</v>
      </c>
      <c r="I119" s="22">
        <f>I118*Teams!$G$19*I117</f>
        <v>1111.1111111111113</v>
      </c>
      <c r="J119" s="22">
        <f>J118*Teams!$G$19*J117</f>
        <v>1200</v>
      </c>
      <c r="K119" s="22">
        <f>K118*Teams!$G$19*K117</f>
        <v>1200</v>
      </c>
      <c r="L119" s="22">
        <f>L118*Teams!$G$19*L117</f>
        <v>1200</v>
      </c>
      <c r="M119" s="22">
        <f>M118*Teams!$G$19*M117</f>
        <v>1200</v>
      </c>
      <c r="N119" s="22">
        <f>N118*Teams!$G$19*N117</f>
        <v>1200</v>
      </c>
      <c r="O119" s="22">
        <f>O118*Teams!$G$19*O117</f>
        <v>1200</v>
      </c>
      <c r="P119" s="22">
        <f>P118*Teams!$G$19*P117</f>
        <v>1200</v>
      </c>
      <c r="Q119" s="22">
        <f>Q118*Teams!$G$19*Q117</f>
        <v>1200</v>
      </c>
      <c r="R119" s="22">
        <f>R118*Teams!$G$19*R117</f>
        <v>1200</v>
      </c>
      <c r="S119" s="22">
        <f>S118*Teams!$G$19*S117</f>
        <v>1200</v>
      </c>
      <c r="T119" s="22">
        <f>T118*Teams!$G$19*T117</f>
        <v>1200</v>
      </c>
      <c r="U119" s="22">
        <f>U118*Teams!$G$19*U117</f>
        <v>1200</v>
      </c>
      <c r="V119" s="22">
        <f>V118*Teams!$G$19*V117</f>
        <v>1200</v>
      </c>
      <c r="W119" s="22">
        <f>W118*Teams!$G$19*W117</f>
        <v>1200</v>
      </c>
      <c r="X119" s="22">
        <f>X118*Teams!$G$19*X117</f>
        <v>1200</v>
      </c>
      <c r="Y119" s="22">
        <f>Y118*Teams!$G$19*Y117</f>
        <v>1200</v>
      </c>
      <c r="Z119" s="22">
        <f>Z118*Teams!$G$19*Z117</f>
        <v>1200</v>
      </c>
      <c r="AA119" s="22">
        <f>AA118*Teams!$G$19*AA117</f>
        <v>1200</v>
      </c>
      <c r="AB119" s="22">
        <f>AB118*Teams!$G$19*AB117</f>
        <v>1200</v>
      </c>
      <c r="AC119" s="22">
        <f>AC118*Teams!$G$19*AC117</f>
        <v>1200</v>
      </c>
      <c r="AD119" s="22">
        <f>AD118*Teams!$G$19*AD117</f>
        <v>1200</v>
      </c>
      <c r="AE119" s="22">
        <f>AE118*Teams!$G$19*AE117</f>
        <v>1200</v>
      </c>
      <c r="AF119" s="22">
        <f>AF118*Teams!$G$19*AF117</f>
        <v>1200</v>
      </c>
      <c r="AG119" s="22">
        <f>AG118*Teams!$G$19*AG117</f>
        <v>1200</v>
      </c>
      <c r="AH119" s="22">
        <f>AH118*Teams!$G$19*AH117</f>
        <v>1200</v>
      </c>
      <c r="AI119" s="22">
        <f>AI118*Teams!$G$19*AI117</f>
        <v>1200</v>
      </c>
      <c r="AJ119" s="22">
        <f>AJ118*Teams!$G$19*AJ117</f>
        <v>1200</v>
      </c>
      <c r="AK119" s="22">
        <f>AK118*Teams!$G$19*AK117</f>
        <v>1200</v>
      </c>
      <c r="AL119" s="22">
        <f>AL118*Teams!$G$19*AL117</f>
        <v>1200</v>
      </c>
      <c r="AM119" s="22">
        <f>AM118*Teams!$G$19*AM117</f>
        <v>1200</v>
      </c>
      <c r="AN119" s="22">
        <f>AN118*Teams!$G$19*AN117</f>
        <v>1200</v>
      </c>
      <c r="AO119" s="22">
        <f>AO118*Teams!$G$19*AO117</f>
        <v>1200</v>
      </c>
      <c r="AP119" s="22">
        <f>AP118*Teams!$G$19*AP117</f>
        <v>1200</v>
      </c>
      <c r="AQ119" s="22">
        <f>AQ118*Teams!$G$19*AQ117</f>
        <v>1200</v>
      </c>
      <c r="AR119" s="22">
        <f>AR118*Teams!$G$19*AR117</f>
        <v>1200</v>
      </c>
      <c r="AS119" s="22">
        <f>AS118*Teams!$G$19*AS117</f>
        <v>1200</v>
      </c>
      <c r="AT119" s="22">
        <f>AT118*Teams!$G$19*AT117</f>
        <v>1200</v>
      </c>
      <c r="AU119" s="22">
        <f>AU118*Teams!$G$19*AU117</f>
        <v>1200</v>
      </c>
      <c r="AV119" s="22">
        <f>AV118*Teams!$G$19*AV117</f>
        <v>1200</v>
      </c>
      <c r="AW119" s="22">
        <f>AW118*Teams!$G$19*AW117</f>
        <v>1200</v>
      </c>
      <c r="AX119" s="22">
        <f>AX118*Teams!$G$19*AX117</f>
        <v>1200</v>
      </c>
      <c r="AY119" s="22">
        <f>AY118*Teams!$G$19*AY117</f>
        <v>1200</v>
      </c>
      <c r="AZ119" s="22">
        <f>AZ118*Teams!$G$19*AZ117</f>
        <v>1200</v>
      </c>
      <c r="BA119" s="22">
        <f>BA118*Teams!$G$19*BA117</f>
        <v>1200</v>
      </c>
      <c r="BB119" s="22">
        <f>BB118*Teams!$G$19*BB117</f>
        <v>1200</v>
      </c>
      <c r="BC119" s="22">
        <f>BC118*Teams!$G$19*BC117</f>
        <v>1200</v>
      </c>
      <c r="BD119" s="22">
        <f>BD118*Teams!$G$19*BD117</f>
        <v>1200</v>
      </c>
      <c r="BE119" s="22">
        <f>BE118*Teams!$G$19*BE117</f>
        <v>1200</v>
      </c>
      <c r="BF119" s="22">
        <f>BF118*Teams!$G$19*BF117</f>
        <v>1200</v>
      </c>
      <c r="BG119" s="22">
        <f>BG118*Teams!$G$19*BG117</f>
        <v>1200</v>
      </c>
      <c r="BH119" s="22">
        <f>BH118*Teams!$G$19*BH117</f>
        <v>1200</v>
      </c>
      <c r="BI119" s="22">
        <f>BI118*Teams!$G$19*BI117</f>
        <v>1200</v>
      </c>
      <c r="BJ119" s="22">
        <f>BJ118*Teams!$G$19*BJ117</f>
        <v>1200</v>
      </c>
      <c r="BK119" s="22">
        <f>BK118*Teams!$G$19*BK117</f>
        <v>1200</v>
      </c>
      <c r="BL119" s="22">
        <f>BL118*Teams!$G$19*BL117</f>
        <v>1200</v>
      </c>
    </row>
    <row r="120" spans="1:64" x14ac:dyDescent="0.3">
      <c r="A120" s="8" t="s">
        <v>28</v>
      </c>
      <c r="C120" s="22">
        <f>SUMPRODUCT(E120:BL120,E$5:BL$5)</f>
        <v>2412000</v>
      </c>
      <c r="E120" s="22">
        <f>IF(Teams!$G$23="per user",E119*Teams!$G$24,Teams!$G$25*E117)</f>
        <v>5333.333333333333</v>
      </c>
      <c r="F120" s="22">
        <f>IF(Teams!$G$23="per user",F119*Teams!$G$24,Teams!$G$25*F117)</f>
        <v>18666.666666666664</v>
      </c>
      <c r="G120" s="22">
        <f>IF(Teams!$G$23="per user",G119*Teams!$G$24,Teams!$G$25*G117)</f>
        <v>36000</v>
      </c>
      <c r="H120" s="22">
        <f>IF(Teams!$G$23="per user",H119*Teams!$G$24,Teams!$G$25*H117)</f>
        <v>53333.333333333328</v>
      </c>
      <c r="I120" s="22">
        <f>IF(Teams!$G$23="per user",I119*Teams!$G$24,Teams!$G$25*I117)</f>
        <v>66666.666666666686</v>
      </c>
      <c r="J120" s="22">
        <f>IF(Teams!$G$23="per user",J119*Teams!$G$24,Teams!$G$25*J117)</f>
        <v>72000</v>
      </c>
      <c r="K120" s="22">
        <f>IF(Teams!$G$23="per user",K119*Teams!$G$24,Teams!$G$25*K117)</f>
        <v>72000</v>
      </c>
      <c r="L120" s="22">
        <f>IF(Teams!$G$23="per user",L119*Teams!$G$24,Teams!$G$25*L117)</f>
        <v>72000</v>
      </c>
      <c r="M120" s="22">
        <f>IF(Teams!$G$23="per user",M119*Teams!$G$24,Teams!$G$25*M117)</f>
        <v>72000</v>
      </c>
      <c r="N120" s="22">
        <f>IF(Teams!$G$23="per user",N119*Teams!$G$24,Teams!$G$25*N117)</f>
        <v>72000</v>
      </c>
      <c r="O120" s="22">
        <f>IF(Teams!$G$23="per user",O119*Teams!$G$24,Teams!$G$25*O117)</f>
        <v>72000</v>
      </c>
      <c r="P120" s="22">
        <f>IF(Teams!$G$23="per user",P119*Teams!$G$24,Teams!$G$25*P117)</f>
        <v>72000</v>
      </c>
      <c r="Q120" s="22">
        <f>IF(Teams!$G$23="per user",Q119*Teams!$G$24,Teams!$G$25*Q117)</f>
        <v>72000</v>
      </c>
      <c r="R120" s="22">
        <f>IF(Teams!$G$23="per user",R119*Teams!$G$24,Teams!$G$25*R117)</f>
        <v>72000</v>
      </c>
      <c r="S120" s="22">
        <f>IF(Teams!$G$23="per user",S119*Teams!$G$24,Teams!$G$25*S117)</f>
        <v>72000</v>
      </c>
      <c r="T120" s="22">
        <f>IF(Teams!$G$23="per user",T119*Teams!$G$24,Teams!$G$25*T117)</f>
        <v>72000</v>
      </c>
      <c r="U120" s="22">
        <f>IF(Teams!$G$23="per user",U119*Teams!$G$24,Teams!$G$25*U117)</f>
        <v>72000</v>
      </c>
      <c r="V120" s="22">
        <f>IF(Teams!$G$23="per user",V119*Teams!$G$24,Teams!$G$25*V117)</f>
        <v>72000</v>
      </c>
      <c r="W120" s="22">
        <f>IF(Teams!$G$23="per user",W119*Teams!$G$24,Teams!$G$25*W117)</f>
        <v>72000</v>
      </c>
      <c r="X120" s="22">
        <f>IF(Teams!$G$23="per user",X119*Teams!$G$24,Teams!$G$25*X117)</f>
        <v>72000</v>
      </c>
      <c r="Y120" s="22">
        <f>IF(Teams!$G$23="per user",Y119*Teams!$G$24,Teams!$G$25*Y117)</f>
        <v>72000</v>
      </c>
      <c r="Z120" s="22">
        <f>IF(Teams!$G$23="per user",Z119*Teams!$G$24,Teams!$G$25*Z117)</f>
        <v>72000</v>
      </c>
      <c r="AA120" s="22">
        <f>IF(Teams!$G$23="per user",AA119*Teams!$G$24,Teams!$G$25*AA117)</f>
        <v>72000</v>
      </c>
      <c r="AB120" s="22">
        <f>IF(Teams!$G$23="per user",AB119*Teams!$G$24,Teams!$G$25*AB117)</f>
        <v>72000</v>
      </c>
      <c r="AC120" s="22">
        <f>IF(Teams!$G$23="per user",AC119*Teams!$G$24,Teams!$G$25*AC117)</f>
        <v>72000</v>
      </c>
      <c r="AD120" s="22">
        <f>IF(Teams!$G$23="per user",AD119*Teams!$G$24,Teams!$G$25*AD117)</f>
        <v>72000</v>
      </c>
      <c r="AE120" s="22">
        <f>IF(Teams!$G$23="per user",AE119*Teams!$G$24,Teams!$G$25*AE117)</f>
        <v>72000</v>
      </c>
      <c r="AF120" s="22">
        <f>IF(Teams!$G$23="per user",AF119*Teams!$G$24,Teams!$G$25*AF117)</f>
        <v>72000</v>
      </c>
      <c r="AG120" s="22">
        <f>IF(Teams!$G$23="per user",AG119*Teams!$G$24,Teams!$G$25*AG117)</f>
        <v>72000</v>
      </c>
      <c r="AH120" s="22">
        <f>IF(Teams!$G$23="per user",AH119*Teams!$G$24,Teams!$G$25*AH117)</f>
        <v>72000</v>
      </c>
      <c r="AI120" s="22">
        <f>IF(Teams!$G$23="per user",AI119*Teams!$G$24,Teams!$G$25*AI117)</f>
        <v>72000</v>
      </c>
      <c r="AJ120" s="22">
        <f>IF(Teams!$G$23="per user",AJ119*Teams!$G$24,Teams!$G$25*AJ117)</f>
        <v>72000</v>
      </c>
      <c r="AK120" s="22">
        <f>IF(Teams!$G$23="per user",AK119*Teams!$G$24,Teams!$G$25*AK117)</f>
        <v>72000</v>
      </c>
      <c r="AL120" s="22">
        <f>IF(Teams!$G$23="per user",AL119*Teams!$G$24,Teams!$G$25*AL117)</f>
        <v>72000</v>
      </c>
      <c r="AM120" s="22">
        <f>IF(Teams!$G$23="per user",AM119*Teams!$G$24,Teams!$G$25*AM117)</f>
        <v>72000</v>
      </c>
      <c r="AN120" s="22">
        <f>IF(Teams!$G$23="per user",AN119*Teams!$G$24,Teams!$G$25*AN117)</f>
        <v>72000</v>
      </c>
      <c r="AO120" s="22">
        <f>IF(Teams!$G$23="per user",AO119*Teams!$G$24,Teams!$G$25*AO117)</f>
        <v>72000</v>
      </c>
      <c r="AP120" s="22">
        <f>IF(Teams!$G$23="per user",AP119*Teams!$G$24,Teams!$G$25*AP117)</f>
        <v>72000</v>
      </c>
      <c r="AQ120" s="22">
        <f>IF(Teams!$G$23="per user",AQ119*Teams!$G$24,Teams!$G$25*AQ117)</f>
        <v>72000</v>
      </c>
      <c r="AR120" s="22">
        <f>IF(Teams!$G$23="per user",AR119*Teams!$G$24,Teams!$G$25*AR117)</f>
        <v>72000</v>
      </c>
      <c r="AS120" s="22">
        <f>IF(Teams!$G$23="per user",AS119*Teams!$G$24,Teams!$G$25*AS117)</f>
        <v>72000</v>
      </c>
      <c r="AT120" s="22">
        <f>IF(Teams!$G$23="per user",AT119*Teams!$G$24,Teams!$G$25*AT117)</f>
        <v>72000</v>
      </c>
      <c r="AU120" s="22">
        <f>IF(Teams!$G$23="per user",AU119*Teams!$G$24,Teams!$G$25*AU117)</f>
        <v>72000</v>
      </c>
      <c r="AV120" s="22">
        <f>IF(Teams!$G$23="per user",AV119*Teams!$G$24,Teams!$G$25*AV117)</f>
        <v>72000</v>
      </c>
      <c r="AW120" s="22">
        <f>IF(Teams!$G$23="per user",AW119*Teams!$G$24,Teams!$G$25*AW117)</f>
        <v>72000</v>
      </c>
      <c r="AX120" s="22">
        <f>IF(Teams!$G$23="per user",AX119*Teams!$G$24,Teams!$G$25*AX117)</f>
        <v>72000</v>
      </c>
      <c r="AY120" s="22">
        <f>IF(Teams!$G$23="per user",AY119*Teams!$G$24,Teams!$G$25*AY117)</f>
        <v>72000</v>
      </c>
      <c r="AZ120" s="22">
        <f>IF(Teams!$G$23="per user",AZ119*Teams!$G$24,Teams!$G$25*AZ117)</f>
        <v>72000</v>
      </c>
      <c r="BA120" s="22">
        <f>IF(Teams!$G$23="per user",BA119*Teams!$G$24,Teams!$G$25*BA117)</f>
        <v>72000</v>
      </c>
      <c r="BB120" s="22">
        <f>IF(Teams!$G$23="per user",BB119*Teams!$G$24,Teams!$G$25*BB117)</f>
        <v>72000</v>
      </c>
      <c r="BC120" s="22">
        <f>IF(Teams!$G$23="per user",BC119*Teams!$G$24,Teams!$G$25*BC117)</f>
        <v>72000</v>
      </c>
      <c r="BD120" s="22">
        <f>IF(Teams!$G$23="per user",BD119*Teams!$G$24,Teams!$G$25*BD117)</f>
        <v>72000</v>
      </c>
      <c r="BE120" s="22">
        <f>IF(Teams!$G$23="per user",BE119*Teams!$G$24,Teams!$G$25*BE117)</f>
        <v>72000</v>
      </c>
      <c r="BF120" s="22">
        <f>IF(Teams!$G$23="per user",BF119*Teams!$G$24,Teams!$G$25*BF117)</f>
        <v>72000</v>
      </c>
      <c r="BG120" s="22">
        <f>IF(Teams!$G$23="per user",BG119*Teams!$G$24,Teams!$G$25*BG117)</f>
        <v>72000</v>
      </c>
      <c r="BH120" s="22">
        <f>IF(Teams!$G$23="per user",BH119*Teams!$G$24,Teams!$G$25*BH117)</f>
        <v>72000</v>
      </c>
      <c r="BI120" s="22">
        <f>IF(Teams!$G$23="per user",BI119*Teams!$G$24,Teams!$G$25*BI117)</f>
        <v>72000</v>
      </c>
      <c r="BJ120" s="22">
        <f>IF(Teams!$G$23="per user",BJ119*Teams!$G$24,Teams!$G$25*BJ117)</f>
        <v>72000</v>
      </c>
      <c r="BK120" s="22">
        <f>IF(Teams!$G$23="per user",BK119*Teams!$G$24,Teams!$G$25*BK117)</f>
        <v>72000</v>
      </c>
      <c r="BL120" s="22">
        <f>IF(Teams!$G$23="per user",BL119*Teams!$G$24,Teams!$G$25*BL117)</f>
        <v>72000</v>
      </c>
    </row>
    <row r="121" spans="1:64" x14ac:dyDescent="0.3">
      <c r="A121" s="8" t="s">
        <v>665</v>
      </c>
      <c r="B121" s="18" t="s">
        <v>435</v>
      </c>
      <c r="C121" s="44">
        <f t="shared" ref="C121:C139" si="38">SUM(D121:BL121)</f>
        <v>2016000</v>
      </c>
      <c r="E121" s="44">
        <f>E$5*Teams!$G$60*E118*Teams!$G$66</f>
        <v>56000</v>
      </c>
      <c r="F121" s="44">
        <f>F$5*Teams!$G$60*F118*Teams!$G$66</f>
        <v>56000</v>
      </c>
      <c r="G121" s="44">
        <f>G$5*Teams!$G$60*G118*Teams!$G$66</f>
        <v>56000</v>
      </c>
      <c r="H121" s="44">
        <f>H$5*Teams!$G$60*H118*Teams!$G$66</f>
        <v>56000</v>
      </c>
      <c r="I121" s="44">
        <f>I$5*Teams!$G$60*I118*Teams!$G$66</f>
        <v>56000</v>
      </c>
      <c r="J121" s="44">
        <f>J$5*Teams!$G$60*J118*Teams!$G$66</f>
        <v>56000</v>
      </c>
      <c r="K121" s="44">
        <f>K$5*Teams!$G$60*K118*Teams!$G$66</f>
        <v>56000</v>
      </c>
      <c r="L121" s="44">
        <f>L$5*Teams!$G$60*L118*Teams!$G$66</f>
        <v>56000</v>
      </c>
      <c r="M121" s="44">
        <f>M$5*Teams!$G$60*M118*Teams!$G$66</f>
        <v>56000</v>
      </c>
      <c r="N121" s="44">
        <f>N$5*Teams!$G$60*N118*Teams!$G$66</f>
        <v>56000</v>
      </c>
      <c r="O121" s="44">
        <f>O$5*Teams!$G$60*O118*Teams!$G$66</f>
        <v>56000</v>
      </c>
      <c r="P121" s="44">
        <f>P$5*Teams!$G$60*P118*Teams!$G$66</f>
        <v>56000</v>
      </c>
      <c r="Q121" s="44">
        <f>Q$5*Teams!$G$60*Q118*Teams!$G$66</f>
        <v>56000</v>
      </c>
      <c r="R121" s="44">
        <f>R$5*Teams!$G$60*R118*Teams!$G$66</f>
        <v>56000</v>
      </c>
      <c r="S121" s="44">
        <f>S$5*Teams!$G$60*S118*Teams!$G$66</f>
        <v>56000</v>
      </c>
      <c r="T121" s="44">
        <f>T$5*Teams!$G$60*T118*Teams!$G$66</f>
        <v>56000</v>
      </c>
      <c r="U121" s="44">
        <f>U$5*Teams!$G$60*U118*Teams!$G$66</f>
        <v>56000</v>
      </c>
      <c r="V121" s="44">
        <f>V$5*Teams!$G$60*V118*Teams!$G$66</f>
        <v>56000</v>
      </c>
      <c r="W121" s="44">
        <f>W$5*Teams!$G$60*W118*Teams!$G$66</f>
        <v>56000</v>
      </c>
      <c r="X121" s="44">
        <f>X$5*Teams!$G$60*X118*Teams!$G$66</f>
        <v>56000</v>
      </c>
      <c r="Y121" s="44">
        <f>Y$5*Teams!$G$60*Y118*Teams!$G$66</f>
        <v>56000</v>
      </c>
      <c r="Z121" s="44">
        <f>Z$5*Teams!$G$60*Z118*Teams!$G$66</f>
        <v>56000</v>
      </c>
      <c r="AA121" s="44">
        <f>AA$5*Teams!$G$60*AA118*Teams!$G$66</f>
        <v>56000</v>
      </c>
      <c r="AB121" s="44">
        <f>AB$5*Teams!$G$60*AB118*Teams!$G$66</f>
        <v>56000</v>
      </c>
      <c r="AC121" s="44">
        <f>AC$5*Teams!$G$60*AC118*Teams!$G$66</f>
        <v>56000</v>
      </c>
      <c r="AD121" s="44">
        <f>AD$5*Teams!$G$60*AD118*Teams!$G$66</f>
        <v>56000</v>
      </c>
      <c r="AE121" s="44">
        <f>AE$5*Teams!$G$60*AE118*Teams!$G$66</f>
        <v>56000</v>
      </c>
      <c r="AF121" s="44">
        <f>AF$5*Teams!$G$60*AF118*Teams!$G$66</f>
        <v>56000</v>
      </c>
      <c r="AG121" s="44">
        <f>AG$5*Teams!$G$60*AG118*Teams!$G$66</f>
        <v>56000</v>
      </c>
      <c r="AH121" s="44">
        <f>AH$5*Teams!$G$60*AH118*Teams!$G$66</f>
        <v>56000</v>
      </c>
      <c r="AI121" s="44">
        <f>AI$5*Teams!$G$60*AI118*Teams!$G$66</f>
        <v>56000</v>
      </c>
      <c r="AJ121" s="44">
        <f>AJ$5*Teams!$G$60*AJ118*Teams!$G$66</f>
        <v>56000</v>
      </c>
      <c r="AK121" s="44">
        <f>AK$5*Teams!$G$60*AK118*Teams!$G$66</f>
        <v>56000</v>
      </c>
      <c r="AL121" s="44">
        <f>AL$5*Teams!$G$60*AL118*Teams!$G$66</f>
        <v>56000</v>
      </c>
      <c r="AM121" s="44">
        <f>AM$5*Teams!$G$60*AM118*Teams!$G$66</f>
        <v>56000</v>
      </c>
      <c r="AN121" s="44">
        <f>AN$5*Teams!$G$60*AN118*Teams!$G$66</f>
        <v>56000</v>
      </c>
      <c r="AO121" s="44">
        <f>AO$5*Teams!$G$60*AO118*Teams!$G$66</f>
        <v>0</v>
      </c>
      <c r="AP121" s="44">
        <f>AP$5*Teams!$G$60*AP118*Teams!$G$66</f>
        <v>0</v>
      </c>
      <c r="AQ121" s="44">
        <f>AQ$5*Teams!$G$60*AQ118*Teams!$G$66</f>
        <v>0</v>
      </c>
      <c r="AR121" s="44">
        <f>AR$5*Teams!$G$60*AR118*Teams!$G$66</f>
        <v>0</v>
      </c>
      <c r="AS121" s="44">
        <f>AS$5*Teams!$G$60*AS118*Teams!$G$66</f>
        <v>0</v>
      </c>
      <c r="AT121" s="44">
        <f>AT$5*Teams!$G$60*AT118*Teams!$G$66</f>
        <v>0</v>
      </c>
      <c r="AU121" s="44">
        <f>AU$5*Teams!$G$60*AU118*Teams!$G$66</f>
        <v>0</v>
      </c>
      <c r="AV121" s="44">
        <f>AV$5*Teams!$G$60*AV118*Teams!$G$66</f>
        <v>0</v>
      </c>
      <c r="AW121" s="44">
        <f>AW$5*Teams!$G$60*AW118*Teams!$G$66</f>
        <v>0</v>
      </c>
      <c r="AX121" s="44">
        <f>AX$5*Teams!$G$60*AX118*Teams!$G$66</f>
        <v>0</v>
      </c>
      <c r="AY121" s="44">
        <f>AY$5*Teams!$G$60*AY118*Teams!$G$66</f>
        <v>0</v>
      </c>
      <c r="AZ121" s="44">
        <f>AZ$5*Teams!$G$60*AZ118*Teams!$G$66</f>
        <v>0</v>
      </c>
      <c r="BA121" s="44">
        <f>BA$5*Teams!$G$60*BA118*Teams!$G$66</f>
        <v>0</v>
      </c>
      <c r="BB121" s="44">
        <f>BB$5*Teams!$G$60*BB118*Teams!$G$66</f>
        <v>0</v>
      </c>
      <c r="BC121" s="44">
        <f>BC$5*Teams!$G$60*BC118*Teams!$G$66</f>
        <v>0</v>
      </c>
      <c r="BD121" s="44">
        <f>BD$5*Teams!$G$60*BD118*Teams!$G$66</f>
        <v>0</v>
      </c>
      <c r="BE121" s="44">
        <f>BE$5*Teams!$G$60*BE118*Teams!$G$66</f>
        <v>0</v>
      </c>
      <c r="BF121" s="44">
        <f>BF$5*Teams!$G$60*BF118*Teams!$G$66</f>
        <v>0</v>
      </c>
      <c r="BG121" s="44">
        <f>BG$5*Teams!$G$60*BG118*Teams!$G$66</f>
        <v>0</v>
      </c>
      <c r="BH121" s="44">
        <f>BH$5*Teams!$G$60*BH118*Teams!$G$66</f>
        <v>0</v>
      </c>
      <c r="BI121" s="44">
        <f>BI$5*Teams!$G$60*BI118*Teams!$G$66</f>
        <v>0</v>
      </c>
      <c r="BJ121" s="44">
        <f>BJ$5*Teams!$G$60*BJ118*Teams!$G$66</f>
        <v>0</v>
      </c>
      <c r="BK121" s="44">
        <f>BK$5*Teams!$G$60*BK118*Teams!$G$66</f>
        <v>0</v>
      </c>
      <c r="BL121" s="44">
        <f>BL$5*Teams!$G$60*BL118*Teams!$G$66</f>
        <v>0</v>
      </c>
    </row>
    <row r="122" spans="1:64" x14ac:dyDescent="0.3">
      <c r="A122" s="8" t="s">
        <v>666</v>
      </c>
      <c r="B122" s="18" t="s">
        <v>435</v>
      </c>
      <c r="C122" s="44">
        <f t="shared" si="38"/>
        <v>0</v>
      </c>
      <c r="E122" s="44">
        <f>E$5*IF(Teams!$G$61=1,E119*((1-Teams!$G$13)*MAX(0,Teams!$G$72*$C$116-Teams!$G$12)+Teams!$G$13*MAX(0,Teams!$G$73*$C$116-Teams!$G$12)),IF(Teams!$G$62=1,E120*$C$116,0))</f>
        <v>0</v>
      </c>
      <c r="F122" s="44">
        <f>F$5*IF(Teams!$G$61=1,F119*((1-Teams!$G$13)*MAX(0,Teams!$G$72*$C$116-Teams!$G$12)+Teams!$G$13*MAX(0,Teams!$G$73*$C$116-Teams!$G$12)),IF(Teams!$G$62=1,F120*$C$116,0))</f>
        <v>0</v>
      </c>
      <c r="G122" s="44">
        <f>G$5*IF(Teams!$G$61=1,G119*((1-Teams!$G$13)*MAX(0,Teams!$G$72*$C$116-Teams!$G$12)+Teams!$G$13*MAX(0,Teams!$G$73*$C$116-Teams!$G$12)),IF(Teams!$G$62=1,G120*$C$116,0))</f>
        <v>0</v>
      </c>
      <c r="H122" s="44">
        <f>H$5*IF(Teams!$G$61=1,H119*((1-Teams!$G$13)*MAX(0,Teams!$G$72*$C$116-Teams!$G$12)+Teams!$G$13*MAX(0,Teams!$G$73*$C$116-Teams!$G$12)),IF(Teams!$G$62=1,H120*$C$116,0))</f>
        <v>0</v>
      </c>
      <c r="I122" s="44">
        <f>I$5*IF(Teams!$G$61=1,I119*((1-Teams!$G$13)*MAX(0,Teams!$G$72*$C$116-Teams!$G$12)+Teams!$G$13*MAX(0,Teams!$G$73*$C$116-Teams!$G$12)),IF(Teams!$G$62=1,I120*$C$116,0))</f>
        <v>0</v>
      </c>
      <c r="J122" s="44">
        <f>J$5*IF(Teams!$G$61=1,J119*((1-Teams!$G$13)*MAX(0,Teams!$G$72*$C$116-Teams!$G$12)+Teams!$G$13*MAX(0,Teams!$G$73*$C$116-Teams!$G$12)),IF(Teams!$G$62=1,J120*$C$116,0))</f>
        <v>0</v>
      </c>
      <c r="K122" s="44">
        <f>K$5*IF(Teams!$G$61=1,K119*((1-Teams!$G$13)*MAX(0,Teams!$G$72*$C$116-Teams!$G$12)+Teams!$G$13*MAX(0,Teams!$G$73*$C$116-Teams!$G$12)),IF(Teams!$G$62=1,K120*$C$116,0))</f>
        <v>0</v>
      </c>
      <c r="L122" s="44">
        <f>L$5*IF(Teams!$G$61=1,L119*((1-Teams!$G$13)*MAX(0,Teams!$G$72*$C$116-Teams!$G$12)+Teams!$G$13*MAX(0,Teams!$G$73*$C$116-Teams!$G$12)),IF(Teams!$G$62=1,L120*$C$116,0))</f>
        <v>0</v>
      </c>
      <c r="M122" s="44">
        <f>M$5*IF(Teams!$G$61=1,M119*((1-Teams!$G$13)*MAX(0,Teams!$G$72*$C$116-Teams!$G$12)+Teams!$G$13*MAX(0,Teams!$G$73*$C$116-Teams!$G$12)),IF(Teams!$G$62=1,M120*$C$116,0))</f>
        <v>0</v>
      </c>
      <c r="N122" s="44">
        <f>N$5*IF(Teams!$G$61=1,N119*((1-Teams!$G$13)*MAX(0,Teams!$G$72*$C$116-Teams!$G$12)+Teams!$G$13*MAX(0,Teams!$G$73*$C$116-Teams!$G$12)),IF(Teams!$G$62=1,N120*$C$116,0))</f>
        <v>0</v>
      </c>
      <c r="O122" s="44">
        <f>O$5*IF(Teams!$G$61=1,O119*((1-Teams!$G$13)*MAX(0,Teams!$G$72*$C$116-Teams!$G$12)+Teams!$G$13*MAX(0,Teams!$G$73*$C$116-Teams!$G$12)),IF(Teams!$G$62=1,O120*$C$116,0))</f>
        <v>0</v>
      </c>
      <c r="P122" s="44">
        <f>P$5*IF(Teams!$G$61=1,P119*((1-Teams!$G$13)*MAX(0,Teams!$G$72*$C$116-Teams!$G$12)+Teams!$G$13*MAX(0,Teams!$G$73*$C$116-Teams!$G$12)),IF(Teams!$G$62=1,P120*$C$116,0))</f>
        <v>0</v>
      </c>
      <c r="Q122" s="44">
        <f>Q$5*IF(Teams!$G$61=1,Q119*((1-Teams!$G$13)*MAX(0,Teams!$G$72*$C$116-Teams!$G$12)+Teams!$G$13*MAX(0,Teams!$G$73*$C$116-Teams!$G$12)),IF(Teams!$G$62=1,Q120*$C$116,0))</f>
        <v>0</v>
      </c>
      <c r="R122" s="44">
        <f>R$5*IF(Teams!$G$61=1,R119*((1-Teams!$G$13)*MAX(0,Teams!$G$72*$C$116-Teams!$G$12)+Teams!$G$13*MAX(0,Teams!$G$73*$C$116-Teams!$G$12)),IF(Teams!$G$62=1,R120*$C$116,0))</f>
        <v>0</v>
      </c>
      <c r="S122" s="44">
        <f>S$5*IF(Teams!$G$61=1,S119*((1-Teams!$G$13)*MAX(0,Teams!$G$72*$C$116-Teams!$G$12)+Teams!$G$13*MAX(0,Teams!$G$73*$C$116-Teams!$G$12)),IF(Teams!$G$62=1,S120*$C$116,0))</f>
        <v>0</v>
      </c>
      <c r="T122" s="44">
        <f>T$5*IF(Teams!$G$61=1,T119*((1-Teams!$G$13)*MAX(0,Teams!$G$72*$C$116-Teams!$G$12)+Teams!$G$13*MAX(0,Teams!$G$73*$C$116-Teams!$G$12)),IF(Teams!$G$62=1,T120*$C$116,0))</f>
        <v>0</v>
      </c>
      <c r="U122" s="44">
        <f>U$5*IF(Teams!$G$61=1,U119*((1-Teams!$G$13)*MAX(0,Teams!$G$72*$C$116-Teams!$G$12)+Teams!$G$13*MAX(0,Teams!$G$73*$C$116-Teams!$G$12)),IF(Teams!$G$62=1,U120*$C$116,0))</f>
        <v>0</v>
      </c>
      <c r="V122" s="44">
        <f>V$5*IF(Teams!$G$61=1,V119*((1-Teams!$G$13)*MAX(0,Teams!$G$72*$C$116-Teams!$G$12)+Teams!$G$13*MAX(0,Teams!$G$73*$C$116-Teams!$G$12)),IF(Teams!$G$62=1,V120*$C$116,0))</f>
        <v>0</v>
      </c>
      <c r="W122" s="44">
        <f>W$5*IF(Teams!$G$61=1,W119*((1-Teams!$G$13)*MAX(0,Teams!$G$72*$C$116-Teams!$G$12)+Teams!$G$13*MAX(0,Teams!$G$73*$C$116-Teams!$G$12)),IF(Teams!$G$62=1,W120*$C$116,0))</f>
        <v>0</v>
      </c>
      <c r="X122" s="44">
        <f>X$5*IF(Teams!$G$61=1,X119*((1-Teams!$G$13)*MAX(0,Teams!$G$72*$C$116-Teams!$G$12)+Teams!$G$13*MAX(0,Teams!$G$73*$C$116-Teams!$G$12)),IF(Teams!$G$62=1,X120*$C$116,0))</f>
        <v>0</v>
      </c>
      <c r="Y122" s="44">
        <f>Y$5*IF(Teams!$G$61=1,Y119*((1-Teams!$G$13)*MAX(0,Teams!$G$72*$C$116-Teams!$G$12)+Teams!$G$13*MAX(0,Teams!$G$73*$C$116-Teams!$G$12)),IF(Teams!$G$62=1,Y120*$C$116,0))</f>
        <v>0</v>
      </c>
      <c r="Z122" s="44">
        <f>Z$5*IF(Teams!$G$61=1,Z119*((1-Teams!$G$13)*MAX(0,Teams!$G$72*$C$116-Teams!$G$12)+Teams!$G$13*MAX(0,Teams!$G$73*$C$116-Teams!$G$12)),IF(Teams!$G$62=1,Z120*$C$116,0))</f>
        <v>0</v>
      </c>
      <c r="AA122" s="44">
        <f>AA$5*IF(Teams!$G$61=1,AA119*((1-Teams!$G$13)*MAX(0,Teams!$G$72*$C$116-Teams!$G$12)+Teams!$G$13*MAX(0,Teams!$G$73*$C$116-Teams!$G$12)),IF(Teams!$G$62=1,AA120*$C$116,0))</f>
        <v>0</v>
      </c>
      <c r="AB122" s="44">
        <f>AB$5*IF(Teams!$G$61=1,AB119*((1-Teams!$G$13)*MAX(0,Teams!$G$72*$C$116-Teams!$G$12)+Teams!$G$13*MAX(0,Teams!$G$73*$C$116-Teams!$G$12)),IF(Teams!$G$62=1,AB120*$C$116,0))</f>
        <v>0</v>
      </c>
      <c r="AC122" s="44">
        <f>AC$5*IF(Teams!$G$61=1,AC119*((1-Teams!$G$13)*MAX(0,Teams!$G$72*$C$116-Teams!$G$12)+Teams!$G$13*MAX(0,Teams!$G$73*$C$116-Teams!$G$12)),IF(Teams!$G$62=1,AC120*$C$116,0))</f>
        <v>0</v>
      </c>
      <c r="AD122" s="44">
        <f>AD$5*IF(Teams!$G$61=1,AD119*((1-Teams!$G$13)*MAX(0,Teams!$G$72*$C$116-Teams!$G$12)+Teams!$G$13*MAX(0,Teams!$G$73*$C$116-Teams!$G$12)),IF(Teams!$G$62=1,AD120*$C$116,0))</f>
        <v>0</v>
      </c>
      <c r="AE122" s="44">
        <f>AE$5*IF(Teams!$G$61=1,AE119*((1-Teams!$G$13)*MAX(0,Teams!$G$72*$C$116-Teams!$G$12)+Teams!$G$13*MAX(0,Teams!$G$73*$C$116-Teams!$G$12)),IF(Teams!$G$62=1,AE120*$C$116,0))</f>
        <v>0</v>
      </c>
      <c r="AF122" s="44">
        <f>AF$5*IF(Teams!$G$61=1,AF119*((1-Teams!$G$13)*MAX(0,Teams!$G$72*$C$116-Teams!$G$12)+Teams!$G$13*MAX(0,Teams!$G$73*$C$116-Teams!$G$12)),IF(Teams!$G$62=1,AF120*$C$116,0))</f>
        <v>0</v>
      </c>
      <c r="AG122" s="44">
        <f>AG$5*IF(Teams!$G$61=1,AG119*((1-Teams!$G$13)*MAX(0,Teams!$G$72*$C$116-Teams!$G$12)+Teams!$G$13*MAX(0,Teams!$G$73*$C$116-Teams!$G$12)),IF(Teams!$G$62=1,AG120*$C$116,0))</f>
        <v>0</v>
      </c>
      <c r="AH122" s="44">
        <f>AH$5*IF(Teams!$G$61=1,AH119*((1-Teams!$G$13)*MAX(0,Teams!$G$72*$C$116-Teams!$G$12)+Teams!$G$13*MAX(0,Teams!$G$73*$C$116-Teams!$G$12)),IF(Teams!$G$62=1,AH120*$C$116,0))</f>
        <v>0</v>
      </c>
      <c r="AI122" s="44">
        <f>AI$5*IF(Teams!$G$61=1,AI119*((1-Teams!$G$13)*MAX(0,Teams!$G$72*$C$116-Teams!$G$12)+Teams!$G$13*MAX(0,Teams!$G$73*$C$116-Teams!$G$12)),IF(Teams!$G$62=1,AI120*$C$116,0))</f>
        <v>0</v>
      </c>
      <c r="AJ122" s="44">
        <f>AJ$5*IF(Teams!$G$61=1,AJ119*((1-Teams!$G$13)*MAX(0,Teams!$G$72*$C$116-Teams!$G$12)+Teams!$G$13*MAX(0,Teams!$G$73*$C$116-Teams!$G$12)),IF(Teams!$G$62=1,AJ120*$C$116,0))</f>
        <v>0</v>
      </c>
      <c r="AK122" s="44">
        <f>AK$5*IF(Teams!$G$61=1,AK119*((1-Teams!$G$13)*MAX(0,Teams!$G$72*$C$116-Teams!$G$12)+Teams!$G$13*MAX(0,Teams!$G$73*$C$116-Teams!$G$12)),IF(Teams!$G$62=1,AK120*$C$116,0))</f>
        <v>0</v>
      </c>
      <c r="AL122" s="44">
        <f>AL$5*IF(Teams!$G$61=1,AL119*((1-Teams!$G$13)*MAX(0,Teams!$G$72*$C$116-Teams!$G$12)+Teams!$G$13*MAX(0,Teams!$G$73*$C$116-Teams!$G$12)),IF(Teams!$G$62=1,AL120*$C$116,0))</f>
        <v>0</v>
      </c>
      <c r="AM122" s="44">
        <f>AM$5*IF(Teams!$G$61=1,AM119*((1-Teams!$G$13)*MAX(0,Teams!$G$72*$C$116-Teams!$G$12)+Teams!$G$13*MAX(0,Teams!$G$73*$C$116-Teams!$G$12)),IF(Teams!$G$62=1,AM120*$C$116,0))</f>
        <v>0</v>
      </c>
      <c r="AN122" s="44">
        <f>AN$5*IF(Teams!$G$61=1,AN119*((1-Teams!$G$13)*MAX(0,Teams!$G$72*$C$116-Teams!$G$12)+Teams!$G$13*MAX(0,Teams!$G$73*$C$116-Teams!$G$12)),IF(Teams!$G$62=1,AN120*$C$116,0))</f>
        <v>0</v>
      </c>
      <c r="AO122" s="44">
        <f>AO$5*IF(Teams!$G$61=1,AO119*((1-Teams!$G$13)*MAX(0,Teams!$G$72*$C$116-Teams!$G$12)+Teams!$G$13*MAX(0,Teams!$G$73*$C$116-Teams!$G$12)),IF(Teams!$G$62=1,AO120*$C$116,0))</f>
        <v>0</v>
      </c>
      <c r="AP122" s="44">
        <f>AP$5*IF(Teams!$G$61=1,AP119*((1-Teams!$G$13)*MAX(0,Teams!$G$72*$C$116-Teams!$G$12)+Teams!$G$13*MAX(0,Teams!$G$73*$C$116-Teams!$G$12)),IF(Teams!$G$62=1,AP120*$C$116,0))</f>
        <v>0</v>
      </c>
      <c r="AQ122" s="44">
        <f>AQ$5*IF(Teams!$G$61=1,AQ119*((1-Teams!$G$13)*MAX(0,Teams!$G$72*$C$116-Teams!$G$12)+Teams!$G$13*MAX(0,Teams!$G$73*$C$116-Teams!$G$12)),IF(Teams!$G$62=1,AQ120*$C$116,0))</f>
        <v>0</v>
      </c>
      <c r="AR122" s="44">
        <f>AR$5*IF(Teams!$G$61=1,AR119*((1-Teams!$G$13)*MAX(0,Teams!$G$72*$C$116-Teams!$G$12)+Teams!$G$13*MAX(0,Teams!$G$73*$C$116-Teams!$G$12)),IF(Teams!$G$62=1,AR120*$C$116,0))</f>
        <v>0</v>
      </c>
      <c r="AS122" s="44">
        <f>AS$5*IF(Teams!$G$61=1,AS119*((1-Teams!$G$13)*MAX(0,Teams!$G$72*$C$116-Teams!$G$12)+Teams!$G$13*MAX(0,Teams!$G$73*$C$116-Teams!$G$12)),IF(Teams!$G$62=1,AS120*$C$116,0))</f>
        <v>0</v>
      </c>
      <c r="AT122" s="44">
        <f>AT$5*IF(Teams!$G$61=1,AT119*((1-Teams!$G$13)*MAX(0,Teams!$G$72*$C$116-Teams!$G$12)+Teams!$G$13*MAX(0,Teams!$G$73*$C$116-Teams!$G$12)),IF(Teams!$G$62=1,AT120*$C$116,0))</f>
        <v>0</v>
      </c>
      <c r="AU122" s="44">
        <f>AU$5*IF(Teams!$G$61=1,AU119*((1-Teams!$G$13)*MAX(0,Teams!$G$72*$C$116-Teams!$G$12)+Teams!$G$13*MAX(0,Teams!$G$73*$C$116-Teams!$G$12)),IF(Teams!$G$62=1,AU120*$C$116,0))</f>
        <v>0</v>
      </c>
      <c r="AV122" s="44">
        <f>AV$5*IF(Teams!$G$61=1,AV119*((1-Teams!$G$13)*MAX(0,Teams!$G$72*$C$116-Teams!$G$12)+Teams!$G$13*MAX(0,Teams!$G$73*$C$116-Teams!$G$12)),IF(Teams!$G$62=1,AV120*$C$116,0))</f>
        <v>0</v>
      </c>
      <c r="AW122" s="44">
        <f>AW$5*IF(Teams!$G$61=1,AW119*((1-Teams!$G$13)*MAX(0,Teams!$G$72*$C$116-Teams!$G$12)+Teams!$G$13*MAX(0,Teams!$G$73*$C$116-Teams!$G$12)),IF(Teams!$G$62=1,AW120*$C$116,0))</f>
        <v>0</v>
      </c>
      <c r="AX122" s="44">
        <f>AX$5*IF(Teams!$G$61=1,AX119*((1-Teams!$G$13)*MAX(0,Teams!$G$72*$C$116-Teams!$G$12)+Teams!$G$13*MAX(0,Teams!$G$73*$C$116-Teams!$G$12)),IF(Teams!$G$62=1,AX120*$C$116,0))</f>
        <v>0</v>
      </c>
      <c r="AY122" s="44">
        <f>AY$5*IF(Teams!$G$61=1,AY119*((1-Teams!$G$13)*MAX(0,Teams!$G$72*$C$116-Teams!$G$12)+Teams!$G$13*MAX(0,Teams!$G$73*$C$116-Teams!$G$12)),IF(Teams!$G$62=1,AY120*$C$116,0))</f>
        <v>0</v>
      </c>
      <c r="AZ122" s="44">
        <f>AZ$5*IF(Teams!$G$61=1,AZ119*((1-Teams!$G$13)*MAX(0,Teams!$G$72*$C$116-Teams!$G$12)+Teams!$G$13*MAX(0,Teams!$G$73*$C$116-Teams!$G$12)),IF(Teams!$G$62=1,AZ120*$C$116,0))</f>
        <v>0</v>
      </c>
      <c r="BA122" s="44">
        <f>BA$5*IF(Teams!$G$61=1,BA119*((1-Teams!$G$13)*MAX(0,Teams!$G$72*$C$116-Teams!$G$12)+Teams!$G$13*MAX(0,Teams!$G$73*$C$116-Teams!$G$12)),IF(Teams!$G$62=1,BA120*$C$116,0))</f>
        <v>0</v>
      </c>
      <c r="BB122" s="44">
        <f>BB$5*IF(Teams!$G$61=1,BB119*((1-Teams!$G$13)*MAX(0,Teams!$G$72*$C$116-Teams!$G$12)+Teams!$G$13*MAX(0,Teams!$G$73*$C$116-Teams!$G$12)),IF(Teams!$G$62=1,BB120*$C$116,0))</f>
        <v>0</v>
      </c>
      <c r="BC122" s="44">
        <f>BC$5*IF(Teams!$G$61=1,BC119*((1-Teams!$G$13)*MAX(0,Teams!$G$72*$C$116-Teams!$G$12)+Teams!$G$13*MAX(0,Teams!$G$73*$C$116-Teams!$G$12)),IF(Teams!$G$62=1,BC120*$C$116,0))</f>
        <v>0</v>
      </c>
      <c r="BD122" s="44">
        <f>BD$5*IF(Teams!$G$61=1,BD119*((1-Teams!$G$13)*MAX(0,Teams!$G$72*$C$116-Teams!$G$12)+Teams!$G$13*MAX(0,Teams!$G$73*$C$116-Teams!$G$12)),IF(Teams!$G$62=1,BD120*$C$116,0))</f>
        <v>0</v>
      </c>
      <c r="BE122" s="44">
        <f>BE$5*IF(Teams!$G$61=1,BE119*((1-Teams!$G$13)*MAX(0,Teams!$G$72*$C$116-Teams!$G$12)+Teams!$G$13*MAX(0,Teams!$G$73*$C$116-Teams!$G$12)),IF(Teams!$G$62=1,BE120*$C$116,0))</f>
        <v>0</v>
      </c>
      <c r="BF122" s="44">
        <f>BF$5*IF(Teams!$G$61=1,BF119*((1-Teams!$G$13)*MAX(0,Teams!$G$72*$C$116-Teams!$G$12)+Teams!$G$13*MAX(0,Teams!$G$73*$C$116-Teams!$G$12)),IF(Teams!$G$62=1,BF120*$C$116,0))</f>
        <v>0</v>
      </c>
      <c r="BG122" s="44">
        <f>BG$5*IF(Teams!$G$61=1,BG119*((1-Teams!$G$13)*MAX(0,Teams!$G$72*$C$116-Teams!$G$12)+Teams!$G$13*MAX(0,Teams!$G$73*$C$116-Teams!$G$12)),IF(Teams!$G$62=1,BG120*$C$116,0))</f>
        <v>0</v>
      </c>
      <c r="BH122" s="44">
        <f>BH$5*IF(Teams!$G$61=1,BH119*((1-Teams!$G$13)*MAX(0,Teams!$G$72*$C$116-Teams!$G$12)+Teams!$G$13*MAX(0,Teams!$G$73*$C$116-Teams!$G$12)),IF(Teams!$G$62=1,BH120*$C$116,0))</f>
        <v>0</v>
      </c>
      <c r="BI122" s="44">
        <f>BI$5*IF(Teams!$G$61=1,BI119*((1-Teams!$G$13)*MAX(0,Teams!$G$72*$C$116-Teams!$G$12)+Teams!$G$13*MAX(0,Teams!$G$73*$C$116-Teams!$G$12)),IF(Teams!$G$62=1,BI120*$C$116,0))</f>
        <v>0</v>
      </c>
      <c r="BJ122" s="44">
        <f>BJ$5*IF(Teams!$G$61=1,BJ119*((1-Teams!$G$13)*MAX(0,Teams!$G$72*$C$116-Teams!$G$12)+Teams!$G$13*MAX(0,Teams!$G$73*$C$116-Teams!$G$12)),IF(Teams!$G$62=1,BJ120*$C$116,0))</f>
        <v>0</v>
      </c>
      <c r="BK122" s="44">
        <f>BK$5*IF(Teams!$G$61=1,BK119*((1-Teams!$G$13)*MAX(0,Teams!$G$72*$C$116-Teams!$G$12)+Teams!$G$13*MAX(0,Teams!$G$73*$C$116-Teams!$G$12)),IF(Teams!$G$62=1,BK120*$C$116,0))</f>
        <v>0</v>
      </c>
      <c r="BL122" s="44">
        <f>BL$5*IF(Teams!$G$61=1,BL119*((1-Teams!$G$13)*MAX(0,Teams!$G$72*$C$116-Teams!$G$12)+Teams!$G$13*MAX(0,Teams!$G$73*$C$116-Teams!$G$12)),IF(Teams!$G$62=1,BL120*$C$116,0))</f>
        <v>0</v>
      </c>
    </row>
    <row r="123" spans="1:64" x14ac:dyDescent="0.3">
      <c r="A123" s="8" t="s">
        <v>667</v>
      </c>
      <c r="B123" s="18" t="s">
        <v>435</v>
      </c>
      <c r="C123" s="44">
        <f t="shared" si="38"/>
        <v>0</v>
      </c>
      <c r="E123" s="44">
        <f>E$5*Teams!$G$63*E120*Teams!$G$67</f>
        <v>0</v>
      </c>
      <c r="F123" s="44">
        <f>F$5*Teams!$G$63*F120*Teams!$G$67</f>
        <v>0</v>
      </c>
      <c r="G123" s="44">
        <f>G$5*Teams!$G$63*G120*Teams!$G$67</f>
        <v>0</v>
      </c>
      <c r="H123" s="44">
        <f>H$5*Teams!$G$63*H120*Teams!$G$67</f>
        <v>0</v>
      </c>
      <c r="I123" s="44">
        <f>I$5*Teams!$G$63*I120*Teams!$G$67</f>
        <v>0</v>
      </c>
      <c r="J123" s="44">
        <f>J$5*Teams!$G$63*J120*Teams!$G$67</f>
        <v>0</v>
      </c>
      <c r="K123" s="44">
        <f>K$5*Teams!$G$63*K120*Teams!$G$67</f>
        <v>0</v>
      </c>
      <c r="L123" s="44">
        <f>L$5*Teams!$G$63*L120*Teams!$G$67</f>
        <v>0</v>
      </c>
      <c r="M123" s="44">
        <f>M$5*Teams!$G$63*M120*Teams!$G$67</f>
        <v>0</v>
      </c>
      <c r="N123" s="44">
        <f>N$5*Teams!$G$63*N120*Teams!$G$67</f>
        <v>0</v>
      </c>
      <c r="O123" s="44">
        <f>O$5*Teams!$G$63*O120*Teams!$G$67</f>
        <v>0</v>
      </c>
      <c r="P123" s="44">
        <f>P$5*Teams!$G$63*P120*Teams!$G$67</f>
        <v>0</v>
      </c>
      <c r="Q123" s="44">
        <f>Q$5*Teams!$G$63*Q120*Teams!$G$67</f>
        <v>0</v>
      </c>
      <c r="R123" s="44">
        <f>R$5*Teams!$G$63*R120*Teams!$G$67</f>
        <v>0</v>
      </c>
      <c r="S123" s="44">
        <f>S$5*Teams!$G$63*S120*Teams!$G$67</f>
        <v>0</v>
      </c>
      <c r="T123" s="44">
        <f>T$5*Teams!$G$63*T120*Teams!$G$67</f>
        <v>0</v>
      </c>
      <c r="U123" s="44">
        <f>U$5*Teams!$G$63*U120*Teams!$G$67</f>
        <v>0</v>
      </c>
      <c r="V123" s="44">
        <f>V$5*Teams!$G$63*V120*Teams!$G$67</f>
        <v>0</v>
      </c>
      <c r="W123" s="44">
        <f>W$5*Teams!$G$63*W120*Teams!$G$67</f>
        <v>0</v>
      </c>
      <c r="X123" s="44">
        <f>X$5*Teams!$G$63*X120*Teams!$G$67</f>
        <v>0</v>
      </c>
      <c r="Y123" s="44">
        <f>Y$5*Teams!$G$63*Y120*Teams!$G$67</f>
        <v>0</v>
      </c>
      <c r="Z123" s="44">
        <f>Z$5*Teams!$G$63*Z120*Teams!$G$67</f>
        <v>0</v>
      </c>
      <c r="AA123" s="44">
        <f>AA$5*Teams!$G$63*AA120*Teams!$G$67</f>
        <v>0</v>
      </c>
      <c r="AB123" s="44">
        <f>AB$5*Teams!$G$63*AB120*Teams!$G$67</f>
        <v>0</v>
      </c>
      <c r="AC123" s="44">
        <f>AC$5*Teams!$G$63*AC120*Teams!$G$67</f>
        <v>0</v>
      </c>
      <c r="AD123" s="44">
        <f>AD$5*Teams!$G$63*AD120*Teams!$G$67</f>
        <v>0</v>
      </c>
      <c r="AE123" s="44">
        <f>AE$5*Teams!$G$63*AE120*Teams!$G$67</f>
        <v>0</v>
      </c>
      <c r="AF123" s="44">
        <f>AF$5*Teams!$G$63*AF120*Teams!$G$67</f>
        <v>0</v>
      </c>
      <c r="AG123" s="44">
        <f>AG$5*Teams!$G$63*AG120*Teams!$G$67</f>
        <v>0</v>
      </c>
      <c r="AH123" s="44">
        <f>AH$5*Teams!$G$63*AH120*Teams!$G$67</f>
        <v>0</v>
      </c>
      <c r="AI123" s="44">
        <f>AI$5*Teams!$G$63*AI120*Teams!$G$67</f>
        <v>0</v>
      </c>
      <c r="AJ123" s="44">
        <f>AJ$5*Teams!$G$63*AJ120*Teams!$G$67</f>
        <v>0</v>
      </c>
      <c r="AK123" s="44">
        <f>AK$5*Teams!$G$63*AK120*Teams!$G$67</f>
        <v>0</v>
      </c>
      <c r="AL123" s="44">
        <f>AL$5*Teams!$G$63*AL120*Teams!$G$67</f>
        <v>0</v>
      </c>
      <c r="AM123" s="44">
        <f>AM$5*Teams!$G$63*AM120*Teams!$G$67</f>
        <v>0</v>
      </c>
      <c r="AN123" s="44">
        <f>AN$5*Teams!$G$63*AN120*Teams!$G$67</f>
        <v>0</v>
      </c>
      <c r="AO123" s="44">
        <f>AO$5*Teams!$G$63*AO120*Teams!$G$67</f>
        <v>0</v>
      </c>
      <c r="AP123" s="44">
        <f>AP$5*Teams!$G$63*AP120*Teams!$G$67</f>
        <v>0</v>
      </c>
      <c r="AQ123" s="44">
        <f>AQ$5*Teams!$G$63*AQ120*Teams!$G$67</f>
        <v>0</v>
      </c>
      <c r="AR123" s="44">
        <f>AR$5*Teams!$G$63*AR120*Teams!$G$67</f>
        <v>0</v>
      </c>
      <c r="AS123" s="44">
        <f>AS$5*Teams!$G$63*AS120*Teams!$G$67</f>
        <v>0</v>
      </c>
      <c r="AT123" s="44">
        <f>AT$5*Teams!$G$63*AT120*Teams!$G$67</f>
        <v>0</v>
      </c>
      <c r="AU123" s="44">
        <f>AU$5*Teams!$G$63*AU120*Teams!$G$67</f>
        <v>0</v>
      </c>
      <c r="AV123" s="44">
        <f>AV$5*Teams!$G$63*AV120*Teams!$G$67</f>
        <v>0</v>
      </c>
      <c r="AW123" s="44">
        <f>AW$5*Teams!$G$63*AW120*Teams!$G$67</f>
        <v>0</v>
      </c>
      <c r="AX123" s="44">
        <f>AX$5*Teams!$G$63*AX120*Teams!$G$67</f>
        <v>0</v>
      </c>
      <c r="AY123" s="44">
        <f>AY$5*Teams!$G$63*AY120*Teams!$G$67</f>
        <v>0</v>
      </c>
      <c r="AZ123" s="44">
        <f>AZ$5*Teams!$G$63*AZ120*Teams!$G$67</f>
        <v>0</v>
      </c>
      <c r="BA123" s="44">
        <f>BA$5*Teams!$G$63*BA120*Teams!$G$67</f>
        <v>0</v>
      </c>
      <c r="BB123" s="44">
        <f>BB$5*Teams!$G$63*BB120*Teams!$G$67</f>
        <v>0</v>
      </c>
      <c r="BC123" s="44">
        <f>BC$5*Teams!$G$63*BC120*Teams!$G$67</f>
        <v>0</v>
      </c>
      <c r="BD123" s="44">
        <f>BD$5*Teams!$G$63*BD120*Teams!$G$67</f>
        <v>0</v>
      </c>
      <c r="BE123" s="44">
        <f>BE$5*Teams!$G$63*BE120*Teams!$G$67</f>
        <v>0</v>
      </c>
      <c r="BF123" s="44">
        <f>BF$5*Teams!$G$63*BF120*Teams!$G$67</f>
        <v>0</v>
      </c>
      <c r="BG123" s="44">
        <f>BG$5*Teams!$G$63*BG120*Teams!$G$67</f>
        <v>0</v>
      </c>
      <c r="BH123" s="44">
        <f>BH$5*Teams!$G$63*BH120*Teams!$G$67</f>
        <v>0</v>
      </c>
      <c r="BI123" s="44">
        <f>BI$5*Teams!$G$63*BI120*Teams!$G$67</f>
        <v>0</v>
      </c>
      <c r="BJ123" s="44">
        <f>BJ$5*Teams!$G$63*BJ120*Teams!$G$67</f>
        <v>0</v>
      </c>
      <c r="BK123" s="44">
        <f>BK$5*Teams!$G$63*BK120*Teams!$G$67</f>
        <v>0</v>
      </c>
      <c r="BL123" s="44">
        <f>BL$5*Teams!$G$63*BL120*Teams!$G$67</f>
        <v>0</v>
      </c>
    </row>
    <row r="124" spans="1:64" x14ac:dyDescent="0.3">
      <c r="A124" s="8" t="s">
        <v>668</v>
      </c>
      <c r="B124" s="18" t="s">
        <v>435</v>
      </c>
      <c r="C124" s="44">
        <f t="shared" si="38"/>
        <v>0</v>
      </c>
      <c r="E124" s="44">
        <f>E$5*Teams!$G$65*E120*Teams!$G$74</f>
        <v>0</v>
      </c>
      <c r="F124" s="44">
        <f>F$5*Teams!$G$65*F120*Teams!$G$74</f>
        <v>0</v>
      </c>
      <c r="G124" s="44">
        <f>G$5*Teams!$G$65*G120*Teams!$G$74</f>
        <v>0</v>
      </c>
      <c r="H124" s="44">
        <f>H$5*Teams!$G$65*H120*Teams!$G$74</f>
        <v>0</v>
      </c>
      <c r="I124" s="44">
        <f>I$5*Teams!$G$65*I120*Teams!$G$74</f>
        <v>0</v>
      </c>
      <c r="J124" s="44">
        <f>J$5*Teams!$G$65*J120*Teams!$G$74</f>
        <v>0</v>
      </c>
      <c r="K124" s="44">
        <f>K$5*Teams!$G$65*K120*Teams!$G$74</f>
        <v>0</v>
      </c>
      <c r="L124" s="44">
        <f>L$5*Teams!$G$65*L120*Teams!$G$74</f>
        <v>0</v>
      </c>
      <c r="M124" s="44">
        <f>M$5*Teams!$G$65*M120*Teams!$G$74</f>
        <v>0</v>
      </c>
      <c r="N124" s="44">
        <f>N$5*Teams!$G$65*N120*Teams!$G$74</f>
        <v>0</v>
      </c>
      <c r="O124" s="44">
        <f>O$5*Teams!$G$65*O120*Teams!$G$74</f>
        <v>0</v>
      </c>
      <c r="P124" s="44">
        <f>P$5*Teams!$G$65*P120*Teams!$G$74</f>
        <v>0</v>
      </c>
      <c r="Q124" s="44">
        <f>Q$5*Teams!$G$65*Q120*Teams!$G$74</f>
        <v>0</v>
      </c>
      <c r="R124" s="44">
        <f>R$5*Teams!$G$65*R120*Teams!$G$74</f>
        <v>0</v>
      </c>
      <c r="S124" s="44">
        <f>S$5*Teams!$G$65*S120*Teams!$G$74</f>
        <v>0</v>
      </c>
      <c r="T124" s="44">
        <f>T$5*Teams!$G$65*T120*Teams!$G$74</f>
        <v>0</v>
      </c>
      <c r="U124" s="44">
        <f>U$5*Teams!$G$65*U120*Teams!$G$74</f>
        <v>0</v>
      </c>
      <c r="V124" s="44">
        <f>V$5*Teams!$G$65*V120*Teams!$G$74</f>
        <v>0</v>
      </c>
      <c r="W124" s="44">
        <f>W$5*Teams!$G$65*W120*Teams!$G$74</f>
        <v>0</v>
      </c>
      <c r="X124" s="44">
        <f>X$5*Teams!$G$65*X120*Teams!$G$74</f>
        <v>0</v>
      </c>
      <c r="Y124" s="44">
        <f>Y$5*Teams!$G$65*Y120*Teams!$G$74</f>
        <v>0</v>
      </c>
      <c r="Z124" s="44">
        <f>Z$5*Teams!$G$65*Z120*Teams!$G$74</f>
        <v>0</v>
      </c>
      <c r="AA124" s="44">
        <f>AA$5*Teams!$G$65*AA120*Teams!$G$74</f>
        <v>0</v>
      </c>
      <c r="AB124" s="44">
        <f>AB$5*Teams!$G$65*AB120*Teams!$G$74</f>
        <v>0</v>
      </c>
      <c r="AC124" s="44">
        <f>AC$5*Teams!$G$65*AC120*Teams!$G$74</f>
        <v>0</v>
      </c>
      <c r="AD124" s="44">
        <f>AD$5*Teams!$G$65*AD120*Teams!$G$74</f>
        <v>0</v>
      </c>
      <c r="AE124" s="44">
        <f>AE$5*Teams!$G$65*AE120*Teams!$G$74</f>
        <v>0</v>
      </c>
      <c r="AF124" s="44">
        <f>AF$5*Teams!$G$65*AF120*Teams!$G$74</f>
        <v>0</v>
      </c>
      <c r="AG124" s="44">
        <f>AG$5*Teams!$G$65*AG120*Teams!$G$74</f>
        <v>0</v>
      </c>
      <c r="AH124" s="44">
        <f>AH$5*Teams!$G$65*AH120*Teams!$G$74</f>
        <v>0</v>
      </c>
      <c r="AI124" s="44">
        <f>AI$5*Teams!$G$65*AI120*Teams!$G$74</f>
        <v>0</v>
      </c>
      <c r="AJ124" s="44">
        <f>AJ$5*Teams!$G$65*AJ120*Teams!$G$74</f>
        <v>0</v>
      </c>
      <c r="AK124" s="44">
        <f>AK$5*Teams!$G$65*AK120*Teams!$G$74</f>
        <v>0</v>
      </c>
      <c r="AL124" s="44">
        <f>AL$5*Teams!$G$65*AL120*Teams!$G$74</f>
        <v>0</v>
      </c>
      <c r="AM124" s="44">
        <f>AM$5*Teams!$G$65*AM120*Teams!$G$74</f>
        <v>0</v>
      </c>
      <c r="AN124" s="44">
        <f>AN$5*Teams!$G$65*AN120*Teams!$G$74</f>
        <v>0</v>
      </c>
      <c r="AO124" s="44">
        <f>AO$5*Teams!$G$65*AO120*Teams!$G$74</f>
        <v>0</v>
      </c>
      <c r="AP124" s="44">
        <f>AP$5*Teams!$G$65*AP120*Teams!$G$74</f>
        <v>0</v>
      </c>
      <c r="AQ124" s="44">
        <f>AQ$5*Teams!$G$65*AQ120*Teams!$G$74</f>
        <v>0</v>
      </c>
      <c r="AR124" s="44">
        <f>AR$5*Teams!$G$65*AR120*Teams!$G$74</f>
        <v>0</v>
      </c>
      <c r="AS124" s="44">
        <f>AS$5*Teams!$G$65*AS120*Teams!$G$74</f>
        <v>0</v>
      </c>
      <c r="AT124" s="44">
        <f>AT$5*Teams!$G$65*AT120*Teams!$G$74</f>
        <v>0</v>
      </c>
      <c r="AU124" s="44">
        <f>AU$5*Teams!$G$65*AU120*Teams!$G$74</f>
        <v>0</v>
      </c>
      <c r="AV124" s="44">
        <f>AV$5*Teams!$G$65*AV120*Teams!$G$74</f>
        <v>0</v>
      </c>
      <c r="AW124" s="44">
        <f>AW$5*Teams!$G$65*AW120*Teams!$G$74</f>
        <v>0</v>
      </c>
      <c r="AX124" s="44">
        <f>AX$5*Teams!$G$65*AX120*Teams!$G$74</f>
        <v>0</v>
      </c>
      <c r="AY124" s="44">
        <f>AY$5*Teams!$G$65*AY120*Teams!$G$74</f>
        <v>0</v>
      </c>
      <c r="AZ124" s="44">
        <f>AZ$5*Teams!$G$65*AZ120*Teams!$G$74</f>
        <v>0</v>
      </c>
      <c r="BA124" s="44">
        <f>BA$5*Teams!$G$65*BA120*Teams!$G$74</f>
        <v>0</v>
      </c>
      <c r="BB124" s="44">
        <f>BB$5*Teams!$G$65*BB120*Teams!$G$74</f>
        <v>0</v>
      </c>
      <c r="BC124" s="44">
        <f>BC$5*Teams!$G$65*BC120*Teams!$G$74</f>
        <v>0</v>
      </c>
      <c r="BD124" s="44">
        <f>BD$5*Teams!$G$65*BD120*Teams!$G$74</f>
        <v>0</v>
      </c>
      <c r="BE124" s="44">
        <f>BE$5*Teams!$G$65*BE120*Teams!$G$74</f>
        <v>0</v>
      </c>
      <c r="BF124" s="44">
        <f>BF$5*Teams!$G$65*BF120*Teams!$G$74</f>
        <v>0</v>
      </c>
      <c r="BG124" s="44">
        <f>BG$5*Teams!$G$65*BG120*Teams!$G$74</f>
        <v>0</v>
      </c>
      <c r="BH124" s="44">
        <f>BH$5*Teams!$G$65*BH120*Teams!$G$74</f>
        <v>0</v>
      </c>
      <c r="BI124" s="44">
        <f>BI$5*Teams!$G$65*BI120*Teams!$G$74</f>
        <v>0</v>
      </c>
      <c r="BJ124" s="44">
        <f>BJ$5*Teams!$G$65*BJ120*Teams!$G$74</f>
        <v>0</v>
      </c>
      <c r="BK124" s="44">
        <f>BK$5*Teams!$G$65*BK120*Teams!$G$74</f>
        <v>0</v>
      </c>
      <c r="BL124" s="44">
        <f>BL$5*Teams!$G$65*BL120*Teams!$G$74</f>
        <v>0</v>
      </c>
    </row>
    <row r="125" spans="1:64" x14ac:dyDescent="0.3">
      <c r="A125" s="8" t="s">
        <v>669</v>
      </c>
      <c r="B125" s="18" t="s">
        <v>505</v>
      </c>
      <c r="C125" s="44">
        <f t="shared" si="38"/>
        <v>0</v>
      </c>
      <c r="E125" s="44">
        <f>E$5*Teams!$G$64*Teams!$G$16*IF(E$4&gt;=Teams!$G$80,1,0)</f>
        <v>0</v>
      </c>
      <c r="F125" s="44">
        <f>F$5*Teams!$G$64*Teams!$G$16*IF(F$4&gt;=Teams!$G$80,1,0)</f>
        <v>0</v>
      </c>
      <c r="G125" s="44">
        <f>G$5*Teams!$G$64*Teams!$G$16*IF(G$4&gt;=Teams!$G$80,1,0)</f>
        <v>0</v>
      </c>
      <c r="H125" s="44">
        <f>H$5*Teams!$G$64*Teams!$G$16*IF(H$4&gt;=Teams!$G$80,1,0)</f>
        <v>0</v>
      </c>
      <c r="I125" s="44">
        <f>I$5*Teams!$G$64*Teams!$G$16*IF(I$4&gt;=Teams!$G$80,1,0)</f>
        <v>0</v>
      </c>
      <c r="J125" s="44">
        <f>J$5*Teams!$G$64*Teams!$G$16*IF(J$4&gt;=Teams!$G$80,1,0)</f>
        <v>0</v>
      </c>
      <c r="K125" s="44">
        <f>K$5*Teams!$G$64*Teams!$G$16*IF(K$4&gt;=Teams!$G$80,1,0)</f>
        <v>0</v>
      </c>
      <c r="L125" s="44">
        <f>L$5*Teams!$G$64*Teams!$G$16*IF(L$4&gt;=Teams!$G$80,1,0)</f>
        <v>0</v>
      </c>
      <c r="M125" s="44">
        <f>M$5*Teams!$G$64*Teams!$G$16*IF(M$4&gt;=Teams!$G$80,1,0)</f>
        <v>0</v>
      </c>
      <c r="N125" s="44">
        <f>N$5*Teams!$G$64*Teams!$G$16*IF(N$4&gt;=Teams!$G$80,1,0)</f>
        <v>0</v>
      </c>
      <c r="O125" s="44">
        <f>O$5*Teams!$G$64*Teams!$G$16*IF(O$4&gt;=Teams!$G$80,1,0)</f>
        <v>0</v>
      </c>
      <c r="P125" s="44">
        <f>P$5*Teams!$G$64*Teams!$G$16*IF(P$4&gt;=Teams!$G$80,1,0)</f>
        <v>0</v>
      </c>
      <c r="Q125" s="44">
        <f>Q$5*Teams!$G$64*Teams!$G$16*IF(Q$4&gt;=Teams!$G$80,1,0)</f>
        <v>0</v>
      </c>
      <c r="R125" s="44">
        <f>R$5*Teams!$G$64*Teams!$G$16*IF(R$4&gt;=Teams!$G$80,1,0)</f>
        <v>0</v>
      </c>
      <c r="S125" s="44">
        <f>S$5*Teams!$G$64*Teams!$G$16*IF(S$4&gt;=Teams!$G$80,1,0)</f>
        <v>0</v>
      </c>
      <c r="T125" s="44">
        <f>T$5*Teams!$G$64*Teams!$G$16*IF(T$4&gt;=Teams!$G$80,1,0)</f>
        <v>0</v>
      </c>
      <c r="U125" s="44">
        <f>U$5*Teams!$G$64*Teams!$G$16*IF(U$4&gt;=Teams!$G$80,1,0)</f>
        <v>0</v>
      </c>
      <c r="V125" s="44">
        <f>V$5*Teams!$G$64*Teams!$G$16*IF(V$4&gt;=Teams!$G$80,1,0)</f>
        <v>0</v>
      </c>
      <c r="W125" s="44">
        <f>W$5*Teams!$G$64*Teams!$G$16*IF(W$4&gt;=Teams!$G$80,1,0)</f>
        <v>0</v>
      </c>
      <c r="X125" s="44">
        <f>X$5*Teams!$G$64*Teams!$G$16*IF(X$4&gt;=Teams!$G$80,1,0)</f>
        <v>0</v>
      </c>
      <c r="Y125" s="44">
        <f>Y$5*Teams!$G$64*Teams!$G$16*IF(Y$4&gt;=Teams!$G$80,1,0)</f>
        <v>0</v>
      </c>
      <c r="Z125" s="44">
        <f>Z$5*Teams!$G$64*Teams!$G$16*IF(Z$4&gt;=Teams!$G$80,1,0)</f>
        <v>0</v>
      </c>
      <c r="AA125" s="44">
        <f>AA$5*Teams!$G$64*Teams!$G$16*IF(AA$4&gt;=Teams!$G$80,1,0)</f>
        <v>0</v>
      </c>
      <c r="AB125" s="44">
        <f>AB$5*Teams!$G$64*Teams!$G$16*IF(AB$4&gt;=Teams!$G$80,1,0)</f>
        <v>0</v>
      </c>
      <c r="AC125" s="44">
        <f>AC$5*Teams!$G$64*Teams!$G$16*IF(AC$4&gt;=Teams!$G$80,1,0)</f>
        <v>0</v>
      </c>
      <c r="AD125" s="44">
        <f>AD$5*Teams!$G$64*Teams!$G$16*IF(AD$4&gt;=Teams!$G$80,1,0)</f>
        <v>0</v>
      </c>
      <c r="AE125" s="44">
        <f>AE$5*Teams!$G$64*Teams!$G$16*IF(AE$4&gt;=Teams!$G$80,1,0)</f>
        <v>0</v>
      </c>
      <c r="AF125" s="44">
        <f>AF$5*Teams!$G$64*Teams!$G$16*IF(AF$4&gt;=Teams!$G$80,1,0)</f>
        <v>0</v>
      </c>
      <c r="AG125" s="44">
        <f>AG$5*Teams!$G$64*Teams!$G$16*IF(AG$4&gt;=Teams!$G$80,1,0)</f>
        <v>0</v>
      </c>
      <c r="AH125" s="44">
        <f>AH$5*Teams!$G$64*Teams!$G$16*IF(AH$4&gt;=Teams!$G$80,1,0)</f>
        <v>0</v>
      </c>
      <c r="AI125" s="44">
        <f>AI$5*Teams!$G$64*Teams!$G$16*IF(AI$4&gt;=Teams!$G$80,1,0)</f>
        <v>0</v>
      </c>
      <c r="AJ125" s="44">
        <f>AJ$5*Teams!$G$64*Teams!$G$16*IF(AJ$4&gt;=Teams!$G$80,1,0)</f>
        <v>0</v>
      </c>
      <c r="AK125" s="44">
        <f>AK$5*Teams!$G$64*Teams!$G$16*IF(AK$4&gt;=Teams!$G$80,1,0)</f>
        <v>0</v>
      </c>
      <c r="AL125" s="44">
        <f>AL$5*Teams!$G$64*Teams!$G$16*IF(AL$4&gt;=Teams!$G$80,1,0)</f>
        <v>0</v>
      </c>
      <c r="AM125" s="44">
        <f>AM$5*Teams!$G$64*Teams!$G$16*IF(AM$4&gt;=Teams!$G$80,1,0)</f>
        <v>0</v>
      </c>
      <c r="AN125" s="44">
        <f>AN$5*Teams!$G$64*Teams!$G$16*IF(AN$4&gt;=Teams!$G$80,1,0)</f>
        <v>0</v>
      </c>
      <c r="AO125" s="44">
        <f>AO$5*Teams!$G$64*Teams!$G$16*IF(AO$4&gt;=Teams!$G$80,1,0)</f>
        <v>0</v>
      </c>
      <c r="AP125" s="44">
        <f>AP$5*Teams!$G$64*Teams!$G$16*IF(AP$4&gt;=Teams!$G$80,1,0)</f>
        <v>0</v>
      </c>
      <c r="AQ125" s="44">
        <f>AQ$5*Teams!$G$64*Teams!$G$16*IF(AQ$4&gt;=Teams!$G$80,1,0)</f>
        <v>0</v>
      </c>
      <c r="AR125" s="44">
        <f>AR$5*Teams!$G$64*Teams!$G$16*IF(AR$4&gt;=Teams!$G$80,1,0)</f>
        <v>0</v>
      </c>
      <c r="AS125" s="44">
        <f>AS$5*Teams!$G$64*Teams!$G$16*IF(AS$4&gt;=Teams!$G$80,1,0)</f>
        <v>0</v>
      </c>
      <c r="AT125" s="44">
        <f>AT$5*Teams!$G$64*Teams!$G$16*IF(AT$4&gt;=Teams!$G$80,1,0)</f>
        <v>0</v>
      </c>
      <c r="AU125" s="44">
        <f>AU$5*Teams!$G$64*Teams!$G$16*IF(AU$4&gt;=Teams!$G$80,1,0)</f>
        <v>0</v>
      </c>
      <c r="AV125" s="44">
        <f>AV$5*Teams!$G$64*Teams!$G$16*IF(AV$4&gt;=Teams!$G$80,1,0)</f>
        <v>0</v>
      </c>
      <c r="AW125" s="44">
        <f>AW$5*Teams!$G$64*Teams!$G$16*IF(AW$4&gt;=Teams!$G$80,1,0)</f>
        <v>0</v>
      </c>
      <c r="AX125" s="44">
        <f>AX$5*Teams!$G$64*Teams!$G$16*IF(AX$4&gt;=Teams!$G$80,1,0)</f>
        <v>0</v>
      </c>
      <c r="AY125" s="44">
        <f>AY$5*Teams!$G$64*Teams!$G$16*IF(AY$4&gt;=Teams!$G$80,1,0)</f>
        <v>0</v>
      </c>
      <c r="AZ125" s="44">
        <f>AZ$5*Teams!$G$64*Teams!$G$16*IF(AZ$4&gt;=Teams!$G$80,1,0)</f>
        <v>0</v>
      </c>
      <c r="BA125" s="44">
        <f>BA$5*Teams!$G$64*Teams!$G$16*IF(BA$4&gt;=Teams!$G$80,1,0)</f>
        <v>0</v>
      </c>
      <c r="BB125" s="44">
        <f>BB$5*Teams!$G$64*Teams!$G$16*IF(BB$4&gt;=Teams!$G$80,1,0)</f>
        <v>0</v>
      </c>
      <c r="BC125" s="44">
        <f>BC$5*Teams!$G$64*Teams!$G$16*IF(BC$4&gt;=Teams!$G$80,1,0)</f>
        <v>0</v>
      </c>
      <c r="BD125" s="44">
        <f>BD$5*Teams!$G$64*Teams!$G$16*IF(BD$4&gt;=Teams!$G$80,1,0)</f>
        <v>0</v>
      </c>
      <c r="BE125" s="44">
        <f>BE$5*Teams!$G$64*Teams!$G$16*IF(BE$4&gt;=Teams!$G$80,1,0)</f>
        <v>0</v>
      </c>
      <c r="BF125" s="44">
        <f>BF$5*Teams!$G$64*Teams!$G$16*IF(BF$4&gt;=Teams!$G$80,1,0)</f>
        <v>0</v>
      </c>
      <c r="BG125" s="44">
        <f>BG$5*Teams!$G$64*Teams!$G$16*IF(BG$4&gt;=Teams!$G$80,1,0)</f>
        <v>0</v>
      </c>
      <c r="BH125" s="44">
        <f>BH$5*Teams!$G$64*Teams!$G$16*IF(BH$4&gt;=Teams!$G$80,1,0)</f>
        <v>0</v>
      </c>
      <c r="BI125" s="44">
        <f>BI$5*Teams!$G$64*Teams!$G$16*IF(BI$4&gt;=Teams!$G$80,1,0)</f>
        <v>0</v>
      </c>
      <c r="BJ125" s="44">
        <f>BJ$5*Teams!$G$64*Teams!$G$16*IF(BJ$4&gt;=Teams!$G$80,1,0)</f>
        <v>0</v>
      </c>
      <c r="BK125" s="44">
        <f>BK$5*Teams!$G$64*Teams!$G$16*IF(BK$4&gt;=Teams!$G$80,1,0)</f>
        <v>0</v>
      </c>
      <c r="BL125" s="44">
        <f>BL$5*Teams!$G$64*Teams!$G$16*IF(BL$4&gt;=Teams!$G$80,1,0)</f>
        <v>0</v>
      </c>
    </row>
    <row r="126" spans="1:64" x14ac:dyDescent="0.3">
      <c r="A126" s="8" t="s">
        <v>670</v>
      </c>
      <c r="B126" s="18" t="s">
        <v>435</v>
      </c>
      <c r="C126" s="44">
        <f t="shared" si="38"/>
        <v>2024.3880000000008</v>
      </c>
      <c r="E126" s="44">
        <f>E$5*IF(AND(E$4&gt;=Teams!$G$80,Teams!$G$49=1),Teams!$G$44*Params!$D$10*Teams!$G$45*Teams!$G$75+Teams!$G$44*Params!$D$10*Teams!$G$47*Teams!$G$76/1000000+Teams!$G$77+Teams!$G$50*Teams!$G$78+E120*Teams!$G$51*Teams!$G$79/1000000,0)</f>
        <v>54.259666666666668</v>
      </c>
      <c r="F126" s="44">
        <f>F$5*IF(AND(F$4&gt;=Teams!$G$80,Teams!$G$49=1),Teams!$G$44*Params!$D$10*Teams!$G$45*Teams!$G$75+Teams!$G$44*Params!$D$10*Teams!$G$47*Teams!$G$76/1000000+Teams!$G$77+Teams!$G$50*Teams!$G$78+F120*Teams!$G$51*Teams!$G$79/1000000,0)</f>
        <v>54.68633333333333</v>
      </c>
      <c r="G126" s="44">
        <f>G$5*IF(AND(G$4&gt;=Teams!$G$80,Teams!$G$49=1),Teams!$G$44*Params!$D$10*Teams!$G$45*Teams!$G$75+Teams!$G$44*Params!$D$10*Teams!$G$47*Teams!$G$76/1000000+Teams!$G$77+Teams!$G$50*Teams!$G$78+G120*Teams!$G$51*Teams!$G$79/1000000,0)</f>
        <v>55.241</v>
      </c>
      <c r="H126" s="44">
        <f>H$5*IF(AND(H$4&gt;=Teams!$G$80,Teams!$G$49=1),Teams!$G$44*Params!$D$10*Teams!$G$45*Teams!$G$75+Teams!$G$44*Params!$D$10*Teams!$G$47*Teams!$G$76/1000000+Teams!$G$77+Teams!$G$50*Teams!$G$78+H120*Teams!$G$51*Teams!$G$79/1000000,0)</f>
        <v>55.795666666666662</v>
      </c>
      <c r="I126" s="44">
        <f>I$5*IF(AND(I$4&gt;=Teams!$G$80,Teams!$G$49=1),Teams!$G$44*Params!$D$10*Teams!$G$45*Teams!$G$75+Teams!$G$44*Params!$D$10*Teams!$G$47*Teams!$G$76/1000000+Teams!$G$77+Teams!$G$50*Teams!$G$78+I120*Teams!$G$51*Teams!$G$79/1000000,0)</f>
        <v>56.222333333333331</v>
      </c>
      <c r="J126" s="44">
        <f>J$5*IF(AND(J$4&gt;=Teams!$G$80,Teams!$G$49=1),Teams!$G$44*Params!$D$10*Teams!$G$45*Teams!$G$75+Teams!$G$44*Params!$D$10*Teams!$G$47*Teams!$G$76/1000000+Teams!$G$77+Teams!$G$50*Teams!$G$78+J120*Teams!$G$51*Teams!$G$79/1000000,0)</f>
        <v>56.393000000000001</v>
      </c>
      <c r="K126" s="44">
        <f>K$5*IF(AND(K$4&gt;=Teams!$G$80,Teams!$G$49=1),Teams!$G$44*Params!$D$10*Teams!$G$45*Teams!$G$75+Teams!$G$44*Params!$D$10*Teams!$G$47*Teams!$G$76/1000000+Teams!$G$77+Teams!$G$50*Teams!$G$78+K120*Teams!$G$51*Teams!$G$79/1000000,0)</f>
        <v>56.393000000000001</v>
      </c>
      <c r="L126" s="44">
        <f>L$5*IF(AND(L$4&gt;=Teams!$G$80,Teams!$G$49=1),Teams!$G$44*Params!$D$10*Teams!$G$45*Teams!$G$75+Teams!$G$44*Params!$D$10*Teams!$G$47*Teams!$G$76/1000000+Teams!$G$77+Teams!$G$50*Teams!$G$78+L120*Teams!$G$51*Teams!$G$79/1000000,0)</f>
        <v>56.393000000000001</v>
      </c>
      <c r="M126" s="44">
        <f>M$5*IF(AND(M$4&gt;=Teams!$G$80,Teams!$G$49=1),Teams!$G$44*Params!$D$10*Teams!$G$45*Teams!$G$75+Teams!$G$44*Params!$D$10*Teams!$G$47*Teams!$G$76/1000000+Teams!$G$77+Teams!$G$50*Teams!$G$78+M120*Teams!$G$51*Teams!$G$79/1000000,0)</f>
        <v>56.393000000000001</v>
      </c>
      <c r="N126" s="44">
        <f>N$5*IF(AND(N$4&gt;=Teams!$G$80,Teams!$G$49=1),Teams!$G$44*Params!$D$10*Teams!$G$45*Teams!$G$75+Teams!$G$44*Params!$D$10*Teams!$G$47*Teams!$G$76/1000000+Teams!$G$77+Teams!$G$50*Teams!$G$78+N120*Teams!$G$51*Teams!$G$79/1000000,0)</f>
        <v>56.393000000000001</v>
      </c>
      <c r="O126" s="44">
        <f>O$5*IF(AND(O$4&gt;=Teams!$G$80,Teams!$G$49=1),Teams!$G$44*Params!$D$10*Teams!$G$45*Teams!$G$75+Teams!$G$44*Params!$D$10*Teams!$G$47*Teams!$G$76/1000000+Teams!$G$77+Teams!$G$50*Teams!$G$78+O120*Teams!$G$51*Teams!$G$79/1000000,0)</f>
        <v>56.393000000000001</v>
      </c>
      <c r="P126" s="44">
        <f>P$5*IF(AND(P$4&gt;=Teams!$G$80,Teams!$G$49=1),Teams!$G$44*Params!$D$10*Teams!$G$45*Teams!$G$75+Teams!$G$44*Params!$D$10*Teams!$G$47*Teams!$G$76/1000000+Teams!$G$77+Teams!$G$50*Teams!$G$78+P120*Teams!$G$51*Teams!$G$79/1000000,0)</f>
        <v>56.393000000000001</v>
      </c>
      <c r="Q126" s="44">
        <f>Q$5*IF(AND(Q$4&gt;=Teams!$G$80,Teams!$G$49=1),Teams!$G$44*Params!$D$10*Teams!$G$45*Teams!$G$75+Teams!$G$44*Params!$D$10*Teams!$G$47*Teams!$G$76/1000000+Teams!$G$77+Teams!$G$50*Teams!$G$78+Q120*Teams!$G$51*Teams!$G$79/1000000,0)</f>
        <v>56.393000000000001</v>
      </c>
      <c r="R126" s="44">
        <f>R$5*IF(AND(R$4&gt;=Teams!$G$80,Teams!$G$49=1),Teams!$G$44*Params!$D$10*Teams!$G$45*Teams!$G$75+Teams!$G$44*Params!$D$10*Teams!$G$47*Teams!$G$76/1000000+Teams!$G$77+Teams!$G$50*Teams!$G$78+R120*Teams!$G$51*Teams!$G$79/1000000,0)</f>
        <v>56.393000000000001</v>
      </c>
      <c r="S126" s="44">
        <f>S$5*IF(AND(S$4&gt;=Teams!$G$80,Teams!$G$49=1),Teams!$G$44*Params!$D$10*Teams!$G$45*Teams!$G$75+Teams!$G$44*Params!$D$10*Teams!$G$47*Teams!$G$76/1000000+Teams!$G$77+Teams!$G$50*Teams!$G$78+S120*Teams!$G$51*Teams!$G$79/1000000,0)</f>
        <v>56.393000000000001</v>
      </c>
      <c r="T126" s="44">
        <f>T$5*IF(AND(T$4&gt;=Teams!$G$80,Teams!$G$49=1),Teams!$G$44*Params!$D$10*Teams!$G$45*Teams!$G$75+Teams!$G$44*Params!$D$10*Teams!$G$47*Teams!$G$76/1000000+Teams!$G$77+Teams!$G$50*Teams!$G$78+T120*Teams!$G$51*Teams!$G$79/1000000,0)</f>
        <v>56.393000000000001</v>
      </c>
      <c r="U126" s="44">
        <f>U$5*IF(AND(U$4&gt;=Teams!$G$80,Teams!$G$49=1),Teams!$G$44*Params!$D$10*Teams!$G$45*Teams!$G$75+Teams!$G$44*Params!$D$10*Teams!$G$47*Teams!$G$76/1000000+Teams!$G$77+Teams!$G$50*Teams!$G$78+U120*Teams!$G$51*Teams!$G$79/1000000,0)</f>
        <v>56.393000000000001</v>
      </c>
      <c r="V126" s="44">
        <f>V$5*IF(AND(V$4&gt;=Teams!$G$80,Teams!$G$49=1),Teams!$G$44*Params!$D$10*Teams!$G$45*Teams!$G$75+Teams!$G$44*Params!$D$10*Teams!$G$47*Teams!$G$76/1000000+Teams!$G$77+Teams!$G$50*Teams!$G$78+V120*Teams!$G$51*Teams!$G$79/1000000,0)</f>
        <v>56.393000000000001</v>
      </c>
      <c r="W126" s="44">
        <f>W$5*IF(AND(W$4&gt;=Teams!$G$80,Teams!$G$49=1),Teams!$G$44*Params!$D$10*Teams!$G$45*Teams!$G$75+Teams!$G$44*Params!$D$10*Teams!$G$47*Teams!$G$76/1000000+Teams!$G$77+Teams!$G$50*Teams!$G$78+W120*Teams!$G$51*Teams!$G$79/1000000,0)</f>
        <v>56.393000000000001</v>
      </c>
      <c r="X126" s="44">
        <f>X$5*IF(AND(X$4&gt;=Teams!$G$80,Teams!$G$49=1),Teams!$G$44*Params!$D$10*Teams!$G$45*Teams!$G$75+Teams!$G$44*Params!$D$10*Teams!$G$47*Teams!$G$76/1000000+Teams!$G$77+Teams!$G$50*Teams!$G$78+X120*Teams!$G$51*Teams!$G$79/1000000,0)</f>
        <v>56.393000000000001</v>
      </c>
      <c r="Y126" s="44">
        <f>Y$5*IF(AND(Y$4&gt;=Teams!$G$80,Teams!$G$49=1),Teams!$G$44*Params!$D$10*Teams!$G$45*Teams!$G$75+Teams!$G$44*Params!$D$10*Teams!$G$47*Teams!$G$76/1000000+Teams!$G$77+Teams!$G$50*Teams!$G$78+Y120*Teams!$G$51*Teams!$G$79/1000000,0)</f>
        <v>56.393000000000001</v>
      </c>
      <c r="Z126" s="44">
        <f>Z$5*IF(AND(Z$4&gt;=Teams!$G$80,Teams!$G$49=1),Teams!$G$44*Params!$D$10*Teams!$G$45*Teams!$G$75+Teams!$G$44*Params!$D$10*Teams!$G$47*Teams!$G$76/1000000+Teams!$G$77+Teams!$G$50*Teams!$G$78+Z120*Teams!$G$51*Teams!$G$79/1000000,0)</f>
        <v>56.393000000000001</v>
      </c>
      <c r="AA126" s="44">
        <f>AA$5*IF(AND(AA$4&gt;=Teams!$G$80,Teams!$G$49=1),Teams!$G$44*Params!$D$10*Teams!$G$45*Teams!$G$75+Teams!$G$44*Params!$D$10*Teams!$G$47*Teams!$G$76/1000000+Teams!$G$77+Teams!$G$50*Teams!$G$78+AA120*Teams!$G$51*Teams!$G$79/1000000,0)</f>
        <v>56.393000000000001</v>
      </c>
      <c r="AB126" s="44">
        <f>AB$5*IF(AND(AB$4&gt;=Teams!$G$80,Teams!$G$49=1),Teams!$G$44*Params!$D$10*Teams!$G$45*Teams!$G$75+Teams!$G$44*Params!$D$10*Teams!$G$47*Teams!$G$76/1000000+Teams!$G$77+Teams!$G$50*Teams!$G$78+AB120*Teams!$G$51*Teams!$G$79/1000000,0)</f>
        <v>56.393000000000001</v>
      </c>
      <c r="AC126" s="44">
        <f>AC$5*IF(AND(AC$4&gt;=Teams!$G$80,Teams!$G$49=1),Teams!$G$44*Params!$D$10*Teams!$G$45*Teams!$G$75+Teams!$G$44*Params!$D$10*Teams!$G$47*Teams!$G$76/1000000+Teams!$G$77+Teams!$G$50*Teams!$G$78+AC120*Teams!$G$51*Teams!$G$79/1000000,0)</f>
        <v>56.393000000000001</v>
      </c>
      <c r="AD126" s="44">
        <f>AD$5*IF(AND(AD$4&gt;=Teams!$G$80,Teams!$G$49=1),Teams!$G$44*Params!$D$10*Teams!$G$45*Teams!$G$75+Teams!$G$44*Params!$D$10*Teams!$G$47*Teams!$G$76/1000000+Teams!$G$77+Teams!$G$50*Teams!$G$78+AD120*Teams!$G$51*Teams!$G$79/1000000,0)</f>
        <v>56.393000000000001</v>
      </c>
      <c r="AE126" s="44">
        <f>AE$5*IF(AND(AE$4&gt;=Teams!$G$80,Teams!$G$49=1),Teams!$G$44*Params!$D$10*Teams!$G$45*Teams!$G$75+Teams!$G$44*Params!$D$10*Teams!$G$47*Teams!$G$76/1000000+Teams!$G$77+Teams!$G$50*Teams!$G$78+AE120*Teams!$G$51*Teams!$G$79/1000000,0)</f>
        <v>56.393000000000001</v>
      </c>
      <c r="AF126" s="44">
        <f>AF$5*IF(AND(AF$4&gt;=Teams!$G$80,Teams!$G$49=1),Teams!$G$44*Params!$D$10*Teams!$G$45*Teams!$G$75+Teams!$G$44*Params!$D$10*Teams!$G$47*Teams!$G$76/1000000+Teams!$G$77+Teams!$G$50*Teams!$G$78+AF120*Teams!$G$51*Teams!$G$79/1000000,0)</f>
        <v>56.393000000000001</v>
      </c>
      <c r="AG126" s="44">
        <f>AG$5*IF(AND(AG$4&gt;=Teams!$G$80,Teams!$G$49=1),Teams!$G$44*Params!$D$10*Teams!$G$45*Teams!$G$75+Teams!$G$44*Params!$D$10*Teams!$G$47*Teams!$G$76/1000000+Teams!$G$77+Teams!$G$50*Teams!$G$78+AG120*Teams!$G$51*Teams!$G$79/1000000,0)</f>
        <v>56.393000000000001</v>
      </c>
      <c r="AH126" s="44">
        <f>AH$5*IF(AND(AH$4&gt;=Teams!$G$80,Teams!$G$49=1),Teams!$G$44*Params!$D$10*Teams!$G$45*Teams!$G$75+Teams!$G$44*Params!$D$10*Teams!$G$47*Teams!$G$76/1000000+Teams!$G$77+Teams!$G$50*Teams!$G$78+AH120*Teams!$G$51*Teams!$G$79/1000000,0)</f>
        <v>56.393000000000001</v>
      </c>
      <c r="AI126" s="44">
        <f>AI$5*IF(AND(AI$4&gt;=Teams!$G$80,Teams!$G$49=1),Teams!$G$44*Params!$D$10*Teams!$G$45*Teams!$G$75+Teams!$G$44*Params!$D$10*Teams!$G$47*Teams!$G$76/1000000+Teams!$G$77+Teams!$G$50*Teams!$G$78+AI120*Teams!$G$51*Teams!$G$79/1000000,0)</f>
        <v>56.393000000000001</v>
      </c>
      <c r="AJ126" s="44">
        <f>AJ$5*IF(AND(AJ$4&gt;=Teams!$G$80,Teams!$G$49=1),Teams!$G$44*Params!$D$10*Teams!$G$45*Teams!$G$75+Teams!$G$44*Params!$D$10*Teams!$G$47*Teams!$G$76/1000000+Teams!$G$77+Teams!$G$50*Teams!$G$78+AJ120*Teams!$G$51*Teams!$G$79/1000000,0)</f>
        <v>56.393000000000001</v>
      </c>
      <c r="AK126" s="44">
        <f>AK$5*IF(AND(AK$4&gt;=Teams!$G$80,Teams!$G$49=1),Teams!$G$44*Params!$D$10*Teams!$G$45*Teams!$G$75+Teams!$G$44*Params!$D$10*Teams!$G$47*Teams!$G$76/1000000+Teams!$G$77+Teams!$G$50*Teams!$G$78+AK120*Teams!$G$51*Teams!$G$79/1000000,0)</f>
        <v>56.393000000000001</v>
      </c>
      <c r="AL126" s="44">
        <f>AL$5*IF(AND(AL$4&gt;=Teams!$G$80,Teams!$G$49=1),Teams!$G$44*Params!$D$10*Teams!$G$45*Teams!$G$75+Teams!$G$44*Params!$D$10*Teams!$G$47*Teams!$G$76/1000000+Teams!$G$77+Teams!$G$50*Teams!$G$78+AL120*Teams!$G$51*Teams!$G$79/1000000,0)</f>
        <v>56.393000000000001</v>
      </c>
      <c r="AM126" s="44">
        <f>AM$5*IF(AND(AM$4&gt;=Teams!$G$80,Teams!$G$49=1),Teams!$G$44*Params!$D$10*Teams!$G$45*Teams!$G$75+Teams!$G$44*Params!$D$10*Teams!$G$47*Teams!$G$76/1000000+Teams!$G$77+Teams!$G$50*Teams!$G$78+AM120*Teams!$G$51*Teams!$G$79/1000000,0)</f>
        <v>56.393000000000001</v>
      </c>
      <c r="AN126" s="44">
        <f>AN$5*IF(AND(AN$4&gt;=Teams!$G$80,Teams!$G$49=1),Teams!$G$44*Params!$D$10*Teams!$G$45*Teams!$G$75+Teams!$G$44*Params!$D$10*Teams!$G$47*Teams!$G$76/1000000+Teams!$G$77+Teams!$G$50*Teams!$G$78+AN120*Teams!$G$51*Teams!$G$79/1000000,0)</f>
        <v>56.393000000000001</v>
      </c>
      <c r="AO126" s="44">
        <f>AO$5*IF(AND(AO$4&gt;=Teams!$G$80,Teams!$G$49=1),Teams!$G$44*Params!$D$10*Teams!$G$45*Teams!$G$75+Teams!$G$44*Params!$D$10*Teams!$G$47*Teams!$G$76/1000000+Teams!$G$77+Teams!$G$50*Teams!$G$78+AO120*Teams!$G$51*Teams!$G$79/1000000,0)</f>
        <v>0</v>
      </c>
      <c r="AP126" s="44">
        <f>AP$5*IF(AND(AP$4&gt;=Teams!$G$80,Teams!$G$49=1),Teams!$G$44*Params!$D$10*Teams!$G$45*Teams!$G$75+Teams!$G$44*Params!$D$10*Teams!$G$47*Teams!$G$76/1000000+Teams!$G$77+Teams!$G$50*Teams!$G$78+AP120*Teams!$G$51*Teams!$G$79/1000000,0)</f>
        <v>0</v>
      </c>
      <c r="AQ126" s="44">
        <f>AQ$5*IF(AND(AQ$4&gt;=Teams!$G$80,Teams!$G$49=1),Teams!$G$44*Params!$D$10*Teams!$G$45*Teams!$G$75+Teams!$G$44*Params!$D$10*Teams!$G$47*Teams!$G$76/1000000+Teams!$G$77+Teams!$G$50*Teams!$G$78+AQ120*Teams!$G$51*Teams!$G$79/1000000,0)</f>
        <v>0</v>
      </c>
      <c r="AR126" s="44">
        <f>AR$5*IF(AND(AR$4&gt;=Teams!$G$80,Teams!$G$49=1),Teams!$G$44*Params!$D$10*Teams!$G$45*Teams!$G$75+Teams!$G$44*Params!$D$10*Teams!$G$47*Teams!$G$76/1000000+Teams!$G$77+Teams!$G$50*Teams!$G$78+AR120*Teams!$G$51*Teams!$G$79/1000000,0)</f>
        <v>0</v>
      </c>
      <c r="AS126" s="44">
        <f>AS$5*IF(AND(AS$4&gt;=Teams!$G$80,Teams!$G$49=1),Teams!$G$44*Params!$D$10*Teams!$G$45*Teams!$G$75+Teams!$G$44*Params!$D$10*Teams!$G$47*Teams!$G$76/1000000+Teams!$G$77+Teams!$G$50*Teams!$G$78+AS120*Teams!$G$51*Teams!$G$79/1000000,0)</f>
        <v>0</v>
      </c>
      <c r="AT126" s="44">
        <f>AT$5*IF(AND(AT$4&gt;=Teams!$G$80,Teams!$G$49=1),Teams!$G$44*Params!$D$10*Teams!$G$45*Teams!$G$75+Teams!$G$44*Params!$D$10*Teams!$G$47*Teams!$G$76/1000000+Teams!$G$77+Teams!$G$50*Teams!$G$78+AT120*Teams!$G$51*Teams!$G$79/1000000,0)</f>
        <v>0</v>
      </c>
      <c r="AU126" s="44">
        <f>AU$5*IF(AND(AU$4&gt;=Teams!$G$80,Teams!$G$49=1),Teams!$G$44*Params!$D$10*Teams!$G$45*Teams!$G$75+Teams!$G$44*Params!$D$10*Teams!$G$47*Teams!$G$76/1000000+Teams!$G$77+Teams!$G$50*Teams!$G$78+AU120*Teams!$G$51*Teams!$G$79/1000000,0)</f>
        <v>0</v>
      </c>
      <c r="AV126" s="44">
        <f>AV$5*IF(AND(AV$4&gt;=Teams!$G$80,Teams!$G$49=1),Teams!$G$44*Params!$D$10*Teams!$G$45*Teams!$G$75+Teams!$G$44*Params!$D$10*Teams!$G$47*Teams!$G$76/1000000+Teams!$G$77+Teams!$G$50*Teams!$G$78+AV120*Teams!$G$51*Teams!$G$79/1000000,0)</f>
        <v>0</v>
      </c>
      <c r="AW126" s="44">
        <f>AW$5*IF(AND(AW$4&gt;=Teams!$G$80,Teams!$G$49=1),Teams!$G$44*Params!$D$10*Teams!$G$45*Teams!$G$75+Teams!$G$44*Params!$D$10*Teams!$G$47*Teams!$G$76/1000000+Teams!$G$77+Teams!$G$50*Teams!$G$78+AW120*Teams!$G$51*Teams!$G$79/1000000,0)</f>
        <v>0</v>
      </c>
      <c r="AX126" s="44">
        <f>AX$5*IF(AND(AX$4&gt;=Teams!$G$80,Teams!$G$49=1),Teams!$G$44*Params!$D$10*Teams!$G$45*Teams!$G$75+Teams!$G$44*Params!$D$10*Teams!$G$47*Teams!$G$76/1000000+Teams!$G$77+Teams!$G$50*Teams!$G$78+AX120*Teams!$G$51*Teams!$G$79/1000000,0)</f>
        <v>0</v>
      </c>
      <c r="AY126" s="44">
        <f>AY$5*IF(AND(AY$4&gt;=Teams!$G$80,Teams!$G$49=1),Teams!$G$44*Params!$D$10*Teams!$G$45*Teams!$G$75+Teams!$G$44*Params!$D$10*Teams!$G$47*Teams!$G$76/1000000+Teams!$G$77+Teams!$G$50*Teams!$G$78+AY120*Teams!$G$51*Teams!$G$79/1000000,0)</f>
        <v>0</v>
      </c>
      <c r="AZ126" s="44">
        <f>AZ$5*IF(AND(AZ$4&gt;=Teams!$G$80,Teams!$G$49=1),Teams!$G$44*Params!$D$10*Teams!$G$45*Teams!$G$75+Teams!$G$44*Params!$D$10*Teams!$G$47*Teams!$G$76/1000000+Teams!$G$77+Teams!$G$50*Teams!$G$78+AZ120*Teams!$G$51*Teams!$G$79/1000000,0)</f>
        <v>0</v>
      </c>
      <c r="BA126" s="44">
        <f>BA$5*IF(AND(BA$4&gt;=Teams!$G$80,Teams!$G$49=1),Teams!$G$44*Params!$D$10*Teams!$G$45*Teams!$G$75+Teams!$G$44*Params!$D$10*Teams!$G$47*Teams!$G$76/1000000+Teams!$G$77+Teams!$G$50*Teams!$G$78+BA120*Teams!$G$51*Teams!$G$79/1000000,0)</f>
        <v>0</v>
      </c>
      <c r="BB126" s="44">
        <f>BB$5*IF(AND(BB$4&gt;=Teams!$G$80,Teams!$G$49=1),Teams!$G$44*Params!$D$10*Teams!$G$45*Teams!$G$75+Teams!$G$44*Params!$D$10*Teams!$G$47*Teams!$G$76/1000000+Teams!$G$77+Teams!$G$50*Teams!$G$78+BB120*Teams!$G$51*Teams!$G$79/1000000,0)</f>
        <v>0</v>
      </c>
      <c r="BC126" s="44">
        <f>BC$5*IF(AND(BC$4&gt;=Teams!$G$80,Teams!$G$49=1),Teams!$G$44*Params!$D$10*Teams!$G$45*Teams!$G$75+Teams!$G$44*Params!$D$10*Teams!$G$47*Teams!$G$76/1000000+Teams!$G$77+Teams!$G$50*Teams!$G$78+BC120*Teams!$G$51*Teams!$G$79/1000000,0)</f>
        <v>0</v>
      </c>
      <c r="BD126" s="44">
        <f>BD$5*IF(AND(BD$4&gt;=Teams!$G$80,Teams!$G$49=1),Teams!$G$44*Params!$D$10*Teams!$G$45*Teams!$G$75+Teams!$G$44*Params!$D$10*Teams!$G$47*Teams!$G$76/1000000+Teams!$G$77+Teams!$G$50*Teams!$G$78+BD120*Teams!$G$51*Teams!$G$79/1000000,0)</f>
        <v>0</v>
      </c>
      <c r="BE126" s="44">
        <f>BE$5*IF(AND(BE$4&gt;=Teams!$G$80,Teams!$G$49=1),Teams!$G$44*Params!$D$10*Teams!$G$45*Teams!$G$75+Teams!$G$44*Params!$D$10*Teams!$G$47*Teams!$G$76/1000000+Teams!$G$77+Teams!$G$50*Teams!$G$78+BE120*Teams!$G$51*Teams!$G$79/1000000,0)</f>
        <v>0</v>
      </c>
      <c r="BF126" s="44">
        <f>BF$5*IF(AND(BF$4&gt;=Teams!$G$80,Teams!$G$49=1),Teams!$G$44*Params!$D$10*Teams!$G$45*Teams!$G$75+Teams!$G$44*Params!$D$10*Teams!$G$47*Teams!$G$76/1000000+Teams!$G$77+Teams!$G$50*Teams!$G$78+BF120*Teams!$G$51*Teams!$G$79/1000000,0)</f>
        <v>0</v>
      </c>
      <c r="BG126" s="44">
        <f>BG$5*IF(AND(BG$4&gt;=Teams!$G$80,Teams!$G$49=1),Teams!$G$44*Params!$D$10*Teams!$G$45*Teams!$G$75+Teams!$G$44*Params!$D$10*Teams!$G$47*Teams!$G$76/1000000+Teams!$G$77+Teams!$G$50*Teams!$G$78+BG120*Teams!$G$51*Teams!$G$79/1000000,0)</f>
        <v>0</v>
      </c>
      <c r="BH126" s="44">
        <f>BH$5*IF(AND(BH$4&gt;=Teams!$G$80,Teams!$G$49=1),Teams!$G$44*Params!$D$10*Teams!$G$45*Teams!$G$75+Teams!$G$44*Params!$D$10*Teams!$G$47*Teams!$G$76/1000000+Teams!$G$77+Teams!$G$50*Teams!$G$78+BH120*Teams!$G$51*Teams!$G$79/1000000,0)</f>
        <v>0</v>
      </c>
      <c r="BI126" s="44">
        <f>BI$5*IF(AND(BI$4&gt;=Teams!$G$80,Teams!$G$49=1),Teams!$G$44*Params!$D$10*Teams!$G$45*Teams!$G$75+Teams!$G$44*Params!$D$10*Teams!$G$47*Teams!$G$76/1000000+Teams!$G$77+Teams!$G$50*Teams!$G$78+BI120*Teams!$G$51*Teams!$G$79/1000000,0)</f>
        <v>0</v>
      </c>
      <c r="BJ126" s="44">
        <f>BJ$5*IF(AND(BJ$4&gt;=Teams!$G$80,Teams!$G$49=1),Teams!$G$44*Params!$D$10*Teams!$G$45*Teams!$G$75+Teams!$G$44*Params!$D$10*Teams!$G$47*Teams!$G$76/1000000+Teams!$G$77+Teams!$G$50*Teams!$G$78+BJ120*Teams!$G$51*Teams!$G$79/1000000,0)</f>
        <v>0</v>
      </c>
      <c r="BK126" s="44">
        <f>BK$5*IF(AND(BK$4&gt;=Teams!$G$80,Teams!$G$49=1),Teams!$G$44*Params!$D$10*Teams!$G$45*Teams!$G$75+Teams!$G$44*Params!$D$10*Teams!$G$47*Teams!$G$76/1000000+Teams!$G$77+Teams!$G$50*Teams!$G$78+BK120*Teams!$G$51*Teams!$G$79/1000000,0)</f>
        <v>0</v>
      </c>
      <c r="BL126" s="44">
        <f>BL$5*IF(AND(BL$4&gt;=Teams!$G$80,Teams!$G$49=1),Teams!$G$44*Params!$D$10*Teams!$G$45*Teams!$G$75+Teams!$G$44*Params!$D$10*Teams!$G$47*Teams!$G$76/1000000+Teams!$G$77+Teams!$G$50*Teams!$G$78+BL120*Teams!$G$51*Teams!$G$79/1000000,0)</f>
        <v>0</v>
      </c>
    </row>
    <row r="127" spans="1:64" x14ac:dyDescent="0.3">
      <c r="A127" s="8" t="s">
        <v>671</v>
      </c>
      <c r="B127" s="18" t="s">
        <v>169</v>
      </c>
      <c r="C127" s="44">
        <f t="shared" si="38"/>
        <v>2400</v>
      </c>
      <c r="E127" s="44">
        <f>E$5*IF(E$4&gt;=Teams!$G$80,Teams!$G$43*Params!$D$6*Org!$B$10*Params!$D$7/12,0)</f>
        <v>66.666666666666671</v>
      </c>
      <c r="F127" s="44">
        <f>F$5*IF(F$4&gt;=Teams!$G$80,Teams!$G$43*Params!$D$6*Org!$B$10*Params!$D$7/12,0)</f>
        <v>66.666666666666671</v>
      </c>
      <c r="G127" s="44">
        <f>G$5*IF(G$4&gt;=Teams!$G$80,Teams!$G$43*Params!$D$6*Org!$B$10*Params!$D$7/12,0)</f>
        <v>66.666666666666671</v>
      </c>
      <c r="H127" s="44">
        <f>H$5*IF(H$4&gt;=Teams!$G$80,Teams!$G$43*Params!$D$6*Org!$B$10*Params!$D$7/12,0)</f>
        <v>66.666666666666671</v>
      </c>
      <c r="I127" s="44">
        <f>I$5*IF(I$4&gt;=Teams!$G$80,Teams!$G$43*Params!$D$6*Org!$B$10*Params!$D$7/12,0)</f>
        <v>66.666666666666671</v>
      </c>
      <c r="J127" s="44">
        <f>J$5*IF(J$4&gt;=Teams!$G$80,Teams!$G$43*Params!$D$6*Org!$B$10*Params!$D$7/12,0)</f>
        <v>66.666666666666671</v>
      </c>
      <c r="K127" s="44">
        <f>K$5*IF(K$4&gt;=Teams!$G$80,Teams!$G$43*Params!$D$6*Org!$B$10*Params!$D$7/12,0)</f>
        <v>66.666666666666671</v>
      </c>
      <c r="L127" s="44">
        <f>L$5*IF(L$4&gt;=Teams!$G$80,Teams!$G$43*Params!$D$6*Org!$B$10*Params!$D$7/12,0)</f>
        <v>66.666666666666671</v>
      </c>
      <c r="M127" s="44">
        <f>M$5*IF(M$4&gt;=Teams!$G$80,Teams!$G$43*Params!$D$6*Org!$B$10*Params!$D$7/12,0)</f>
        <v>66.666666666666671</v>
      </c>
      <c r="N127" s="44">
        <f>N$5*IF(N$4&gt;=Teams!$G$80,Teams!$G$43*Params!$D$6*Org!$B$10*Params!$D$7/12,0)</f>
        <v>66.666666666666671</v>
      </c>
      <c r="O127" s="44">
        <f>O$5*IF(O$4&gt;=Teams!$G$80,Teams!$G$43*Params!$D$6*Org!$B$10*Params!$D$7/12,0)</f>
        <v>66.666666666666671</v>
      </c>
      <c r="P127" s="44">
        <f>P$5*IF(P$4&gt;=Teams!$G$80,Teams!$G$43*Params!$D$6*Org!$B$10*Params!$D$7/12,0)</f>
        <v>66.666666666666671</v>
      </c>
      <c r="Q127" s="44">
        <f>Q$5*IF(Q$4&gt;=Teams!$G$80,Teams!$G$43*Params!$D$6*Org!$B$10*Params!$D$7/12,0)</f>
        <v>66.666666666666671</v>
      </c>
      <c r="R127" s="44">
        <f>R$5*IF(R$4&gt;=Teams!$G$80,Teams!$G$43*Params!$D$6*Org!$B$10*Params!$D$7/12,0)</f>
        <v>66.666666666666671</v>
      </c>
      <c r="S127" s="44">
        <f>S$5*IF(S$4&gt;=Teams!$G$80,Teams!$G$43*Params!$D$6*Org!$B$10*Params!$D$7/12,0)</f>
        <v>66.666666666666671</v>
      </c>
      <c r="T127" s="44">
        <f>T$5*IF(T$4&gt;=Teams!$G$80,Teams!$G$43*Params!$D$6*Org!$B$10*Params!$D$7/12,0)</f>
        <v>66.666666666666671</v>
      </c>
      <c r="U127" s="44">
        <f>U$5*IF(U$4&gt;=Teams!$G$80,Teams!$G$43*Params!$D$6*Org!$B$10*Params!$D$7/12,0)</f>
        <v>66.666666666666671</v>
      </c>
      <c r="V127" s="44">
        <f>V$5*IF(V$4&gt;=Teams!$G$80,Teams!$G$43*Params!$D$6*Org!$B$10*Params!$D$7/12,0)</f>
        <v>66.666666666666671</v>
      </c>
      <c r="W127" s="44">
        <f>W$5*IF(W$4&gt;=Teams!$G$80,Teams!$G$43*Params!$D$6*Org!$B$10*Params!$D$7/12,0)</f>
        <v>66.666666666666671</v>
      </c>
      <c r="X127" s="44">
        <f>X$5*IF(X$4&gt;=Teams!$G$80,Teams!$G$43*Params!$D$6*Org!$B$10*Params!$D$7/12,0)</f>
        <v>66.666666666666671</v>
      </c>
      <c r="Y127" s="44">
        <f>Y$5*IF(Y$4&gt;=Teams!$G$80,Teams!$G$43*Params!$D$6*Org!$B$10*Params!$D$7/12,0)</f>
        <v>66.666666666666671</v>
      </c>
      <c r="Z127" s="44">
        <f>Z$5*IF(Z$4&gt;=Teams!$G$80,Teams!$G$43*Params!$D$6*Org!$B$10*Params!$D$7/12,0)</f>
        <v>66.666666666666671</v>
      </c>
      <c r="AA127" s="44">
        <f>AA$5*IF(AA$4&gt;=Teams!$G$80,Teams!$G$43*Params!$D$6*Org!$B$10*Params!$D$7/12,0)</f>
        <v>66.666666666666671</v>
      </c>
      <c r="AB127" s="44">
        <f>AB$5*IF(AB$4&gt;=Teams!$G$80,Teams!$G$43*Params!$D$6*Org!$B$10*Params!$D$7/12,0)</f>
        <v>66.666666666666671</v>
      </c>
      <c r="AC127" s="44">
        <f>AC$5*IF(AC$4&gt;=Teams!$G$80,Teams!$G$43*Params!$D$6*Org!$B$10*Params!$D$7/12,0)</f>
        <v>66.666666666666671</v>
      </c>
      <c r="AD127" s="44">
        <f>AD$5*IF(AD$4&gt;=Teams!$G$80,Teams!$G$43*Params!$D$6*Org!$B$10*Params!$D$7/12,0)</f>
        <v>66.666666666666671</v>
      </c>
      <c r="AE127" s="44">
        <f>AE$5*IF(AE$4&gt;=Teams!$G$80,Teams!$G$43*Params!$D$6*Org!$B$10*Params!$D$7/12,0)</f>
        <v>66.666666666666671</v>
      </c>
      <c r="AF127" s="44">
        <f>AF$5*IF(AF$4&gt;=Teams!$G$80,Teams!$G$43*Params!$D$6*Org!$B$10*Params!$D$7/12,0)</f>
        <v>66.666666666666671</v>
      </c>
      <c r="AG127" s="44">
        <f>AG$5*IF(AG$4&gt;=Teams!$G$80,Teams!$G$43*Params!$D$6*Org!$B$10*Params!$D$7/12,0)</f>
        <v>66.666666666666671</v>
      </c>
      <c r="AH127" s="44">
        <f>AH$5*IF(AH$4&gt;=Teams!$G$80,Teams!$G$43*Params!$D$6*Org!$B$10*Params!$D$7/12,0)</f>
        <v>66.666666666666671</v>
      </c>
      <c r="AI127" s="44">
        <f>AI$5*IF(AI$4&gt;=Teams!$G$80,Teams!$G$43*Params!$D$6*Org!$B$10*Params!$D$7/12,0)</f>
        <v>66.666666666666671</v>
      </c>
      <c r="AJ127" s="44">
        <f>AJ$5*IF(AJ$4&gt;=Teams!$G$80,Teams!$G$43*Params!$D$6*Org!$B$10*Params!$D$7/12,0)</f>
        <v>66.666666666666671</v>
      </c>
      <c r="AK127" s="44">
        <f>AK$5*IF(AK$4&gt;=Teams!$G$80,Teams!$G$43*Params!$D$6*Org!$B$10*Params!$D$7/12,0)</f>
        <v>66.666666666666671</v>
      </c>
      <c r="AL127" s="44">
        <f>AL$5*IF(AL$4&gt;=Teams!$G$80,Teams!$G$43*Params!$D$6*Org!$B$10*Params!$D$7/12,0)</f>
        <v>66.666666666666671</v>
      </c>
      <c r="AM127" s="44">
        <f>AM$5*IF(AM$4&gt;=Teams!$G$80,Teams!$G$43*Params!$D$6*Org!$B$10*Params!$D$7/12,0)</f>
        <v>66.666666666666671</v>
      </c>
      <c r="AN127" s="44">
        <f>AN$5*IF(AN$4&gt;=Teams!$G$80,Teams!$G$43*Params!$D$6*Org!$B$10*Params!$D$7/12,0)</f>
        <v>66.666666666666671</v>
      </c>
      <c r="AO127" s="44">
        <f>AO$5*IF(AO$4&gt;=Teams!$G$80,Teams!$G$43*Params!$D$6*Org!$B$10*Params!$D$7/12,0)</f>
        <v>0</v>
      </c>
      <c r="AP127" s="44">
        <f>AP$5*IF(AP$4&gt;=Teams!$G$80,Teams!$G$43*Params!$D$6*Org!$B$10*Params!$D$7/12,0)</f>
        <v>0</v>
      </c>
      <c r="AQ127" s="44">
        <f>AQ$5*IF(AQ$4&gt;=Teams!$G$80,Teams!$G$43*Params!$D$6*Org!$B$10*Params!$D$7/12,0)</f>
        <v>0</v>
      </c>
      <c r="AR127" s="44">
        <f>AR$5*IF(AR$4&gt;=Teams!$G$80,Teams!$G$43*Params!$D$6*Org!$B$10*Params!$D$7/12,0)</f>
        <v>0</v>
      </c>
      <c r="AS127" s="44">
        <f>AS$5*IF(AS$4&gt;=Teams!$G$80,Teams!$G$43*Params!$D$6*Org!$B$10*Params!$D$7/12,0)</f>
        <v>0</v>
      </c>
      <c r="AT127" s="44">
        <f>AT$5*IF(AT$4&gt;=Teams!$G$80,Teams!$G$43*Params!$D$6*Org!$B$10*Params!$D$7/12,0)</f>
        <v>0</v>
      </c>
      <c r="AU127" s="44">
        <f>AU$5*IF(AU$4&gt;=Teams!$G$80,Teams!$G$43*Params!$D$6*Org!$B$10*Params!$D$7/12,0)</f>
        <v>0</v>
      </c>
      <c r="AV127" s="44">
        <f>AV$5*IF(AV$4&gt;=Teams!$G$80,Teams!$G$43*Params!$D$6*Org!$B$10*Params!$D$7/12,0)</f>
        <v>0</v>
      </c>
      <c r="AW127" s="44">
        <f>AW$5*IF(AW$4&gt;=Teams!$G$80,Teams!$G$43*Params!$D$6*Org!$B$10*Params!$D$7/12,0)</f>
        <v>0</v>
      </c>
      <c r="AX127" s="44">
        <f>AX$5*IF(AX$4&gt;=Teams!$G$80,Teams!$G$43*Params!$D$6*Org!$B$10*Params!$D$7/12,0)</f>
        <v>0</v>
      </c>
      <c r="AY127" s="44">
        <f>AY$5*IF(AY$4&gt;=Teams!$G$80,Teams!$G$43*Params!$D$6*Org!$B$10*Params!$D$7/12,0)</f>
        <v>0</v>
      </c>
      <c r="AZ127" s="44">
        <f>AZ$5*IF(AZ$4&gt;=Teams!$G$80,Teams!$G$43*Params!$D$6*Org!$B$10*Params!$D$7/12,0)</f>
        <v>0</v>
      </c>
      <c r="BA127" s="44">
        <f>BA$5*IF(BA$4&gt;=Teams!$G$80,Teams!$G$43*Params!$D$6*Org!$B$10*Params!$D$7/12,0)</f>
        <v>0</v>
      </c>
      <c r="BB127" s="44">
        <f>BB$5*IF(BB$4&gt;=Teams!$G$80,Teams!$G$43*Params!$D$6*Org!$B$10*Params!$D$7/12,0)</f>
        <v>0</v>
      </c>
      <c r="BC127" s="44">
        <f>BC$5*IF(BC$4&gt;=Teams!$G$80,Teams!$G$43*Params!$D$6*Org!$B$10*Params!$D$7/12,0)</f>
        <v>0</v>
      </c>
      <c r="BD127" s="44">
        <f>BD$5*IF(BD$4&gt;=Teams!$G$80,Teams!$G$43*Params!$D$6*Org!$B$10*Params!$D$7/12,0)</f>
        <v>0</v>
      </c>
      <c r="BE127" s="44">
        <f>BE$5*IF(BE$4&gt;=Teams!$G$80,Teams!$G$43*Params!$D$6*Org!$B$10*Params!$D$7/12,0)</f>
        <v>0</v>
      </c>
      <c r="BF127" s="44">
        <f>BF$5*IF(BF$4&gt;=Teams!$G$80,Teams!$G$43*Params!$D$6*Org!$B$10*Params!$D$7/12,0)</f>
        <v>0</v>
      </c>
      <c r="BG127" s="44">
        <f>BG$5*IF(BG$4&gt;=Teams!$G$80,Teams!$G$43*Params!$D$6*Org!$B$10*Params!$D$7/12,0)</f>
        <v>0</v>
      </c>
      <c r="BH127" s="44">
        <f>BH$5*IF(BH$4&gt;=Teams!$G$80,Teams!$G$43*Params!$D$6*Org!$B$10*Params!$D$7/12,0)</f>
        <v>0</v>
      </c>
      <c r="BI127" s="44">
        <f>BI$5*IF(BI$4&gt;=Teams!$G$80,Teams!$G$43*Params!$D$6*Org!$B$10*Params!$D$7/12,0)</f>
        <v>0</v>
      </c>
      <c r="BJ127" s="44">
        <f>BJ$5*IF(BJ$4&gt;=Teams!$G$80,Teams!$G$43*Params!$D$6*Org!$B$10*Params!$D$7/12,0)</f>
        <v>0</v>
      </c>
      <c r="BK127" s="44">
        <f>BK$5*IF(BK$4&gt;=Teams!$G$80,Teams!$G$43*Params!$D$6*Org!$B$10*Params!$D$7/12,0)</f>
        <v>0</v>
      </c>
      <c r="BL127" s="44">
        <f>BL$5*IF(BL$4&gt;=Teams!$G$80,Teams!$G$43*Params!$D$6*Org!$B$10*Params!$D$7/12,0)</f>
        <v>0</v>
      </c>
    </row>
    <row r="128" spans="1:64" x14ac:dyDescent="0.3">
      <c r="A128" s="8" t="s">
        <v>672</v>
      </c>
      <c r="B128" s="18" t="s">
        <v>169</v>
      </c>
      <c r="C128" s="44">
        <f t="shared" si="38"/>
        <v>26850.000000000011</v>
      </c>
      <c r="E128" s="44">
        <f>E$5*IF(E$4&gt;=Teams!$G$80,Params!$D$23*Params!$D$24/60*(Org!$B$10/Org!$B$11)+Params!$D$27/12*Params!$D$13*Org!$B$10+E119/1000*Params!$D$28*Params!$D$29*(Org!$B$10/Org!$B$11),0)</f>
        <v>488.88888888888891</v>
      </c>
      <c r="F128" s="44">
        <f>F$5*IF(F$4&gt;=Teams!$G$80,Params!$D$23*Params!$D$24/60*(Org!$B$10/Org!$B$11)+Params!$D$27/12*Params!$D$13*Org!$B$10+F119/1000*Params!$D$28*Params!$D$29*(Org!$B$10/Org!$B$11),0)</f>
        <v>544.44444444444446</v>
      </c>
      <c r="G128" s="44">
        <f>G$5*IF(G$4&gt;=Teams!$G$80,Params!$D$23*Params!$D$24/60*(Org!$B$10/Org!$B$11)+Params!$D$27/12*Params!$D$13*Org!$B$10+G119/1000*Params!$D$28*Params!$D$29*(Org!$B$10/Org!$B$11),0)</f>
        <v>616.66666666666674</v>
      </c>
      <c r="H128" s="44">
        <f>H$5*IF(H$4&gt;=Teams!$G$80,Params!$D$23*Params!$D$24/60*(Org!$B$10/Org!$B$11)+Params!$D$27/12*Params!$D$13*Org!$B$10+H119/1000*Params!$D$28*Params!$D$29*(Org!$B$10/Org!$B$11),0)</f>
        <v>688.88888888888891</v>
      </c>
      <c r="I128" s="44">
        <f>I$5*IF(I$4&gt;=Teams!$G$80,Params!$D$23*Params!$D$24/60*(Org!$B$10/Org!$B$11)+Params!$D$27/12*Params!$D$13*Org!$B$10+I119/1000*Params!$D$28*Params!$D$29*(Org!$B$10/Org!$B$11),0)</f>
        <v>744.44444444444457</v>
      </c>
      <c r="J128" s="44">
        <f>J$5*IF(J$4&gt;=Teams!$G$80,Params!$D$23*Params!$D$24/60*(Org!$B$10/Org!$B$11)+Params!$D$27/12*Params!$D$13*Org!$B$10+J119/1000*Params!$D$28*Params!$D$29*(Org!$B$10/Org!$B$11),0)</f>
        <v>766.66666666666674</v>
      </c>
      <c r="K128" s="44">
        <f>K$5*IF(K$4&gt;=Teams!$G$80,Params!$D$23*Params!$D$24/60*(Org!$B$10/Org!$B$11)+Params!$D$27/12*Params!$D$13*Org!$B$10+K119/1000*Params!$D$28*Params!$D$29*(Org!$B$10/Org!$B$11),0)</f>
        <v>766.66666666666674</v>
      </c>
      <c r="L128" s="44">
        <f>L$5*IF(L$4&gt;=Teams!$G$80,Params!$D$23*Params!$D$24/60*(Org!$B$10/Org!$B$11)+Params!$D$27/12*Params!$D$13*Org!$B$10+L119/1000*Params!$D$28*Params!$D$29*(Org!$B$10/Org!$B$11),0)</f>
        <v>766.66666666666674</v>
      </c>
      <c r="M128" s="44">
        <f>M$5*IF(M$4&gt;=Teams!$G$80,Params!$D$23*Params!$D$24/60*(Org!$B$10/Org!$B$11)+Params!$D$27/12*Params!$D$13*Org!$B$10+M119/1000*Params!$D$28*Params!$D$29*(Org!$B$10/Org!$B$11),0)</f>
        <v>766.66666666666674</v>
      </c>
      <c r="N128" s="44">
        <f>N$5*IF(N$4&gt;=Teams!$G$80,Params!$D$23*Params!$D$24/60*(Org!$B$10/Org!$B$11)+Params!$D$27/12*Params!$D$13*Org!$B$10+N119/1000*Params!$D$28*Params!$D$29*(Org!$B$10/Org!$B$11),0)</f>
        <v>766.66666666666674</v>
      </c>
      <c r="O128" s="44">
        <f>O$5*IF(O$4&gt;=Teams!$G$80,Params!$D$23*Params!$D$24/60*(Org!$B$10/Org!$B$11)+Params!$D$27/12*Params!$D$13*Org!$B$10+O119/1000*Params!$D$28*Params!$D$29*(Org!$B$10/Org!$B$11),0)</f>
        <v>766.66666666666674</v>
      </c>
      <c r="P128" s="44">
        <f>P$5*IF(P$4&gt;=Teams!$G$80,Params!$D$23*Params!$D$24/60*(Org!$B$10/Org!$B$11)+Params!$D$27/12*Params!$D$13*Org!$B$10+P119/1000*Params!$D$28*Params!$D$29*(Org!$B$10/Org!$B$11),0)</f>
        <v>766.66666666666674</v>
      </c>
      <c r="Q128" s="44">
        <f>Q$5*IF(Q$4&gt;=Teams!$G$80,Params!$D$23*Params!$D$24/60*(Org!$B$10/Org!$B$11)+Params!$D$27/12*Params!$D$13*Org!$B$10+Q119/1000*Params!$D$28*Params!$D$29*(Org!$B$10/Org!$B$11),0)</f>
        <v>766.66666666666674</v>
      </c>
      <c r="R128" s="44">
        <f>R$5*IF(R$4&gt;=Teams!$G$80,Params!$D$23*Params!$D$24/60*(Org!$B$10/Org!$B$11)+Params!$D$27/12*Params!$D$13*Org!$B$10+R119/1000*Params!$D$28*Params!$D$29*(Org!$B$10/Org!$B$11),0)</f>
        <v>766.66666666666674</v>
      </c>
      <c r="S128" s="44">
        <f>S$5*IF(S$4&gt;=Teams!$G$80,Params!$D$23*Params!$D$24/60*(Org!$B$10/Org!$B$11)+Params!$D$27/12*Params!$D$13*Org!$B$10+S119/1000*Params!$D$28*Params!$D$29*(Org!$B$10/Org!$B$11),0)</f>
        <v>766.66666666666674</v>
      </c>
      <c r="T128" s="44">
        <f>T$5*IF(T$4&gt;=Teams!$G$80,Params!$D$23*Params!$D$24/60*(Org!$B$10/Org!$B$11)+Params!$D$27/12*Params!$D$13*Org!$B$10+T119/1000*Params!$D$28*Params!$D$29*(Org!$B$10/Org!$B$11),0)</f>
        <v>766.66666666666674</v>
      </c>
      <c r="U128" s="44">
        <f>U$5*IF(U$4&gt;=Teams!$G$80,Params!$D$23*Params!$D$24/60*(Org!$B$10/Org!$B$11)+Params!$D$27/12*Params!$D$13*Org!$B$10+U119/1000*Params!$D$28*Params!$D$29*(Org!$B$10/Org!$B$11),0)</f>
        <v>766.66666666666674</v>
      </c>
      <c r="V128" s="44">
        <f>V$5*IF(V$4&gt;=Teams!$G$80,Params!$D$23*Params!$D$24/60*(Org!$B$10/Org!$B$11)+Params!$D$27/12*Params!$D$13*Org!$B$10+V119/1000*Params!$D$28*Params!$D$29*(Org!$B$10/Org!$B$11),0)</f>
        <v>766.66666666666674</v>
      </c>
      <c r="W128" s="44">
        <f>W$5*IF(W$4&gt;=Teams!$G$80,Params!$D$23*Params!$D$24/60*(Org!$B$10/Org!$B$11)+Params!$D$27/12*Params!$D$13*Org!$B$10+W119/1000*Params!$D$28*Params!$D$29*(Org!$B$10/Org!$B$11),0)</f>
        <v>766.66666666666674</v>
      </c>
      <c r="X128" s="44">
        <f>X$5*IF(X$4&gt;=Teams!$G$80,Params!$D$23*Params!$D$24/60*(Org!$B$10/Org!$B$11)+Params!$D$27/12*Params!$D$13*Org!$B$10+X119/1000*Params!$D$28*Params!$D$29*(Org!$B$10/Org!$B$11),0)</f>
        <v>766.66666666666674</v>
      </c>
      <c r="Y128" s="44">
        <f>Y$5*IF(Y$4&gt;=Teams!$G$80,Params!$D$23*Params!$D$24/60*(Org!$B$10/Org!$B$11)+Params!$D$27/12*Params!$D$13*Org!$B$10+Y119/1000*Params!$D$28*Params!$D$29*(Org!$B$10/Org!$B$11),0)</f>
        <v>766.66666666666674</v>
      </c>
      <c r="Z128" s="44">
        <f>Z$5*IF(Z$4&gt;=Teams!$G$80,Params!$D$23*Params!$D$24/60*(Org!$B$10/Org!$B$11)+Params!$D$27/12*Params!$D$13*Org!$B$10+Z119/1000*Params!$D$28*Params!$D$29*(Org!$B$10/Org!$B$11),0)</f>
        <v>766.66666666666674</v>
      </c>
      <c r="AA128" s="44">
        <f>AA$5*IF(AA$4&gt;=Teams!$G$80,Params!$D$23*Params!$D$24/60*(Org!$B$10/Org!$B$11)+Params!$D$27/12*Params!$D$13*Org!$B$10+AA119/1000*Params!$D$28*Params!$D$29*(Org!$B$10/Org!$B$11),0)</f>
        <v>766.66666666666674</v>
      </c>
      <c r="AB128" s="44">
        <f>AB$5*IF(AB$4&gt;=Teams!$G$80,Params!$D$23*Params!$D$24/60*(Org!$B$10/Org!$B$11)+Params!$D$27/12*Params!$D$13*Org!$B$10+AB119/1000*Params!$D$28*Params!$D$29*(Org!$B$10/Org!$B$11),0)</f>
        <v>766.66666666666674</v>
      </c>
      <c r="AC128" s="44">
        <f>AC$5*IF(AC$4&gt;=Teams!$G$80,Params!$D$23*Params!$D$24/60*(Org!$B$10/Org!$B$11)+Params!$D$27/12*Params!$D$13*Org!$B$10+AC119/1000*Params!$D$28*Params!$D$29*(Org!$B$10/Org!$B$11),0)</f>
        <v>766.66666666666674</v>
      </c>
      <c r="AD128" s="44">
        <f>AD$5*IF(AD$4&gt;=Teams!$G$80,Params!$D$23*Params!$D$24/60*(Org!$B$10/Org!$B$11)+Params!$D$27/12*Params!$D$13*Org!$B$10+AD119/1000*Params!$D$28*Params!$D$29*(Org!$B$10/Org!$B$11),0)</f>
        <v>766.66666666666674</v>
      </c>
      <c r="AE128" s="44">
        <f>AE$5*IF(AE$4&gt;=Teams!$G$80,Params!$D$23*Params!$D$24/60*(Org!$B$10/Org!$B$11)+Params!$D$27/12*Params!$D$13*Org!$B$10+AE119/1000*Params!$D$28*Params!$D$29*(Org!$B$10/Org!$B$11),0)</f>
        <v>766.66666666666674</v>
      </c>
      <c r="AF128" s="44">
        <f>AF$5*IF(AF$4&gt;=Teams!$G$80,Params!$D$23*Params!$D$24/60*(Org!$B$10/Org!$B$11)+Params!$D$27/12*Params!$D$13*Org!$B$10+AF119/1000*Params!$D$28*Params!$D$29*(Org!$B$10/Org!$B$11),0)</f>
        <v>766.66666666666674</v>
      </c>
      <c r="AG128" s="44">
        <f>AG$5*IF(AG$4&gt;=Teams!$G$80,Params!$D$23*Params!$D$24/60*(Org!$B$10/Org!$B$11)+Params!$D$27/12*Params!$D$13*Org!$B$10+AG119/1000*Params!$D$28*Params!$D$29*(Org!$B$10/Org!$B$11),0)</f>
        <v>766.66666666666674</v>
      </c>
      <c r="AH128" s="44">
        <f>AH$5*IF(AH$4&gt;=Teams!$G$80,Params!$D$23*Params!$D$24/60*(Org!$B$10/Org!$B$11)+Params!$D$27/12*Params!$D$13*Org!$B$10+AH119/1000*Params!$D$28*Params!$D$29*(Org!$B$10/Org!$B$11),0)</f>
        <v>766.66666666666674</v>
      </c>
      <c r="AI128" s="44">
        <f>AI$5*IF(AI$4&gt;=Teams!$G$80,Params!$D$23*Params!$D$24/60*(Org!$B$10/Org!$B$11)+Params!$D$27/12*Params!$D$13*Org!$B$10+AI119/1000*Params!$D$28*Params!$D$29*(Org!$B$10/Org!$B$11),0)</f>
        <v>766.66666666666674</v>
      </c>
      <c r="AJ128" s="44">
        <f>AJ$5*IF(AJ$4&gt;=Teams!$G$80,Params!$D$23*Params!$D$24/60*(Org!$B$10/Org!$B$11)+Params!$D$27/12*Params!$D$13*Org!$B$10+AJ119/1000*Params!$D$28*Params!$D$29*(Org!$B$10/Org!$B$11),0)</f>
        <v>766.66666666666674</v>
      </c>
      <c r="AK128" s="44">
        <f>AK$5*IF(AK$4&gt;=Teams!$G$80,Params!$D$23*Params!$D$24/60*(Org!$B$10/Org!$B$11)+Params!$D$27/12*Params!$D$13*Org!$B$10+AK119/1000*Params!$D$28*Params!$D$29*(Org!$B$10/Org!$B$11),0)</f>
        <v>766.66666666666674</v>
      </c>
      <c r="AL128" s="44">
        <f>AL$5*IF(AL$4&gt;=Teams!$G$80,Params!$D$23*Params!$D$24/60*(Org!$B$10/Org!$B$11)+Params!$D$27/12*Params!$D$13*Org!$B$10+AL119/1000*Params!$D$28*Params!$D$29*(Org!$B$10/Org!$B$11),0)</f>
        <v>766.66666666666674</v>
      </c>
      <c r="AM128" s="44">
        <f>AM$5*IF(AM$4&gt;=Teams!$G$80,Params!$D$23*Params!$D$24/60*(Org!$B$10/Org!$B$11)+Params!$D$27/12*Params!$D$13*Org!$B$10+AM119/1000*Params!$D$28*Params!$D$29*(Org!$B$10/Org!$B$11),0)</f>
        <v>766.66666666666674</v>
      </c>
      <c r="AN128" s="44">
        <f>AN$5*IF(AN$4&gt;=Teams!$G$80,Params!$D$23*Params!$D$24/60*(Org!$B$10/Org!$B$11)+Params!$D$27/12*Params!$D$13*Org!$B$10+AN119/1000*Params!$D$28*Params!$D$29*(Org!$B$10/Org!$B$11),0)</f>
        <v>766.66666666666674</v>
      </c>
      <c r="AO128" s="44">
        <f>AO$5*IF(AO$4&gt;=Teams!$G$80,Params!$D$23*Params!$D$24/60*(Org!$B$10/Org!$B$11)+Params!$D$27/12*Params!$D$13*Org!$B$10+AO119/1000*Params!$D$28*Params!$D$29*(Org!$B$10/Org!$B$11),0)</f>
        <v>0</v>
      </c>
      <c r="AP128" s="44">
        <f>AP$5*IF(AP$4&gt;=Teams!$G$80,Params!$D$23*Params!$D$24/60*(Org!$B$10/Org!$B$11)+Params!$D$27/12*Params!$D$13*Org!$B$10+AP119/1000*Params!$D$28*Params!$D$29*(Org!$B$10/Org!$B$11),0)</f>
        <v>0</v>
      </c>
      <c r="AQ128" s="44">
        <f>AQ$5*IF(AQ$4&gt;=Teams!$G$80,Params!$D$23*Params!$D$24/60*(Org!$B$10/Org!$B$11)+Params!$D$27/12*Params!$D$13*Org!$B$10+AQ119/1000*Params!$D$28*Params!$D$29*(Org!$B$10/Org!$B$11),0)</f>
        <v>0</v>
      </c>
      <c r="AR128" s="44">
        <f>AR$5*IF(AR$4&gt;=Teams!$G$80,Params!$D$23*Params!$D$24/60*(Org!$B$10/Org!$B$11)+Params!$D$27/12*Params!$D$13*Org!$B$10+AR119/1000*Params!$D$28*Params!$D$29*(Org!$B$10/Org!$B$11),0)</f>
        <v>0</v>
      </c>
      <c r="AS128" s="44">
        <f>AS$5*IF(AS$4&gt;=Teams!$G$80,Params!$D$23*Params!$D$24/60*(Org!$B$10/Org!$B$11)+Params!$D$27/12*Params!$D$13*Org!$B$10+AS119/1000*Params!$D$28*Params!$D$29*(Org!$B$10/Org!$B$11),0)</f>
        <v>0</v>
      </c>
      <c r="AT128" s="44">
        <f>AT$5*IF(AT$4&gt;=Teams!$G$80,Params!$D$23*Params!$D$24/60*(Org!$B$10/Org!$B$11)+Params!$D$27/12*Params!$D$13*Org!$B$10+AT119/1000*Params!$D$28*Params!$D$29*(Org!$B$10/Org!$B$11),0)</f>
        <v>0</v>
      </c>
      <c r="AU128" s="44">
        <f>AU$5*IF(AU$4&gt;=Teams!$G$80,Params!$D$23*Params!$D$24/60*(Org!$B$10/Org!$B$11)+Params!$D$27/12*Params!$D$13*Org!$B$10+AU119/1000*Params!$D$28*Params!$D$29*(Org!$B$10/Org!$B$11),0)</f>
        <v>0</v>
      </c>
      <c r="AV128" s="44">
        <f>AV$5*IF(AV$4&gt;=Teams!$G$80,Params!$D$23*Params!$D$24/60*(Org!$B$10/Org!$B$11)+Params!$D$27/12*Params!$D$13*Org!$B$10+AV119/1000*Params!$D$28*Params!$D$29*(Org!$B$10/Org!$B$11),0)</f>
        <v>0</v>
      </c>
      <c r="AW128" s="44">
        <f>AW$5*IF(AW$4&gt;=Teams!$G$80,Params!$D$23*Params!$D$24/60*(Org!$B$10/Org!$B$11)+Params!$D$27/12*Params!$D$13*Org!$B$10+AW119/1000*Params!$D$28*Params!$D$29*(Org!$B$10/Org!$B$11),0)</f>
        <v>0</v>
      </c>
      <c r="AX128" s="44">
        <f>AX$5*IF(AX$4&gt;=Teams!$G$80,Params!$D$23*Params!$D$24/60*(Org!$B$10/Org!$B$11)+Params!$D$27/12*Params!$D$13*Org!$B$10+AX119/1000*Params!$D$28*Params!$D$29*(Org!$B$10/Org!$B$11),0)</f>
        <v>0</v>
      </c>
      <c r="AY128" s="44">
        <f>AY$5*IF(AY$4&gt;=Teams!$G$80,Params!$D$23*Params!$D$24/60*(Org!$B$10/Org!$B$11)+Params!$D$27/12*Params!$D$13*Org!$B$10+AY119/1000*Params!$D$28*Params!$D$29*(Org!$B$10/Org!$B$11),0)</f>
        <v>0</v>
      </c>
      <c r="AZ128" s="44">
        <f>AZ$5*IF(AZ$4&gt;=Teams!$G$80,Params!$D$23*Params!$D$24/60*(Org!$B$10/Org!$B$11)+Params!$D$27/12*Params!$D$13*Org!$B$10+AZ119/1000*Params!$D$28*Params!$D$29*(Org!$B$10/Org!$B$11),0)</f>
        <v>0</v>
      </c>
      <c r="BA128" s="44">
        <f>BA$5*IF(BA$4&gt;=Teams!$G$80,Params!$D$23*Params!$D$24/60*(Org!$B$10/Org!$B$11)+Params!$D$27/12*Params!$D$13*Org!$B$10+BA119/1000*Params!$D$28*Params!$D$29*(Org!$B$10/Org!$B$11),0)</f>
        <v>0</v>
      </c>
      <c r="BB128" s="44">
        <f>BB$5*IF(BB$4&gt;=Teams!$G$80,Params!$D$23*Params!$D$24/60*(Org!$B$10/Org!$B$11)+Params!$D$27/12*Params!$D$13*Org!$B$10+BB119/1000*Params!$D$28*Params!$D$29*(Org!$B$10/Org!$B$11),0)</f>
        <v>0</v>
      </c>
      <c r="BC128" s="44">
        <f>BC$5*IF(BC$4&gt;=Teams!$G$80,Params!$D$23*Params!$D$24/60*(Org!$B$10/Org!$B$11)+Params!$D$27/12*Params!$D$13*Org!$B$10+BC119/1000*Params!$D$28*Params!$D$29*(Org!$B$10/Org!$B$11),0)</f>
        <v>0</v>
      </c>
      <c r="BD128" s="44">
        <f>BD$5*IF(BD$4&gt;=Teams!$G$80,Params!$D$23*Params!$D$24/60*(Org!$B$10/Org!$B$11)+Params!$D$27/12*Params!$D$13*Org!$B$10+BD119/1000*Params!$D$28*Params!$D$29*(Org!$B$10/Org!$B$11),0)</f>
        <v>0</v>
      </c>
      <c r="BE128" s="44">
        <f>BE$5*IF(BE$4&gt;=Teams!$G$80,Params!$D$23*Params!$D$24/60*(Org!$B$10/Org!$B$11)+Params!$D$27/12*Params!$D$13*Org!$B$10+BE119/1000*Params!$D$28*Params!$D$29*(Org!$B$10/Org!$B$11),0)</f>
        <v>0</v>
      </c>
      <c r="BF128" s="44">
        <f>BF$5*IF(BF$4&gt;=Teams!$G$80,Params!$D$23*Params!$D$24/60*(Org!$B$10/Org!$B$11)+Params!$D$27/12*Params!$D$13*Org!$B$10+BF119/1000*Params!$D$28*Params!$D$29*(Org!$B$10/Org!$B$11),0)</f>
        <v>0</v>
      </c>
      <c r="BG128" s="44">
        <f>BG$5*IF(BG$4&gt;=Teams!$G$80,Params!$D$23*Params!$D$24/60*(Org!$B$10/Org!$B$11)+Params!$D$27/12*Params!$D$13*Org!$B$10+BG119/1000*Params!$D$28*Params!$D$29*(Org!$B$10/Org!$B$11),0)</f>
        <v>0</v>
      </c>
      <c r="BH128" s="44">
        <f>BH$5*IF(BH$4&gt;=Teams!$G$80,Params!$D$23*Params!$D$24/60*(Org!$B$10/Org!$B$11)+Params!$D$27/12*Params!$D$13*Org!$B$10+BH119/1000*Params!$D$28*Params!$D$29*(Org!$B$10/Org!$B$11),0)</f>
        <v>0</v>
      </c>
      <c r="BI128" s="44">
        <f>BI$5*IF(BI$4&gt;=Teams!$G$80,Params!$D$23*Params!$D$24/60*(Org!$B$10/Org!$B$11)+Params!$D$27/12*Params!$D$13*Org!$B$10+BI119/1000*Params!$D$28*Params!$D$29*(Org!$B$10/Org!$B$11),0)</f>
        <v>0</v>
      </c>
      <c r="BJ128" s="44">
        <f>BJ$5*IF(BJ$4&gt;=Teams!$G$80,Params!$D$23*Params!$D$24/60*(Org!$B$10/Org!$B$11)+Params!$D$27/12*Params!$D$13*Org!$B$10+BJ119/1000*Params!$D$28*Params!$D$29*(Org!$B$10/Org!$B$11),0)</f>
        <v>0</v>
      </c>
      <c r="BK128" s="44">
        <f>BK$5*IF(BK$4&gt;=Teams!$G$80,Params!$D$23*Params!$D$24/60*(Org!$B$10/Org!$B$11)+Params!$D$27/12*Params!$D$13*Org!$B$10+BK119/1000*Params!$D$28*Params!$D$29*(Org!$B$10/Org!$B$11),0)</f>
        <v>0</v>
      </c>
      <c r="BL128" s="44">
        <f>BL$5*IF(BL$4&gt;=Teams!$G$80,Params!$D$23*Params!$D$24/60*(Org!$B$10/Org!$B$11)+Params!$D$27/12*Params!$D$13*Org!$B$10+BL119/1000*Params!$D$28*Params!$D$29*(Org!$B$10/Org!$B$11),0)</f>
        <v>0</v>
      </c>
    </row>
    <row r="129" spans="1:64" x14ac:dyDescent="0.3">
      <c r="A129" s="8" t="s">
        <v>673</v>
      </c>
      <c r="B129" s="18" t="s">
        <v>604</v>
      </c>
      <c r="C129" s="44">
        <f t="shared" si="38"/>
        <v>1760.0000000000002</v>
      </c>
      <c r="E129" s="44">
        <f>E$5*IF(AND(E$4&gt;Teams!$G$80,MOD(E$4-Teams!$G$80,MAX(1,ROUND(Params!$D$25,0)))=0),(Params!$D$26+Params!$D$17*Params!$D$16)*Org!$B$10,0)</f>
        <v>0</v>
      </c>
      <c r="F129" s="44">
        <f>F$5*IF(AND(F$4&gt;Teams!$G$80,MOD(F$4-Teams!$G$80,MAX(1,ROUND(Params!$D$25,0)))=0),(Params!$D$26+Params!$D$17*Params!$D$16)*Org!$B$10,0)</f>
        <v>0</v>
      </c>
      <c r="G129" s="44">
        <f>G$5*IF(AND(G$4&gt;Teams!$G$80,MOD(G$4-Teams!$G$80,MAX(1,ROUND(Params!$D$25,0)))=0),(Params!$D$26+Params!$D$17*Params!$D$16)*Org!$B$10,0)</f>
        <v>0</v>
      </c>
      <c r="H129" s="44">
        <f>H$5*IF(AND(H$4&gt;Teams!$G$80,MOD(H$4-Teams!$G$80,MAX(1,ROUND(Params!$D$25,0)))=0),(Params!$D$26+Params!$D$17*Params!$D$16)*Org!$B$10,0)</f>
        <v>0</v>
      </c>
      <c r="I129" s="44">
        <f>I$5*IF(AND(I$4&gt;Teams!$G$80,MOD(I$4-Teams!$G$80,MAX(1,ROUND(Params!$D$25,0)))=0),(Params!$D$26+Params!$D$17*Params!$D$16)*Org!$B$10,0)</f>
        <v>0</v>
      </c>
      <c r="J129" s="44">
        <f>J$5*IF(AND(J$4&gt;Teams!$G$80,MOD(J$4-Teams!$G$80,MAX(1,ROUND(Params!$D$25,0)))=0),(Params!$D$26+Params!$D$17*Params!$D$16)*Org!$B$10,0)</f>
        <v>0</v>
      </c>
      <c r="K129" s="44">
        <f>K$5*IF(AND(K$4&gt;Teams!$G$80,MOD(K$4-Teams!$G$80,MAX(1,ROUND(Params!$D$25,0)))=0),(Params!$D$26+Params!$D$17*Params!$D$16)*Org!$B$10,0)</f>
        <v>0</v>
      </c>
      <c r="L129" s="44">
        <f>L$5*IF(AND(L$4&gt;Teams!$G$80,MOD(L$4-Teams!$G$80,MAX(1,ROUND(Params!$D$25,0)))=0),(Params!$D$26+Params!$D$17*Params!$D$16)*Org!$B$10,0)</f>
        <v>0</v>
      </c>
      <c r="M129" s="44">
        <f>M$5*IF(AND(M$4&gt;Teams!$G$80,MOD(M$4-Teams!$G$80,MAX(1,ROUND(Params!$D$25,0)))=0),(Params!$D$26+Params!$D$17*Params!$D$16)*Org!$B$10,0)</f>
        <v>0</v>
      </c>
      <c r="N129" s="44">
        <f>N$5*IF(AND(N$4&gt;Teams!$G$80,MOD(N$4-Teams!$G$80,MAX(1,ROUND(Params!$D$25,0)))=0),(Params!$D$26+Params!$D$17*Params!$D$16)*Org!$B$10,0)</f>
        <v>0</v>
      </c>
      <c r="O129" s="44">
        <f>O$5*IF(AND(O$4&gt;Teams!$G$80,MOD(O$4-Teams!$G$80,MAX(1,ROUND(Params!$D$25,0)))=0),(Params!$D$26+Params!$D$17*Params!$D$16)*Org!$B$10,0)</f>
        <v>0</v>
      </c>
      <c r="P129" s="44">
        <f>P$5*IF(AND(P$4&gt;Teams!$G$80,MOD(P$4-Teams!$G$80,MAX(1,ROUND(Params!$D$25,0)))=0),(Params!$D$26+Params!$D$17*Params!$D$16)*Org!$B$10,0)</f>
        <v>0</v>
      </c>
      <c r="Q129" s="44">
        <f>Q$5*IF(AND(Q$4&gt;Teams!$G$80,MOD(Q$4-Teams!$G$80,MAX(1,ROUND(Params!$D$25,0)))=0),(Params!$D$26+Params!$D$17*Params!$D$16)*Org!$B$10,0)</f>
        <v>0</v>
      </c>
      <c r="R129" s="44">
        <f>R$5*IF(AND(R$4&gt;Teams!$G$80,MOD(R$4-Teams!$G$80,MAX(1,ROUND(Params!$D$25,0)))=0),(Params!$D$26+Params!$D$17*Params!$D$16)*Org!$B$10,0)</f>
        <v>0</v>
      </c>
      <c r="S129" s="44">
        <f>S$5*IF(AND(S$4&gt;Teams!$G$80,MOD(S$4-Teams!$G$80,MAX(1,ROUND(Params!$D$25,0)))=0),(Params!$D$26+Params!$D$17*Params!$D$16)*Org!$B$10,0)</f>
        <v>0</v>
      </c>
      <c r="T129" s="44">
        <f>T$5*IF(AND(T$4&gt;Teams!$G$80,MOD(T$4-Teams!$G$80,MAX(1,ROUND(Params!$D$25,0)))=0),(Params!$D$26+Params!$D$17*Params!$D$16)*Org!$B$10,0)</f>
        <v>0</v>
      </c>
      <c r="U129" s="44">
        <f>U$5*IF(AND(U$4&gt;Teams!$G$80,MOD(U$4-Teams!$G$80,MAX(1,ROUND(Params!$D$25,0)))=0),(Params!$D$26+Params!$D$17*Params!$D$16)*Org!$B$10,0)</f>
        <v>0</v>
      </c>
      <c r="V129" s="44">
        <f>V$5*IF(AND(V$4&gt;Teams!$G$80,MOD(V$4-Teams!$G$80,MAX(1,ROUND(Params!$D$25,0)))=0),(Params!$D$26+Params!$D$17*Params!$D$16)*Org!$B$10,0)</f>
        <v>0</v>
      </c>
      <c r="W129" s="44">
        <f>W$5*IF(AND(W$4&gt;Teams!$G$80,MOD(W$4-Teams!$G$80,MAX(1,ROUND(Params!$D$25,0)))=0),(Params!$D$26+Params!$D$17*Params!$D$16)*Org!$B$10,0)</f>
        <v>0</v>
      </c>
      <c r="X129" s="44">
        <f>X$5*IF(AND(X$4&gt;Teams!$G$80,MOD(X$4-Teams!$G$80,MAX(1,ROUND(Params!$D$25,0)))=0),(Params!$D$26+Params!$D$17*Params!$D$16)*Org!$B$10,0)</f>
        <v>0</v>
      </c>
      <c r="Y129" s="44">
        <f>Y$5*IF(AND(Y$4&gt;Teams!$G$80,MOD(Y$4-Teams!$G$80,MAX(1,ROUND(Params!$D$25,0)))=0),(Params!$D$26+Params!$D$17*Params!$D$16)*Org!$B$10,0)</f>
        <v>0</v>
      </c>
      <c r="Z129" s="44">
        <f>Z$5*IF(AND(Z$4&gt;Teams!$G$80,MOD(Z$4-Teams!$G$80,MAX(1,ROUND(Params!$D$25,0)))=0),(Params!$D$26+Params!$D$17*Params!$D$16)*Org!$B$10,0)</f>
        <v>0</v>
      </c>
      <c r="AA129" s="44">
        <f>AA$5*IF(AND(AA$4&gt;Teams!$G$80,MOD(AA$4-Teams!$G$80,MAX(1,ROUND(Params!$D$25,0)))=0),(Params!$D$26+Params!$D$17*Params!$D$16)*Org!$B$10,0)</f>
        <v>0</v>
      </c>
      <c r="AB129" s="44">
        <f>AB$5*IF(AND(AB$4&gt;Teams!$G$80,MOD(AB$4-Teams!$G$80,MAX(1,ROUND(Params!$D$25,0)))=0),(Params!$D$26+Params!$D$17*Params!$D$16)*Org!$B$10,0)</f>
        <v>0</v>
      </c>
      <c r="AC129" s="44">
        <f>AC$5*IF(AND(AC$4&gt;Teams!$G$80,MOD(AC$4-Teams!$G$80,MAX(1,ROUND(Params!$D$25,0)))=0),(Params!$D$26+Params!$D$17*Params!$D$16)*Org!$B$10,0)</f>
        <v>0</v>
      </c>
      <c r="AD129" s="44">
        <f>AD$5*IF(AND(AD$4&gt;Teams!$G$80,MOD(AD$4-Teams!$G$80,MAX(1,ROUND(Params!$D$25,0)))=0),(Params!$D$26+Params!$D$17*Params!$D$16)*Org!$B$10,0)</f>
        <v>1760.0000000000002</v>
      </c>
      <c r="AE129" s="44">
        <f>AE$5*IF(AND(AE$4&gt;Teams!$G$80,MOD(AE$4-Teams!$G$80,MAX(1,ROUND(Params!$D$25,0)))=0),(Params!$D$26+Params!$D$17*Params!$D$16)*Org!$B$10,0)</f>
        <v>0</v>
      </c>
      <c r="AF129" s="44">
        <f>AF$5*IF(AND(AF$4&gt;Teams!$G$80,MOD(AF$4-Teams!$G$80,MAX(1,ROUND(Params!$D$25,0)))=0),(Params!$D$26+Params!$D$17*Params!$D$16)*Org!$B$10,0)</f>
        <v>0</v>
      </c>
      <c r="AG129" s="44">
        <f>AG$5*IF(AND(AG$4&gt;Teams!$G$80,MOD(AG$4-Teams!$G$80,MAX(1,ROUND(Params!$D$25,0)))=0),(Params!$D$26+Params!$D$17*Params!$D$16)*Org!$B$10,0)</f>
        <v>0</v>
      </c>
      <c r="AH129" s="44">
        <f>AH$5*IF(AND(AH$4&gt;Teams!$G$80,MOD(AH$4-Teams!$G$80,MAX(1,ROUND(Params!$D$25,0)))=0),(Params!$D$26+Params!$D$17*Params!$D$16)*Org!$B$10,0)</f>
        <v>0</v>
      </c>
      <c r="AI129" s="44">
        <f>AI$5*IF(AND(AI$4&gt;Teams!$G$80,MOD(AI$4-Teams!$G$80,MAX(1,ROUND(Params!$D$25,0)))=0),(Params!$D$26+Params!$D$17*Params!$D$16)*Org!$B$10,0)</f>
        <v>0</v>
      </c>
      <c r="AJ129" s="44">
        <f>AJ$5*IF(AND(AJ$4&gt;Teams!$G$80,MOD(AJ$4-Teams!$G$80,MAX(1,ROUND(Params!$D$25,0)))=0),(Params!$D$26+Params!$D$17*Params!$D$16)*Org!$B$10,0)</f>
        <v>0</v>
      </c>
      <c r="AK129" s="44">
        <f>AK$5*IF(AND(AK$4&gt;Teams!$G$80,MOD(AK$4-Teams!$G$80,MAX(1,ROUND(Params!$D$25,0)))=0),(Params!$D$26+Params!$D$17*Params!$D$16)*Org!$B$10,0)</f>
        <v>0</v>
      </c>
      <c r="AL129" s="44">
        <f>AL$5*IF(AND(AL$4&gt;Teams!$G$80,MOD(AL$4-Teams!$G$80,MAX(1,ROUND(Params!$D$25,0)))=0),(Params!$D$26+Params!$D$17*Params!$D$16)*Org!$B$10,0)</f>
        <v>0</v>
      </c>
      <c r="AM129" s="44">
        <f>AM$5*IF(AND(AM$4&gt;Teams!$G$80,MOD(AM$4-Teams!$G$80,MAX(1,ROUND(Params!$D$25,0)))=0),(Params!$D$26+Params!$D$17*Params!$D$16)*Org!$B$10,0)</f>
        <v>0</v>
      </c>
      <c r="AN129" s="44">
        <f>AN$5*IF(AND(AN$4&gt;Teams!$G$80,MOD(AN$4-Teams!$G$80,MAX(1,ROUND(Params!$D$25,0)))=0),(Params!$D$26+Params!$D$17*Params!$D$16)*Org!$B$10,0)</f>
        <v>0</v>
      </c>
      <c r="AO129" s="44">
        <f>AO$5*IF(AND(AO$4&gt;Teams!$G$80,MOD(AO$4-Teams!$G$80,MAX(1,ROUND(Params!$D$25,0)))=0),(Params!$D$26+Params!$D$17*Params!$D$16)*Org!$B$10,0)</f>
        <v>0</v>
      </c>
      <c r="AP129" s="44">
        <f>AP$5*IF(AND(AP$4&gt;Teams!$G$80,MOD(AP$4-Teams!$G$80,MAX(1,ROUND(Params!$D$25,0)))=0),(Params!$D$26+Params!$D$17*Params!$D$16)*Org!$B$10,0)</f>
        <v>0</v>
      </c>
      <c r="AQ129" s="44">
        <f>AQ$5*IF(AND(AQ$4&gt;Teams!$G$80,MOD(AQ$4-Teams!$G$80,MAX(1,ROUND(Params!$D$25,0)))=0),(Params!$D$26+Params!$D$17*Params!$D$16)*Org!$B$10,0)</f>
        <v>0</v>
      </c>
      <c r="AR129" s="44">
        <f>AR$5*IF(AND(AR$4&gt;Teams!$G$80,MOD(AR$4-Teams!$G$80,MAX(1,ROUND(Params!$D$25,0)))=0),(Params!$D$26+Params!$D$17*Params!$D$16)*Org!$B$10,0)</f>
        <v>0</v>
      </c>
      <c r="AS129" s="44">
        <f>AS$5*IF(AND(AS$4&gt;Teams!$G$80,MOD(AS$4-Teams!$G$80,MAX(1,ROUND(Params!$D$25,0)))=0),(Params!$D$26+Params!$D$17*Params!$D$16)*Org!$B$10,0)</f>
        <v>0</v>
      </c>
      <c r="AT129" s="44">
        <f>AT$5*IF(AND(AT$4&gt;Teams!$G$80,MOD(AT$4-Teams!$G$80,MAX(1,ROUND(Params!$D$25,0)))=0),(Params!$D$26+Params!$D$17*Params!$D$16)*Org!$B$10,0)</f>
        <v>0</v>
      </c>
      <c r="AU129" s="44">
        <f>AU$5*IF(AND(AU$4&gt;Teams!$G$80,MOD(AU$4-Teams!$G$80,MAX(1,ROUND(Params!$D$25,0)))=0),(Params!$D$26+Params!$D$17*Params!$D$16)*Org!$B$10,0)</f>
        <v>0</v>
      </c>
      <c r="AV129" s="44">
        <f>AV$5*IF(AND(AV$4&gt;Teams!$G$80,MOD(AV$4-Teams!$G$80,MAX(1,ROUND(Params!$D$25,0)))=0),(Params!$D$26+Params!$D$17*Params!$D$16)*Org!$B$10,0)</f>
        <v>0</v>
      </c>
      <c r="AW129" s="44">
        <f>AW$5*IF(AND(AW$4&gt;Teams!$G$80,MOD(AW$4-Teams!$G$80,MAX(1,ROUND(Params!$D$25,0)))=0),(Params!$D$26+Params!$D$17*Params!$D$16)*Org!$B$10,0)</f>
        <v>0</v>
      </c>
      <c r="AX129" s="44">
        <f>AX$5*IF(AND(AX$4&gt;Teams!$G$80,MOD(AX$4-Teams!$G$80,MAX(1,ROUND(Params!$D$25,0)))=0),(Params!$D$26+Params!$D$17*Params!$D$16)*Org!$B$10,0)</f>
        <v>0</v>
      </c>
      <c r="AY129" s="44">
        <f>AY$5*IF(AND(AY$4&gt;Teams!$G$80,MOD(AY$4-Teams!$G$80,MAX(1,ROUND(Params!$D$25,0)))=0),(Params!$D$26+Params!$D$17*Params!$D$16)*Org!$B$10,0)</f>
        <v>0</v>
      </c>
      <c r="AZ129" s="44">
        <f>AZ$5*IF(AND(AZ$4&gt;Teams!$G$80,MOD(AZ$4-Teams!$G$80,MAX(1,ROUND(Params!$D$25,0)))=0),(Params!$D$26+Params!$D$17*Params!$D$16)*Org!$B$10,0)</f>
        <v>0</v>
      </c>
      <c r="BA129" s="44">
        <f>BA$5*IF(AND(BA$4&gt;Teams!$G$80,MOD(BA$4-Teams!$G$80,MAX(1,ROUND(Params!$D$25,0)))=0),(Params!$D$26+Params!$D$17*Params!$D$16)*Org!$B$10,0)</f>
        <v>0</v>
      </c>
      <c r="BB129" s="44">
        <f>BB$5*IF(AND(BB$4&gt;Teams!$G$80,MOD(BB$4-Teams!$G$80,MAX(1,ROUND(Params!$D$25,0)))=0),(Params!$D$26+Params!$D$17*Params!$D$16)*Org!$B$10,0)</f>
        <v>0</v>
      </c>
      <c r="BC129" s="44">
        <f>BC$5*IF(AND(BC$4&gt;Teams!$G$80,MOD(BC$4-Teams!$G$80,MAX(1,ROUND(Params!$D$25,0)))=0),(Params!$D$26+Params!$D$17*Params!$D$16)*Org!$B$10,0)</f>
        <v>0</v>
      </c>
      <c r="BD129" s="44">
        <f>BD$5*IF(AND(BD$4&gt;Teams!$G$80,MOD(BD$4-Teams!$G$80,MAX(1,ROUND(Params!$D$25,0)))=0),(Params!$D$26+Params!$D$17*Params!$D$16)*Org!$B$10,0)</f>
        <v>0</v>
      </c>
      <c r="BE129" s="44">
        <f>BE$5*IF(AND(BE$4&gt;Teams!$G$80,MOD(BE$4-Teams!$G$80,MAX(1,ROUND(Params!$D$25,0)))=0),(Params!$D$26+Params!$D$17*Params!$D$16)*Org!$B$10,0)</f>
        <v>0</v>
      </c>
      <c r="BF129" s="44">
        <f>BF$5*IF(AND(BF$4&gt;Teams!$G$80,MOD(BF$4-Teams!$G$80,MAX(1,ROUND(Params!$D$25,0)))=0),(Params!$D$26+Params!$D$17*Params!$D$16)*Org!$B$10,0)</f>
        <v>0</v>
      </c>
      <c r="BG129" s="44">
        <f>BG$5*IF(AND(BG$4&gt;Teams!$G$80,MOD(BG$4-Teams!$G$80,MAX(1,ROUND(Params!$D$25,0)))=0),(Params!$D$26+Params!$D$17*Params!$D$16)*Org!$B$10,0)</f>
        <v>0</v>
      </c>
      <c r="BH129" s="44">
        <f>BH$5*IF(AND(BH$4&gt;Teams!$G$80,MOD(BH$4-Teams!$G$80,MAX(1,ROUND(Params!$D$25,0)))=0),(Params!$D$26+Params!$D$17*Params!$D$16)*Org!$B$10,0)</f>
        <v>0</v>
      </c>
      <c r="BI129" s="44">
        <f>BI$5*IF(AND(BI$4&gt;Teams!$G$80,MOD(BI$4-Teams!$G$80,MAX(1,ROUND(Params!$D$25,0)))=0),(Params!$D$26+Params!$D$17*Params!$D$16)*Org!$B$10,0)</f>
        <v>0</v>
      </c>
      <c r="BJ129" s="44">
        <f>BJ$5*IF(AND(BJ$4&gt;Teams!$G$80,MOD(BJ$4-Teams!$G$80,MAX(1,ROUND(Params!$D$25,0)))=0),(Params!$D$26+Params!$D$17*Params!$D$16)*Org!$B$10,0)</f>
        <v>0</v>
      </c>
      <c r="BK129" s="44">
        <f>BK$5*IF(AND(BK$4&gt;Teams!$G$80,MOD(BK$4-Teams!$G$80,MAX(1,ROUND(Params!$D$25,0)))=0),(Params!$D$26+Params!$D$17*Params!$D$16)*Org!$B$10,0)</f>
        <v>0</v>
      </c>
      <c r="BL129" s="44">
        <f>BL$5*IF(AND(BL$4&gt;Teams!$G$80,MOD(BL$4-Teams!$G$80,MAX(1,ROUND(Params!$D$25,0)))=0),(Params!$D$26+Params!$D$17*Params!$D$16)*Org!$B$10,0)</f>
        <v>0</v>
      </c>
    </row>
    <row r="130" spans="1:64" x14ac:dyDescent="0.3">
      <c r="A130" s="8" t="s">
        <v>674</v>
      </c>
      <c r="B130" s="18" t="s">
        <v>604</v>
      </c>
      <c r="C130" s="44">
        <f t="shared" si="38"/>
        <v>94248.899999999965</v>
      </c>
      <c r="E130" s="44">
        <f>E$5*E120*MIN(1,Teams!$G$41*Params!$D$35)*Params!$D$36/60*Teams!$G$42</f>
        <v>208.4</v>
      </c>
      <c r="F130" s="44">
        <f>F$5*F120*MIN(1,Teams!$G$41*Params!$D$35)*Params!$D$36/60*Teams!$G$42</f>
        <v>729.39999999999986</v>
      </c>
      <c r="G130" s="44">
        <f>G$5*G120*MIN(1,Teams!$G$41*Params!$D$35)*Params!$D$36/60*Teams!$G$42</f>
        <v>1406.7</v>
      </c>
      <c r="H130" s="44">
        <f>H$5*H120*MIN(1,Teams!$G$41*Params!$D$35)*Params!$D$36/60*Teams!$G$42</f>
        <v>2084</v>
      </c>
      <c r="I130" s="44">
        <f>I$5*I120*MIN(1,Teams!$G$41*Params!$D$35)*Params!$D$36/60*Teams!$G$42</f>
        <v>2605.0000000000009</v>
      </c>
      <c r="J130" s="44">
        <f>J$5*J120*MIN(1,Teams!$G$41*Params!$D$35)*Params!$D$36/60*Teams!$G$42</f>
        <v>2813.4</v>
      </c>
      <c r="K130" s="44">
        <f>K$5*K120*MIN(1,Teams!$G$41*Params!$D$35)*Params!$D$36/60*Teams!$G$42</f>
        <v>2813.4</v>
      </c>
      <c r="L130" s="44">
        <f>L$5*L120*MIN(1,Teams!$G$41*Params!$D$35)*Params!$D$36/60*Teams!$G$42</f>
        <v>2813.4</v>
      </c>
      <c r="M130" s="44">
        <f>M$5*M120*MIN(1,Teams!$G$41*Params!$D$35)*Params!$D$36/60*Teams!$G$42</f>
        <v>2813.4</v>
      </c>
      <c r="N130" s="44">
        <f>N$5*N120*MIN(1,Teams!$G$41*Params!$D$35)*Params!$D$36/60*Teams!$G$42</f>
        <v>2813.4</v>
      </c>
      <c r="O130" s="44">
        <f>O$5*O120*MIN(1,Teams!$G$41*Params!$D$35)*Params!$D$36/60*Teams!$G$42</f>
        <v>2813.4</v>
      </c>
      <c r="P130" s="44">
        <f>P$5*P120*MIN(1,Teams!$G$41*Params!$D$35)*Params!$D$36/60*Teams!$G$42</f>
        <v>2813.4</v>
      </c>
      <c r="Q130" s="44">
        <f>Q$5*Q120*MIN(1,Teams!$G$41*Params!$D$35)*Params!$D$36/60*Teams!$G$42</f>
        <v>2813.4</v>
      </c>
      <c r="R130" s="44">
        <f>R$5*R120*MIN(1,Teams!$G$41*Params!$D$35)*Params!$D$36/60*Teams!$G$42</f>
        <v>2813.4</v>
      </c>
      <c r="S130" s="44">
        <f>S$5*S120*MIN(1,Teams!$G$41*Params!$D$35)*Params!$D$36/60*Teams!$G$42</f>
        <v>2813.4</v>
      </c>
      <c r="T130" s="44">
        <f>T$5*T120*MIN(1,Teams!$G$41*Params!$D$35)*Params!$D$36/60*Teams!$G$42</f>
        <v>2813.4</v>
      </c>
      <c r="U130" s="44">
        <f>U$5*U120*MIN(1,Teams!$G$41*Params!$D$35)*Params!$D$36/60*Teams!$G$42</f>
        <v>2813.4</v>
      </c>
      <c r="V130" s="44">
        <f>V$5*V120*MIN(1,Teams!$G$41*Params!$D$35)*Params!$D$36/60*Teams!$G$42</f>
        <v>2813.4</v>
      </c>
      <c r="W130" s="44">
        <f>W$5*W120*MIN(1,Teams!$G$41*Params!$D$35)*Params!$D$36/60*Teams!$G$42</f>
        <v>2813.4</v>
      </c>
      <c r="X130" s="44">
        <f>X$5*X120*MIN(1,Teams!$G$41*Params!$D$35)*Params!$D$36/60*Teams!$G$42</f>
        <v>2813.4</v>
      </c>
      <c r="Y130" s="44">
        <f>Y$5*Y120*MIN(1,Teams!$G$41*Params!$D$35)*Params!$D$36/60*Teams!$G$42</f>
        <v>2813.4</v>
      </c>
      <c r="Z130" s="44">
        <f>Z$5*Z120*MIN(1,Teams!$G$41*Params!$D$35)*Params!$D$36/60*Teams!$G$42</f>
        <v>2813.4</v>
      </c>
      <c r="AA130" s="44">
        <f>AA$5*AA120*MIN(1,Teams!$G$41*Params!$D$35)*Params!$D$36/60*Teams!$G$42</f>
        <v>2813.4</v>
      </c>
      <c r="AB130" s="44">
        <f>AB$5*AB120*MIN(1,Teams!$G$41*Params!$D$35)*Params!$D$36/60*Teams!$G$42</f>
        <v>2813.4</v>
      </c>
      <c r="AC130" s="44">
        <f>AC$5*AC120*MIN(1,Teams!$G$41*Params!$D$35)*Params!$D$36/60*Teams!$G$42</f>
        <v>2813.4</v>
      </c>
      <c r="AD130" s="44">
        <f>AD$5*AD120*MIN(1,Teams!$G$41*Params!$D$35)*Params!$D$36/60*Teams!$G$42</f>
        <v>2813.4</v>
      </c>
      <c r="AE130" s="44">
        <f>AE$5*AE120*MIN(1,Teams!$G$41*Params!$D$35)*Params!$D$36/60*Teams!$G$42</f>
        <v>2813.4</v>
      </c>
      <c r="AF130" s="44">
        <f>AF$5*AF120*MIN(1,Teams!$G$41*Params!$D$35)*Params!$D$36/60*Teams!$G$42</f>
        <v>2813.4</v>
      </c>
      <c r="AG130" s="44">
        <f>AG$5*AG120*MIN(1,Teams!$G$41*Params!$D$35)*Params!$D$36/60*Teams!$G$42</f>
        <v>2813.4</v>
      </c>
      <c r="AH130" s="44">
        <f>AH$5*AH120*MIN(1,Teams!$G$41*Params!$D$35)*Params!$D$36/60*Teams!$G$42</f>
        <v>2813.4</v>
      </c>
      <c r="AI130" s="44">
        <f>AI$5*AI120*MIN(1,Teams!$G$41*Params!$D$35)*Params!$D$36/60*Teams!$G$42</f>
        <v>2813.4</v>
      </c>
      <c r="AJ130" s="44">
        <f>AJ$5*AJ120*MIN(1,Teams!$G$41*Params!$D$35)*Params!$D$36/60*Teams!$G$42</f>
        <v>2813.4</v>
      </c>
      <c r="AK130" s="44">
        <f>AK$5*AK120*MIN(1,Teams!$G$41*Params!$D$35)*Params!$D$36/60*Teams!$G$42</f>
        <v>2813.4</v>
      </c>
      <c r="AL130" s="44">
        <f>AL$5*AL120*MIN(1,Teams!$G$41*Params!$D$35)*Params!$D$36/60*Teams!$G$42</f>
        <v>2813.4</v>
      </c>
      <c r="AM130" s="44">
        <f>AM$5*AM120*MIN(1,Teams!$G$41*Params!$D$35)*Params!$D$36/60*Teams!$G$42</f>
        <v>2813.4</v>
      </c>
      <c r="AN130" s="44">
        <f>AN$5*AN120*MIN(1,Teams!$G$41*Params!$D$35)*Params!$D$36/60*Teams!$G$42</f>
        <v>2813.4</v>
      </c>
      <c r="AO130" s="44">
        <f>AO$5*AO120*MIN(1,Teams!$G$41*Params!$D$35)*Params!$D$36/60*Teams!$G$42</f>
        <v>0</v>
      </c>
      <c r="AP130" s="44">
        <f>AP$5*AP120*MIN(1,Teams!$G$41*Params!$D$35)*Params!$D$36/60*Teams!$G$42</f>
        <v>0</v>
      </c>
      <c r="AQ130" s="44">
        <f>AQ$5*AQ120*MIN(1,Teams!$G$41*Params!$D$35)*Params!$D$36/60*Teams!$G$42</f>
        <v>0</v>
      </c>
      <c r="AR130" s="44">
        <f>AR$5*AR120*MIN(1,Teams!$G$41*Params!$D$35)*Params!$D$36/60*Teams!$G$42</f>
        <v>0</v>
      </c>
      <c r="AS130" s="44">
        <f>AS$5*AS120*MIN(1,Teams!$G$41*Params!$D$35)*Params!$D$36/60*Teams!$G$42</f>
        <v>0</v>
      </c>
      <c r="AT130" s="44">
        <f>AT$5*AT120*MIN(1,Teams!$G$41*Params!$D$35)*Params!$D$36/60*Teams!$G$42</f>
        <v>0</v>
      </c>
      <c r="AU130" s="44">
        <f>AU$5*AU120*MIN(1,Teams!$G$41*Params!$D$35)*Params!$D$36/60*Teams!$G$42</f>
        <v>0</v>
      </c>
      <c r="AV130" s="44">
        <f>AV$5*AV120*MIN(1,Teams!$G$41*Params!$D$35)*Params!$D$36/60*Teams!$G$42</f>
        <v>0</v>
      </c>
      <c r="AW130" s="44">
        <f>AW$5*AW120*MIN(1,Teams!$G$41*Params!$D$35)*Params!$D$36/60*Teams!$G$42</f>
        <v>0</v>
      </c>
      <c r="AX130" s="44">
        <f>AX$5*AX120*MIN(1,Teams!$G$41*Params!$D$35)*Params!$D$36/60*Teams!$G$42</f>
        <v>0</v>
      </c>
      <c r="AY130" s="44">
        <f>AY$5*AY120*MIN(1,Teams!$G$41*Params!$D$35)*Params!$D$36/60*Teams!$G$42</f>
        <v>0</v>
      </c>
      <c r="AZ130" s="44">
        <f>AZ$5*AZ120*MIN(1,Teams!$G$41*Params!$D$35)*Params!$D$36/60*Teams!$G$42</f>
        <v>0</v>
      </c>
      <c r="BA130" s="44">
        <f>BA$5*BA120*MIN(1,Teams!$G$41*Params!$D$35)*Params!$D$36/60*Teams!$G$42</f>
        <v>0</v>
      </c>
      <c r="BB130" s="44">
        <f>BB$5*BB120*MIN(1,Teams!$G$41*Params!$D$35)*Params!$D$36/60*Teams!$G$42</f>
        <v>0</v>
      </c>
      <c r="BC130" s="44">
        <f>BC$5*BC120*MIN(1,Teams!$G$41*Params!$D$35)*Params!$D$36/60*Teams!$G$42</f>
        <v>0</v>
      </c>
      <c r="BD130" s="44">
        <f>BD$5*BD120*MIN(1,Teams!$G$41*Params!$D$35)*Params!$D$36/60*Teams!$G$42</f>
        <v>0</v>
      </c>
      <c r="BE130" s="44">
        <f>BE$5*BE120*MIN(1,Teams!$G$41*Params!$D$35)*Params!$D$36/60*Teams!$G$42</f>
        <v>0</v>
      </c>
      <c r="BF130" s="44">
        <f>BF$5*BF120*MIN(1,Teams!$G$41*Params!$D$35)*Params!$D$36/60*Teams!$G$42</f>
        <v>0</v>
      </c>
      <c r="BG130" s="44">
        <f>BG$5*BG120*MIN(1,Teams!$G$41*Params!$D$35)*Params!$D$36/60*Teams!$G$42</f>
        <v>0</v>
      </c>
      <c r="BH130" s="44">
        <f>BH$5*BH120*MIN(1,Teams!$G$41*Params!$D$35)*Params!$D$36/60*Teams!$G$42</f>
        <v>0</v>
      </c>
      <c r="BI130" s="44">
        <f>BI$5*BI120*MIN(1,Teams!$G$41*Params!$D$35)*Params!$D$36/60*Teams!$G$42</f>
        <v>0</v>
      </c>
      <c r="BJ130" s="44">
        <f>BJ$5*BJ120*MIN(1,Teams!$G$41*Params!$D$35)*Params!$D$36/60*Teams!$G$42</f>
        <v>0</v>
      </c>
      <c r="BK130" s="44">
        <f>BK$5*BK120*MIN(1,Teams!$G$41*Params!$D$35)*Params!$D$36/60*Teams!$G$42</f>
        <v>0</v>
      </c>
      <c r="BL130" s="44">
        <f>BL$5*BL120*MIN(1,Teams!$G$41*Params!$D$35)*Params!$D$36/60*Teams!$G$42</f>
        <v>0</v>
      </c>
    </row>
    <row r="131" spans="1:64" x14ac:dyDescent="0.3">
      <c r="A131" s="8" t="s">
        <v>675</v>
      </c>
      <c r="B131" s="18" t="s">
        <v>169</v>
      </c>
      <c r="C131" s="44">
        <f t="shared" si="38"/>
        <v>88000.000000000044</v>
      </c>
      <c r="E131" s="44">
        <f>E$5*IF(E$4&gt;=Teams!$G$80,E118/1000*IF(E$4-Teams!$G$80&lt;6,Params!$D$37,Params!$D$38)*Org!$B$10*Org!$B$12/12,0)</f>
        <v>7333.333333333333</v>
      </c>
      <c r="F131" s="44">
        <f>F$5*IF(F$4&gt;=Teams!$G$80,F118/1000*IF(F$4-Teams!$G$80&lt;6,Params!$D$37,Params!$D$38)*Org!$B$10*Org!$B$12/12,0)</f>
        <v>7333.333333333333</v>
      </c>
      <c r="G131" s="44">
        <f>G$5*IF(G$4&gt;=Teams!$G$80,G118/1000*IF(G$4-Teams!$G$80&lt;6,Params!$D$37,Params!$D$38)*Org!$B$10*Org!$B$12/12,0)</f>
        <v>7333.333333333333</v>
      </c>
      <c r="H131" s="44">
        <f>H$5*IF(H$4&gt;=Teams!$G$80,H118/1000*IF(H$4-Teams!$G$80&lt;6,Params!$D$37,Params!$D$38)*Org!$B$10*Org!$B$12/12,0)</f>
        <v>7333.333333333333</v>
      </c>
      <c r="I131" s="44">
        <f>I$5*IF(I$4&gt;=Teams!$G$80,I118/1000*IF(I$4-Teams!$G$80&lt;6,Params!$D$37,Params!$D$38)*Org!$B$10*Org!$B$12/12,0)</f>
        <v>7333.333333333333</v>
      </c>
      <c r="J131" s="44">
        <f>J$5*IF(J$4&gt;=Teams!$G$80,J118/1000*IF(J$4-Teams!$G$80&lt;6,Params!$D$37,Params!$D$38)*Org!$B$10*Org!$B$12/12,0)</f>
        <v>7333.333333333333</v>
      </c>
      <c r="K131" s="44">
        <f>K$5*IF(K$4&gt;=Teams!$G$80,K118/1000*IF(K$4-Teams!$G$80&lt;6,Params!$D$37,Params!$D$38)*Org!$B$10*Org!$B$12/12,0)</f>
        <v>1466.6666666666667</v>
      </c>
      <c r="L131" s="44">
        <f>L$5*IF(L$4&gt;=Teams!$G$80,L118/1000*IF(L$4-Teams!$G$80&lt;6,Params!$D$37,Params!$D$38)*Org!$B$10*Org!$B$12/12,0)</f>
        <v>1466.6666666666667</v>
      </c>
      <c r="M131" s="44">
        <f>M$5*IF(M$4&gt;=Teams!$G$80,M118/1000*IF(M$4-Teams!$G$80&lt;6,Params!$D$37,Params!$D$38)*Org!$B$10*Org!$B$12/12,0)</f>
        <v>1466.6666666666667</v>
      </c>
      <c r="N131" s="44">
        <f>N$5*IF(N$4&gt;=Teams!$G$80,N118/1000*IF(N$4-Teams!$G$80&lt;6,Params!$D$37,Params!$D$38)*Org!$B$10*Org!$B$12/12,0)</f>
        <v>1466.6666666666667</v>
      </c>
      <c r="O131" s="44">
        <f>O$5*IF(O$4&gt;=Teams!$G$80,O118/1000*IF(O$4-Teams!$G$80&lt;6,Params!$D$37,Params!$D$38)*Org!$B$10*Org!$B$12/12,0)</f>
        <v>1466.6666666666667</v>
      </c>
      <c r="P131" s="44">
        <f>P$5*IF(P$4&gt;=Teams!$G$80,P118/1000*IF(P$4-Teams!$G$80&lt;6,Params!$D$37,Params!$D$38)*Org!$B$10*Org!$B$12/12,0)</f>
        <v>1466.6666666666667</v>
      </c>
      <c r="Q131" s="44">
        <f>Q$5*IF(Q$4&gt;=Teams!$G$80,Q118/1000*IF(Q$4-Teams!$G$80&lt;6,Params!$D$37,Params!$D$38)*Org!$B$10*Org!$B$12/12,0)</f>
        <v>1466.6666666666667</v>
      </c>
      <c r="R131" s="44">
        <f>R$5*IF(R$4&gt;=Teams!$G$80,R118/1000*IF(R$4-Teams!$G$80&lt;6,Params!$D$37,Params!$D$38)*Org!$B$10*Org!$B$12/12,0)</f>
        <v>1466.6666666666667</v>
      </c>
      <c r="S131" s="44">
        <f>S$5*IF(S$4&gt;=Teams!$G$80,S118/1000*IF(S$4-Teams!$G$80&lt;6,Params!$D$37,Params!$D$38)*Org!$B$10*Org!$B$12/12,0)</f>
        <v>1466.6666666666667</v>
      </c>
      <c r="T131" s="44">
        <f>T$5*IF(T$4&gt;=Teams!$G$80,T118/1000*IF(T$4-Teams!$G$80&lt;6,Params!$D$37,Params!$D$38)*Org!$B$10*Org!$B$12/12,0)</f>
        <v>1466.6666666666667</v>
      </c>
      <c r="U131" s="44">
        <f>U$5*IF(U$4&gt;=Teams!$G$80,U118/1000*IF(U$4-Teams!$G$80&lt;6,Params!$D$37,Params!$D$38)*Org!$B$10*Org!$B$12/12,0)</f>
        <v>1466.6666666666667</v>
      </c>
      <c r="V131" s="44">
        <f>V$5*IF(V$4&gt;=Teams!$G$80,V118/1000*IF(V$4-Teams!$G$80&lt;6,Params!$D$37,Params!$D$38)*Org!$B$10*Org!$B$12/12,0)</f>
        <v>1466.6666666666667</v>
      </c>
      <c r="W131" s="44">
        <f>W$5*IF(W$4&gt;=Teams!$G$80,W118/1000*IF(W$4-Teams!$G$80&lt;6,Params!$D$37,Params!$D$38)*Org!$B$10*Org!$B$12/12,0)</f>
        <v>1466.6666666666667</v>
      </c>
      <c r="X131" s="44">
        <f>X$5*IF(X$4&gt;=Teams!$G$80,X118/1000*IF(X$4-Teams!$G$80&lt;6,Params!$D$37,Params!$D$38)*Org!$B$10*Org!$B$12/12,0)</f>
        <v>1466.6666666666667</v>
      </c>
      <c r="Y131" s="44">
        <f>Y$5*IF(Y$4&gt;=Teams!$G$80,Y118/1000*IF(Y$4-Teams!$G$80&lt;6,Params!$D$37,Params!$D$38)*Org!$B$10*Org!$B$12/12,0)</f>
        <v>1466.6666666666667</v>
      </c>
      <c r="Z131" s="44">
        <f>Z$5*IF(Z$4&gt;=Teams!$G$80,Z118/1000*IF(Z$4-Teams!$G$80&lt;6,Params!$D$37,Params!$D$38)*Org!$B$10*Org!$B$12/12,0)</f>
        <v>1466.6666666666667</v>
      </c>
      <c r="AA131" s="44">
        <f>AA$5*IF(AA$4&gt;=Teams!$G$80,AA118/1000*IF(AA$4-Teams!$G$80&lt;6,Params!$D$37,Params!$D$38)*Org!$B$10*Org!$B$12/12,0)</f>
        <v>1466.6666666666667</v>
      </c>
      <c r="AB131" s="44">
        <f>AB$5*IF(AB$4&gt;=Teams!$G$80,AB118/1000*IF(AB$4-Teams!$G$80&lt;6,Params!$D$37,Params!$D$38)*Org!$B$10*Org!$B$12/12,0)</f>
        <v>1466.6666666666667</v>
      </c>
      <c r="AC131" s="44">
        <f>AC$5*IF(AC$4&gt;=Teams!$G$80,AC118/1000*IF(AC$4-Teams!$G$80&lt;6,Params!$D$37,Params!$D$38)*Org!$B$10*Org!$B$12/12,0)</f>
        <v>1466.6666666666667</v>
      </c>
      <c r="AD131" s="44">
        <f>AD$5*IF(AD$4&gt;=Teams!$G$80,AD118/1000*IF(AD$4-Teams!$G$80&lt;6,Params!$D$37,Params!$D$38)*Org!$B$10*Org!$B$12/12,0)</f>
        <v>1466.6666666666667</v>
      </c>
      <c r="AE131" s="44">
        <f>AE$5*IF(AE$4&gt;=Teams!$G$80,AE118/1000*IF(AE$4-Teams!$G$80&lt;6,Params!$D$37,Params!$D$38)*Org!$B$10*Org!$B$12/12,0)</f>
        <v>1466.6666666666667</v>
      </c>
      <c r="AF131" s="44">
        <f>AF$5*IF(AF$4&gt;=Teams!$G$80,AF118/1000*IF(AF$4-Teams!$G$80&lt;6,Params!$D$37,Params!$D$38)*Org!$B$10*Org!$B$12/12,0)</f>
        <v>1466.6666666666667</v>
      </c>
      <c r="AG131" s="44">
        <f>AG$5*IF(AG$4&gt;=Teams!$G$80,AG118/1000*IF(AG$4-Teams!$G$80&lt;6,Params!$D$37,Params!$D$38)*Org!$B$10*Org!$B$12/12,0)</f>
        <v>1466.6666666666667</v>
      </c>
      <c r="AH131" s="44">
        <f>AH$5*IF(AH$4&gt;=Teams!$G$80,AH118/1000*IF(AH$4-Teams!$G$80&lt;6,Params!$D$37,Params!$D$38)*Org!$B$10*Org!$B$12/12,0)</f>
        <v>1466.6666666666667</v>
      </c>
      <c r="AI131" s="44">
        <f>AI$5*IF(AI$4&gt;=Teams!$G$80,AI118/1000*IF(AI$4-Teams!$G$80&lt;6,Params!$D$37,Params!$D$38)*Org!$B$10*Org!$B$12/12,0)</f>
        <v>1466.6666666666667</v>
      </c>
      <c r="AJ131" s="44">
        <f>AJ$5*IF(AJ$4&gt;=Teams!$G$80,AJ118/1000*IF(AJ$4-Teams!$G$80&lt;6,Params!$D$37,Params!$D$38)*Org!$B$10*Org!$B$12/12,0)</f>
        <v>1466.6666666666667</v>
      </c>
      <c r="AK131" s="44">
        <f>AK$5*IF(AK$4&gt;=Teams!$G$80,AK118/1000*IF(AK$4-Teams!$G$80&lt;6,Params!$D$37,Params!$D$38)*Org!$B$10*Org!$B$12/12,0)</f>
        <v>1466.6666666666667</v>
      </c>
      <c r="AL131" s="44">
        <f>AL$5*IF(AL$4&gt;=Teams!$G$80,AL118/1000*IF(AL$4-Teams!$G$80&lt;6,Params!$D$37,Params!$D$38)*Org!$B$10*Org!$B$12/12,0)</f>
        <v>1466.6666666666667</v>
      </c>
      <c r="AM131" s="44">
        <f>AM$5*IF(AM$4&gt;=Teams!$G$80,AM118/1000*IF(AM$4-Teams!$G$80&lt;6,Params!$D$37,Params!$D$38)*Org!$B$10*Org!$B$12/12,0)</f>
        <v>1466.6666666666667</v>
      </c>
      <c r="AN131" s="44">
        <f>AN$5*IF(AN$4&gt;=Teams!$G$80,AN118/1000*IF(AN$4-Teams!$G$80&lt;6,Params!$D$37,Params!$D$38)*Org!$B$10*Org!$B$12/12,0)</f>
        <v>1466.6666666666667</v>
      </c>
      <c r="AO131" s="44">
        <f>AO$5*IF(AO$4&gt;=Teams!$G$80,AO118/1000*IF(AO$4-Teams!$G$80&lt;6,Params!$D$37,Params!$D$38)*Org!$B$10*Org!$B$12/12,0)</f>
        <v>0</v>
      </c>
      <c r="AP131" s="44">
        <f>AP$5*IF(AP$4&gt;=Teams!$G$80,AP118/1000*IF(AP$4-Teams!$G$80&lt;6,Params!$D$37,Params!$D$38)*Org!$B$10*Org!$B$12/12,0)</f>
        <v>0</v>
      </c>
      <c r="AQ131" s="44">
        <f>AQ$5*IF(AQ$4&gt;=Teams!$G$80,AQ118/1000*IF(AQ$4-Teams!$G$80&lt;6,Params!$D$37,Params!$D$38)*Org!$B$10*Org!$B$12/12,0)</f>
        <v>0</v>
      </c>
      <c r="AR131" s="44">
        <f>AR$5*IF(AR$4&gt;=Teams!$G$80,AR118/1000*IF(AR$4-Teams!$G$80&lt;6,Params!$D$37,Params!$D$38)*Org!$B$10*Org!$B$12/12,0)</f>
        <v>0</v>
      </c>
      <c r="AS131" s="44">
        <f>AS$5*IF(AS$4&gt;=Teams!$G$80,AS118/1000*IF(AS$4-Teams!$G$80&lt;6,Params!$D$37,Params!$D$38)*Org!$B$10*Org!$B$12/12,0)</f>
        <v>0</v>
      </c>
      <c r="AT131" s="44">
        <f>AT$5*IF(AT$4&gt;=Teams!$G$80,AT118/1000*IF(AT$4-Teams!$G$80&lt;6,Params!$D$37,Params!$D$38)*Org!$B$10*Org!$B$12/12,0)</f>
        <v>0</v>
      </c>
      <c r="AU131" s="44">
        <f>AU$5*IF(AU$4&gt;=Teams!$G$80,AU118/1000*IF(AU$4-Teams!$G$80&lt;6,Params!$D$37,Params!$D$38)*Org!$B$10*Org!$B$12/12,0)</f>
        <v>0</v>
      </c>
      <c r="AV131" s="44">
        <f>AV$5*IF(AV$4&gt;=Teams!$G$80,AV118/1000*IF(AV$4-Teams!$G$80&lt;6,Params!$D$37,Params!$D$38)*Org!$B$10*Org!$B$12/12,0)</f>
        <v>0</v>
      </c>
      <c r="AW131" s="44">
        <f>AW$5*IF(AW$4&gt;=Teams!$G$80,AW118/1000*IF(AW$4-Teams!$G$80&lt;6,Params!$D$37,Params!$D$38)*Org!$B$10*Org!$B$12/12,0)</f>
        <v>0</v>
      </c>
      <c r="AX131" s="44">
        <f>AX$5*IF(AX$4&gt;=Teams!$G$80,AX118/1000*IF(AX$4-Teams!$G$80&lt;6,Params!$D$37,Params!$D$38)*Org!$B$10*Org!$B$12/12,0)</f>
        <v>0</v>
      </c>
      <c r="AY131" s="44">
        <f>AY$5*IF(AY$4&gt;=Teams!$G$80,AY118/1000*IF(AY$4-Teams!$G$80&lt;6,Params!$D$37,Params!$D$38)*Org!$B$10*Org!$B$12/12,0)</f>
        <v>0</v>
      </c>
      <c r="AZ131" s="44">
        <f>AZ$5*IF(AZ$4&gt;=Teams!$G$80,AZ118/1000*IF(AZ$4-Teams!$G$80&lt;6,Params!$D$37,Params!$D$38)*Org!$B$10*Org!$B$12/12,0)</f>
        <v>0</v>
      </c>
      <c r="BA131" s="44">
        <f>BA$5*IF(BA$4&gt;=Teams!$G$80,BA118/1000*IF(BA$4-Teams!$G$80&lt;6,Params!$D$37,Params!$D$38)*Org!$B$10*Org!$B$12/12,0)</f>
        <v>0</v>
      </c>
      <c r="BB131" s="44">
        <f>BB$5*IF(BB$4&gt;=Teams!$G$80,BB118/1000*IF(BB$4-Teams!$G$80&lt;6,Params!$D$37,Params!$D$38)*Org!$B$10*Org!$B$12/12,0)</f>
        <v>0</v>
      </c>
      <c r="BC131" s="44">
        <f>BC$5*IF(BC$4&gt;=Teams!$G$80,BC118/1000*IF(BC$4-Teams!$G$80&lt;6,Params!$D$37,Params!$D$38)*Org!$B$10*Org!$B$12/12,0)</f>
        <v>0</v>
      </c>
      <c r="BD131" s="44">
        <f>BD$5*IF(BD$4&gt;=Teams!$G$80,BD118/1000*IF(BD$4-Teams!$G$80&lt;6,Params!$D$37,Params!$D$38)*Org!$B$10*Org!$B$12/12,0)</f>
        <v>0</v>
      </c>
      <c r="BE131" s="44">
        <f>BE$5*IF(BE$4&gt;=Teams!$G$80,BE118/1000*IF(BE$4-Teams!$G$80&lt;6,Params!$D$37,Params!$D$38)*Org!$B$10*Org!$B$12/12,0)</f>
        <v>0</v>
      </c>
      <c r="BF131" s="44">
        <f>BF$5*IF(BF$4&gt;=Teams!$G$80,BF118/1000*IF(BF$4-Teams!$G$80&lt;6,Params!$D$37,Params!$D$38)*Org!$B$10*Org!$B$12/12,0)</f>
        <v>0</v>
      </c>
      <c r="BG131" s="44">
        <f>BG$5*IF(BG$4&gt;=Teams!$G$80,BG118/1000*IF(BG$4-Teams!$G$80&lt;6,Params!$D$37,Params!$D$38)*Org!$B$10*Org!$B$12/12,0)</f>
        <v>0</v>
      </c>
      <c r="BH131" s="44">
        <f>BH$5*IF(BH$4&gt;=Teams!$G$80,BH118/1000*IF(BH$4-Teams!$G$80&lt;6,Params!$D$37,Params!$D$38)*Org!$B$10*Org!$B$12/12,0)</f>
        <v>0</v>
      </c>
      <c r="BI131" s="44">
        <f>BI$5*IF(BI$4&gt;=Teams!$G$80,BI118/1000*IF(BI$4-Teams!$G$80&lt;6,Params!$D$37,Params!$D$38)*Org!$B$10*Org!$B$12/12,0)</f>
        <v>0</v>
      </c>
      <c r="BJ131" s="44">
        <f>BJ$5*IF(BJ$4&gt;=Teams!$G$80,BJ118/1000*IF(BJ$4-Teams!$G$80&lt;6,Params!$D$37,Params!$D$38)*Org!$B$10*Org!$B$12/12,0)</f>
        <v>0</v>
      </c>
      <c r="BK131" s="44">
        <f>BK$5*IF(BK$4&gt;=Teams!$G$80,BK118/1000*IF(BK$4-Teams!$G$80&lt;6,Params!$D$37,Params!$D$38)*Org!$B$10*Org!$B$12/12,0)</f>
        <v>0</v>
      </c>
      <c r="BL131" s="44">
        <f>BL$5*IF(BL$4&gt;=Teams!$G$80,BL118/1000*IF(BL$4-Teams!$G$80&lt;6,Params!$D$37,Params!$D$38)*Org!$B$10*Org!$B$12/12,0)</f>
        <v>0</v>
      </c>
    </row>
    <row r="132" spans="1:64" x14ac:dyDescent="0.3">
      <c r="A132" s="8" t="s">
        <v>676</v>
      </c>
      <c r="B132" s="18" t="s">
        <v>169</v>
      </c>
      <c r="C132" s="44">
        <f t="shared" si="38"/>
        <v>10000</v>
      </c>
      <c r="D132" s="44">
        <f>Teams!$G$5*((Teams!$G$43*Params!$D$4+Teams!$G$44/100000*Params!$D$5+Teams!$G$43*Params!$D$6)*Org!$B$10)</f>
        <v>10000</v>
      </c>
    </row>
    <row r="133" spans="1:64" x14ac:dyDescent="0.3">
      <c r="A133" s="8" t="s">
        <v>677</v>
      </c>
      <c r="B133" s="18" t="s">
        <v>435</v>
      </c>
      <c r="C133" s="44">
        <f t="shared" si="38"/>
        <v>78.900000000000006</v>
      </c>
      <c r="D133" s="44">
        <f>Teams!$G$5*(Teams!$G$49*(Teams!$G$44*Teams!$G$45*Teams!$G$75+Teams!$G$44*Teams!$G$47*Teams!$G$76/1000000))</f>
        <v>78.900000000000006</v>
      </c>
    </row>
    <row r="134" spans="1:64" x14ac:dyDescent="0.3">
      <c r="A134" s="8" t="s">
        <v>678</v>
      </c>
      <c r="B134" s="18" t="s">
        <v>169</v>
      </c>
      <c r="C134" s="44">
        <f t="shared" si="38"/>
        <v>18400</v>
      </c>
      <c r="D134" s="44">
        <f>Teams!$G$5*((Params!$D$13+Params!$D$16)*Org!$B$10)</f>
        <v>18400</v>
      </c>
    </row>
    <row r="135" spans="1:64" x14ac:dyDescent="0.3">
      <c r="A135" s="8" t="s">
        <v>679</v>
      </c>
      <c r="B135" s="18" t="s">
        <v>169</v>
      </c>
      <c r="C135" s="44">
        <f t="shared" si="38"/>
        <v>240000</v>
      </c>
      <c r="D135" s="44">
        <f>Teams!$G$5*(Teams!$G$18*Teams!$G$19*Params!$D$34*(Org!$B$10/Org!$B$11))</f>
        <v>240000</v>
      </c>
    </row>
    <row r="136" spans="1:64" x14ac:dyDescent="0.3">
      <c r="A136" s="8" t="s">
        <v>11</v>
      </c>
      <c r="C136" s="44">
        <f t="shared" si="38"/>
        <v>5937680.7000000039</v>
      </c>
      <c r="E136" s="44">
        <f>E$5*E120*Teams!$G$55/60*Teams!$G$56*INDEX(Params!$D$41:$F$41,Org!$B$17)*Teams!$G$57</f>
        <v>13129.199999999999</v>
      </c>
      <c r="F136" s="44">
        <f>F$5*F120*Teams!$G$55/60*Teams!$G$56*INDEX(Params!$D$41:$F$41,Org!$B$17)*Teams!$G$57</f>
        <v>45952.200000000004</v>
      </c>
      <c r="G136" s="44">
        <f>G$5*G120*Teams!$G$55/60*Teams!$G$56*INDEX(Params!$D$41:$F$41,Org!$B$17)*Teams!$G$57</f>
        <v>88622.1</v>
      </c>
      <c r="H136" s="44">
        <f>H$5*H120*Teams!$G$55/60*Teams!$G$56*INDEX(Params!$D$41:$F$41,Org!$B$17)*Teams!$G$57</f>
        <v>131292</v>
      </c>
      <c r="I136" s="44">
        <f>I$5*I120*Teams!$G$55/60*Teams!$G$56*INDEX(Params!$D$41:$F$41,Org!$B$17)*Teams!$G$57</f>
        <v>164115.00000000006</v>
      </c>
      <c r="J136" s="44">
        <f>J$5*J120*Teams!$G$55/60*Teams!$G$56*INDEX(Params!$D$41:$F$41,Org!$B$17)*Teams!$G$57</f>
        <v>177244.2</v>
      </c>
      <c r="K136" s="44">
        <f>K$5*K120*Teams!$G$55/60*Teams!$G$56*INDEX(Params!$D$41:$F$41,Org!$B$17)*Teams!$G$57</f>
        <v>177244.2</v>
      </c>
      <c r="L136" s="44">
        <f>L$5*L120*Teams!$G$55/60*Teams!$G$56*INDEX(Params!$D$41:$F$41,Org!$B$17)*Teams!$G$57</f>
        <v>177244.2</v>
      </c>
      <c r="M136" s="44">
        <f>M$5*M120*Teams!$G$55/60*Teams!$G$56*INDEX(Params!$D$41:$F$41,Org!$B$17)*Teams!$G$57</f>
        <v>177244.2</v>
      </c>
      <c r="N136" s="44">
        <f>N$5*N120*Teams!$G$55/60*Teams!$G$56*INDEX(Params!$D$41:$F$41,Org!$B$17)*Teams!$G$57</f>
        <v>177244.2</v>
      </c>
      <c r="O136" s="44">
        <f>O$5*O120*Teams!$G$55/60*Teams!$G$56*INDEX(Params!$D$41:$F$41,Org!$B$17)*Teams!$G$57</f>
        <v>177244.2</v>
      </c>
      <c r="P136" s="44">
        <f>P$5*P120*Teams!$G$55/60*Teams!$G$56*INDEX(Params!$D$41:$F$41,Org!$B$17)*Teams!$G$57</f>
        <v>177244.2</v>
      </c>
      <c r="Q136" s="44">
        <f>Q$5*Q120*Teams!$G$55/60*Teams!$G$56*INDEX(Params!$D$41:$F$41,Org!$B$17)*Teams!$G$57</f>
        <v>177244.2</v>
      </c>
      <c r="R136" s="44">
        <f>R$5*R120*Teams!$G$55/60*Teams!$G$56*INDEX(Params!$D$41:$F$41,Org!$B$17)*Teams!$G$57</f>
        <v>177244.2</v>
      </c>
      <c r="S136" s="44">
        <f>S$5*S120*Teams!$G$55/60*Teams!$G$56*INDEX(Params!$D$41:$F$41,Org!$B$17)*Teams!$G$57</f>
        <v>177244.2</v>
      </c>
      <c r="T136" s="44">
        <f>T$5*T120*Teams!$G$55/60*Teams!$G$56*INDEX(Params!$D$41:$F$41,Org!$B$17)*Teams!$G$57</f>
        <v>177244.2</v>
      </c>
      <c r="U136" s="44">
        <f>U$5*U120*Teams!$G$55/60*Teams!$G$56*INDEX(Params!$D$41:$F$41,Org!$B$17)*Teams!$G$57</f>
        <v>177244.2</v>
      </c>
      <c r="V136" s="44">
        <f>V$5*V120*Teams!$G$55/60*Teams!$G$56*INDEX(Params!$D$41:$F$41,Org!$B$17)*Teams!$G$57</f>
        <v>177244.2</v>
      </c>
      <c r="W136" s="44">
        <f>W$5*W120*Teams!$G$55/60*Teams!$G$56*INDEX(Params!$D$41:$F$41,Org!$B$17)*Teams!$G$57</f>
        <v>177244.2</v>
      </c>
      <c r="X136" s="44">
        <f>X$5*X120*Teams!$G$55/60*Teams!$G$56*INDEX(Params!$D$41:$F$41,Org!$B$17)*Teams!$G$57</f>
        <v>177244.2</v>
      </c>
      <c r="Y136" s="44">
        <f>Y$5*Y120*Teams!$G$55/60*Teams!$G$56*INDEX(Params!$D$41:$F$41,Org!$B$17)*Teams!$G$57</f>
        <v>177244.2</v>
      </c>
      <c r="Z136" s="44">
        <f>Z$5*Z120*Teams!$G$55/60*Teams!$G$56*INDEX(Params!$D$41:$F$41,Org!$B$17)*Teams!$G$57</f>
        <v>177244.2</v>
      </c>
      <c r="AA136" s="44">
        <f>AA$5*AA120*Teams!$G$55/60*Teams!$G$56*INDEX(Params!$D$41:$F$41,Org!$B$17)*Teams!$G$57</f>
        <v>177244.2</v>
      </c>
      <c r="AB136" s="44">
        <f>AB$5*AB120*Teams!$G$55/60*Teams!$G$56*INDEX(Params!$D$41:$F$41,Org!$B$17)*Teams!$G$57</f>
        <v>177244.2</v>
      </c>
      <c r="AC136" s="44">
        <f>AC$5*AC120*Teams!$G$55/60*Teams!$G$56*INDEX(Params!$D$41:$F$41,Org!$B$17)*Teams!$G$57</f>
        <v>177244.2</v>
      </c>
      <c r="AD136" s="44">
        <f>AD$5*AD120*Teams!$G$55/60*Teams!$G$56*INDEX(Params!$D$41:$F$41,Org!$B$17)*Teams!$G$57</f>
        <v>177244.2</v>
      </c>
      <c r="AE136" s="44">
        <f>AE$5*AE120*Teams!$G$55/60*Teams!$G$56*INDEX(Params!$D$41:$F$41,Org!$B$17)*Teams!$G$57</f>
        <v>177244.2</v>
      </c>
      <c r="AF136" s="44">
        <f>AF$5*AF120*Teams!$G$55/60*Teams!$G$56*INDEX(Params!$D$41:$F$41,Org!$B$17)*Teams!$G$57</f>
        <v>177244.2</v>
      </c>
      <c r="AG136" s="44">
        <f>AG$5*AG120*Teams!$G$55/60*Teams!$G$56*INDEX(Params!$D$41:$F$41,Org!$B$17)*Teams!$G$57</f>
        <v>177244.2</v>
      </c>
      <c r="AH136" s="44">
        <f>AH$5*AH120*Teams!$G$55/60*Teams!$G$56*INDEX(Params!$D$41:$F$41,Org!$B$17)*Teams!$G$57</f>
        <v>177244.2</v>
      </c>
      <c r="AI136" s="44">
        <f>AI$5*AI120*Teams!$G$55/60*Teams!$G$56*INDEX(Params!$D$41:$F$41,Org!$B$17)*Teams!$G$57</f>
        <v>177244.2</v>
      </c>
      <c r="AJ136" s="44">
        <f>AJ$5*AJ120*Teams!$G$55/60*Teams!$G$56*INDEX(Params!$D$41:$F$41,Org!$B$17)*Teams!$G$57</f>
        <v>177244.2</v>
      </c>
      <c r="AK136" s="44">
        <f>AK$5*AK120*Teams!$G$55/60*Teams!$G$56*INDEX(Params!$D$41:$F$41,Org!$B$17)*Teams!$G$57</f>
        <v>177244.2</v>
      </c>
      <c r="AL136" s="44">
        <f>AL$5*AL120*Teams!$G$55/60*Teams!$G$56*INDEX(Params!$D$41:$F$41,Org!$B$17)*Teams!$G$57</f>
        <v>177244.2</v>
      </c>
      <c r="AM136" s="44">
        <f>AM$5*AM120*Teams!$G$55/60*Teams!$G$56*INDEX(Params!$D$41:$F$41,Org!$B$17)*Teams!$G$57</f>
        <v>177244.2</v>
      </c>
      <c r="AN136" s="44">
        <f>AN$5*AN120*Teams!$G$55/60*Teams!$G$56*INDEX(Params!$D$41:$F$41,Org!$B$17)*Teams!$G$57</f>
        <v>177244.2</v>
      </c>
      <c r="AO136" s="44">
        <f>AO$5*AO120*Teams!$G$55/60*Teams!$G$56*INDEX(Params!$D$41:$F$41,Org!$B$17)*Teams!$G$57</f>
        <v>0</v>
      </c>
      <c r="AP136" s="44">
        <f>AP$5*AP120*Teams!$G$55/60*Teams!$G$56*INDEX(Params!$D$41:$F$41,Org!$B$17)*Teams!$G$57</f>
        <v>0</v>
      </c>
      <c r="AQ136" s="44">
        <f>AQ$5*AQ120*Teams!$G$55/60*Teams!$G$56*INDEX(Params!$D$41:$F$41,Org!$B$17)*Teams!$G$57</f>
        <v>0</v>
      </c>
      <c r="AR136" s="44">
        <f>AR$5*AR120*Teams!$G$55/60*Teams!$G$56*INDEX(Params!$D$41:$F$41,Org!$B$17)*Teams!$G$57</f>
        <v>0</v>
      </c>
      <c r="AS136" s="44">
        <f>AS$5*AS120*Teams!$G$55/60*Teams!$G$56*INDEX(Params!$D$41:$F$41,Org!$B$17)*Teams!$G$57</f>
        <v>0</v>
      </c>
      <c r="AT136" s="44">
        <f>AT$5*AT120*Teams!$G$55/60*Teams!$G$56*INDEX(Params!$D$41:$F$41,Org!$B$17)*Teams!$G$57</f>
        <v>0</v>
      </c>
      <c r="AU136" s="44">
        <f>AU$5*AU120*Teams!$G$55/60*Teams!$G$56*INDEX(Params!$D$41:$F$41,Org!$B$17)*Teams!$G$57</f>
        <v>0</v>
      </c>
      <c r="AV136" s="44">
        <f>AV$5*AV120*Teams!$G$55/60*Teams!$G$56*INDEX(Params!$D$41:$F$41,Org!$B$17)*Teams!$G$57</f>
        <v>0</v>
      </c>
      <c r="AW136" s="44">
        <f>AW$5*AW120*Teams!$G$55/60*Teams!$G$56*INDEX(Params!$D$41:$F$41,Org!$B$17)*Teams!$G$57</f>
        <v>0</v>
      </c>
      <c r="AX136" s="44">
        <f>AX$5*AX120*Teams!$G$55/60*Teams!$G$56*INDEX(Params!$D$41:$F$41,Org!$B$17)*Teams!$G$57</f>
        <v>0</v>
      </c>
      <c r="AY136" s="44">
        <f>AY$5*AY120*Teams!$G$55/60*Teams!$G$56*INDEX(Params!$D$41:$F$41,Org!$B$17)*Teams!$G$57</f>
        <v>0</v>
      </c>
      <c r="AZ136" s="44">
        <f>AZ$5*AZ120*Teams!$G$55/60*Teams!$G$56*INDEX(Params!$D$41:$F$41,Org!$B$17)*Teams!$G$57</f>
        <v>0</v>
      </c>
      <c r="BA136" s="44">
        <f>BA$5*BA120*Teams!$G$55/60*Teams!$G$56*INDEX(Params!$D$41:$F$41,Org!$B$17)*Teams!$G$57</f>
        <v>0</v>
      </c>
      <c r="BB136" s="44">
        <f>BB$5*BB120*Teams!$G$55/60*Teams!$G$56*INDEX(Params!$D$41:$F$41,Org!$B$17)*Teams!$G$57</f>
        <v>0</v>
      </c>
      <c r="BC136" s="44">
        <f>BC$5*BC120*Teams!$G$55/60*Teams!$G$56*INDEX(Params!$D$41:$F$41,Org!$B$17)*Teams!$G$57</f>
        <v>0</v>
      </c>
      <c r="BD136" s="44">
        <f>BD$5*BD120*Teams!$G$55/60*Teams!$G$56*INDEX(Params!$D$41:$F$41,Org!$B$17)*Teams!$G$57</f>
        <v>0</v>
      </c>
      <c r="BE136" s="44">
        <f>BE$5*BE120*Teams!$G$55/60*Teams!$G$56*INDEX(Params!$D$41:$F$41,Org!$B$17)*Teams!$G$57</f>
        <v>0</v>
      </c>
      <c r="BF136" s="44">
        <f>BF$5*BF120*Teams!$G$55/60*Teams!$G$56*INDEX(Params!$D$41:$F$41,Org!$B$17)*Teams!$G$57</f>
        <v>0</v>
      </c>
      <c r="BG136" s="44">
        <f>BG$5*BG120*Teams!$G$55/60*Teams!$G$56*INDEX(Params!$D$41:$F$41,Org!$B$17)*Teams!$G$57</f>
        <v>0</v>
      </c>
      <c r="BH136" s="44">
        <f>BH$5*BH120*Teams!$G$55/60*Teams!$G$56*INDEX(Params!$D$41:$F$41,Org!$B$17)*Teams!$G$57</f>
        <v>0</v>
      </c>
      <c r="BI136" s="44">
        <f>BI$5*BI120*Teams!$G$55/60*Teams!$G$56*INDEX(Params!$D$41:$F$41,Org!$B$17)*Teams!$G$57</f>
        <v>0</v>
      </c>
      <c r="BJ136" s="44">
        <f>BJ$5*BJ120*Teams!$G$55/60*Teams!$G$56*INDEX(Params!$D$41:$F$41,Org!$B$17)*Teams!$G$57</f>
        <v>0</v>
      </c>
      <c r="BK136" s="44">
        <f>BK$5*BK120*Teams!$G$55/60*Teams!$G$56*INDEX(Params!$D$41:$F$41,Org!$B$17)*Teams!$G$57</f>
        <v>0</v>
      </c>
      <c r="BL136" s="44">
        <f>BL$5*BL120*Teams!$G$55/60*Teams!$G$56*INDEX(Params!$D$41:$F$41,Org!$B$17)*Teams!$G$57</f>
        <v>0</v>
      </c>
    </row>
    <row r="137" spans="1:64" x14ac:dyDescent="0.3">
      <c r="A137" s="8" t="s">
        <v>701</v>
      </c>
      <c r="C137" s="44">
        <f t="shared" si="38"/>
        <v>2499762.188000001</v>
      </c>
      <c r="D137" s="44">
        <f t="shared" ref="D137:AI137" si="39">SUM(D121:D135)</f>
        <v>268478.90000000002</v>
      </c>
      <c r="E137" s="44">
        <f t="shared" si="39"/>
        <v>64151.548555555557</v>
      </c>
      <c r="F137" s="44">
        <f t="shared" si="39"/>
        <v>64728.530777777778</v>
      </c>
      <c r="G137" s="44">
        <f t="shared" si="39"/>
        <v>65478.607666666663</v>
      </c>
      <c r="H137" s="44">
        <f t="shared" si="39"/>
        <v>66228.684555555548</v>
      </c>
      <c r="I137" s="44">
        <f t="shared" si="39"/>
        <v>66805.666777777777</v>
      </c>
      <c r="J137" s="44">
        <f t="shared" si="39"/>
        <v>67036.459666666662</v>
      </c>
      <c r="K137" s="44">
        <f t="shared" si="39"/>
        <v>61169.792999999991</v>
      </c>
      <c r="L137" s="44">
        <f t="shared" si="39"/>
        <v>61169.792999999991</v>
      </c>
      <c r="M137" s="44">
        <f t="shared" si="39"/>
        <v>61169.792999999991</v>
      </c>
      <c r="N137" s="44">
        <f t="shared" si="39"/>
        <v>61169.792999999991</v>
      </c>
      <c r="O137" s="44">
        <f t="shared" si="39"/>
        <v>61169.792999999991</v>
      </c>
      <c r="P137" s="44">
        <f t="shared" si="39"/>
        <v>61169.792999999991</v>
      </c>
      <c r="Q137" s="44">
        <f t="shared" si="39"/>
        <v>61169.792999999991</v>
      </c>
      <c r="R137" s="44">
        <f t="shared" si="39"/>
        <v>61169.792999999991</v>
      </c>
      <c r="S137" s="44">
        <f t="shared" si="39"/>
        <v>61169.792999999991</v>
      </c>
      <c r="T137" s="44">
        <f t="shared" si="39"/>
        <v>61169.792999999991</v>
      </c>
      <c r="U137" s="44">
        <f t="shared" si="39"/>
        <v>61169.792999999991</v>
      </c>
      <c r="V137" s="44">
        <f t="shared" si="39"/>
        <v>61169.792999999991</v>
      </c>
      <c r="W137" s="44">
        <f t="shared" si="39"/>
        <v>61169.792999999991</v>
      </c>
      <c r="X137" s="44">
        <f t="shared" si="39"/>
        <v>61169.792999999991</v>
      </c>
      <c r="Y137" s="44">
        <f t="shared" si="39"/>
        <v>61169.792999999991</v>
      </c>
      <c r="Z137" s="44">
        <f t="shared" si="39"/>
        <v>61169.792999999991</v>
      </c>
      <c r="AA137" s="44">
        <f t="shared" si="39"/>
        <v>61169.792999999991</v>
      </c>
      <c r="AB137" s="44">
        <f t="shared" si="39"/>
        <v>61169.792999999991</v>
      </c>
      <c r="AC137" s="44">
        <f t="shared" si="39"/>
        <v>61169.792999999991</v>
      </c>
      <c r="AD137" s="44">
        <f t="shared" si="39"/>
        <v>62929.792999999991</v>
      </c>
      <c r="AE137" s="44">
        <f t="shared" si="39"/>
        <v>61169.792999999991</v>
      </c>
      <c r="AF137" s="44">
        <f t="shared" si="39"/>
        <v>61169.792999999991</v>
      </c>
      <c r="AG137" s="44">
        <f t="shared" si="39"/>
        <v>61169.792999999991</v>
      </c>
      <c r="AH137" s="44">
        <f t="shared" si="39"/>
        <v>61169.792999999991</v>
      </c>
      <c r="AI137" s="44">
        <f t="shared" si="39"/>
        <v>61169.792999999991</v>
      </c>
      <c r="AJ137" s="44">
        <f t="shared" ref="AJ137:BL137" si="40">SUM(AJ121:AJ135)</f>
        <v>61169.792999999991</v>
      </c>
      <c r="AK137" s="44">
        <f t="shared" si="40"/>
        <v>61169.792999999991</v>
      </c>
      <c r="AL137" s="44">
        <f t="shared" si="40"/>
        <v>61169.792999999991</v>
      </c>
      <c r="AM137" s="44">
        <f t="shared" si="40"/>
        <v>61169.792999999991</v>
      </c>
      <c r="AN137" s="44">
        <f t="shared" si="40"/>
        <v>61169.792999999991</v>
      </c>
      <c r="AO137" s="44">
        <f t="shared" si="40"/>
        <v>0</v>
      </c>
      <c r="AP137" s="44">
        <f t="shared" si="40"/>
        <v>0</v>
      </c>
      <c r="AQ137" s="44">
        <f t="shared" si="40"/>
        <v>0</v>
      </c>
      <c r="AR137" s="44">
        <f t="shared" si="40"/>
        <v>0</v>
      </c>
      <c r="AS137" s="44">
        <f t="shared" si="40"/>
        <v>0</v>
      </c>
      <c r="AT137" s="44">
        <f t="shared" si="40"/>
        <v>0</v>
      </c>
      <c r="AU137" s="44">
        <f t="shared" si="40"/>
        <v>0</v>
      </c>
      <c r="AV137" s="44">
        <f t="shared" si="40"/>
        <v>0</v>
      </c>
      <c r="AW137" s="44">
        <f t="shared" si="40"/>
        <v>0</v>
      </c>
      <c r="AX137" s="44">
        <f t="shared" si="40"/>
        <v>0</v>
      </c>
      <c r="AY137" s="44">
        <f t="shared" si="40"/>
        <v>0</v>
      </c>
      <c r="AZ137" s="44">
        <f t="shared" si="40"/>
        <v>0</v>
      </c>
      <c r="BA137" s="44">
        <f t="shared" si="40"/>
        <v>0</v>
      </c>
      <c r="BB137" s="44">
        <f t="shared" si="40"/>
        <v>0</v>
      </c>
      <c r="BC137" s="44">
        <f t="shared" si="40"/>
        <v>0</v>
      </c>
      <c r="BD137" s="44">
        <f t="shared" si="40"/>
        <v>0</v>
      </c>
      <c r="BE137" s="44">
        <f t="shared" si="40"/>
        <v>0</v>
      </c>
      <c r="BF137" s="44">
        <f t="shared" si="40"/>
        <v>0</v>
      </c>
      <c r="BG137" s="44">
        <f t="shared" si="40"/>
        <v>0</v>
      </c>
      <c r="BH137" s="44">
        <f t="shared" si="40"/>
        <v>0</v>
      </c>
      <c r="BI137" s="44">
        <f t="shared" si="40"/>
        <v>0</v>
      </c>
      <c r="BJ137" s="44">
        <f t="shared" si="40"/>
        <v>0</v>
      </c>
      <c r="BK137" s="44">
        <f t="shared" si="40"/>
        <v>0</v>
      </c>
      <c r="BL137" s="44">
        <f t="shared" si="40"/>
        <v>0</v>
      </c>
    </row>
    <row r="138" spans="1:64" x14ac:dyDescent="0.3">
      <c r="A138" s="8" t="s">
        <v>702</v>
      </c>
      <c r="C138" s="44">
        <f t="shared" si="38"/>
        <v>397241.00188983616</v>
      </c>
      <c r="D138" s="44">
        <f t="shared" ref="D138:AI138" si="41">$F$169*D158</f>
        <v>22712.0139597669</v>
      </c>
      <c r="E138" s="44">
        <f t="shared" si="41"/>
        <v>10380.38303756626</v>
      </c>
      <c r="F138" s="44">
        <f t="shared" si="41"/>
        <v>10385.806626499414</v>
      </c>
      <c r="G138" s="44">
        <f t="shared" si="41"/>
        <v>10392.481349163183</v>
      </c>
      <c r="H138" s="44">
        <f t="shared" si="41"/>
        <v>10399.476630639056</v>
      </c>
      <c r="I138" s="44">
        <f t="shared" si="41"/>
        <v>10403.184610155949</v>
      </c>
      <c r="J138" s="44">
        <f t="shared" si="41"/>
        <v>10405.079835661059</v>
      </c>
      <c r="K138" s="44">
        <f t="shared" si="41"/>
        <v>10405.419194679485</v>
      </c>
      <c r="L138" s="44">
        <f t="shared" si="41"/>
        <v>10405.419194679485</v>
      </c>
      <c r="M138" s="44">
        <f t="shared" si="41"/>
        <v>10405.419194679485</v>
      </c>
      <c r="N138" s="44">
        <f t="shared" si="41"/>
        <v>10405.419194679485</v>
      </c>
      <c r="O138" s="44">
        <f t="shared" si="41"/>
        <v>10405.419194679485</v>
      </c>
      <c r="P138" s="44">
        <f t="shared" si="41"/>
        <v>10405.419194679485</v>
      </c>
      <c r="Q138" s="44">
        <f t="shared" si="41"/>
        <v>10405.419194679485</v>
      </c>
      <c r="R138" s="44">
        <f t="shared" si="41"/>
        <v>10405.419194679485</v>
      </c>
      <c r="S138" s="44">
        <f t="shared" si="41"/>
        <v>10405.419194679485</v>
      </c>
      <c r="T138" s="44">
        <f t="shared" si="41"/>
        <v>10405.419194679485</v>
      </c>
      <c r="U138" s="44">
        <f t="shared" si="41"/>
        <v>10405.419194679485</v>
      </c>
      <c r="V138" s="44">
        <f t="shared" si="41"/>
        <v>10405.419194679485</v>
      </c>
      <c r="W138" s="44">
        <f t="shared" si="41"/>
        <v>10405.419194679485</v>
      </c>
      <c r="X138" s="44">
        <f t="shared" si="41"/>
        <v>10405.419194679485</v>
      </c>
      <c r="Y138" s="44">
        <f t="shared" si="41"/>
        <v>10405.419194679485</v>
      </c>
      <c r="Z138" s="44">
        <f t="shared" si="41"/>
        <v>10405.419194679485</v>
      </c>
      <c r="AA138" s="44">
        <f t="shared" si="41"/>
        <v>10405.419194679485</v>
      </c>
      <c r="AB138" s="44">
        <f t="shared" si="41"/>
        <v>10405.419194679485</v>
      </c>
      <c r="AC138" s="44">
        <f t="shared" si="41"/>
        <v>10405.419194679485</v>
      </c>
      <c r="AD138" s="44">
        <f t="shared" si="41"/>
        <v>10405.419194679485</v>
      </c>
      <c r="AE138" s="44">
        <f t="shared" si="41"/>
        <v>10405.419194679485</v>
      </c>
      <c r="AF138" s="44">
        <f t="shared" si="41"/>
        <v>10405.419194679485</v>
      </c>
      <c r="AG138" s="44">
        <f t="shared" si="41"/>
        <v>10405.419194679485</v>
      </c>
      <c r="AH138" s="44">
        <f t="shared" si="41"/>
        <v>10405.419194679485</v>
      </c>
      <c r="AI138" s="44">
        <f t="shared" si="41"/>
        <v>10405.419194679485</v>
      </c>
      <c r="AJ138" s="44">
        <f t="shared" ref="AJ138:BL138" si="42">$F$169*AJ158</f>
        <v>10405.419194679485</v>
      </c>
      <c r="AK138" s="44">
        <f t="shared" si="42"/>
        <v>10405.419194679485</v>
      </c>
      <c r="AL138" s="44">
        <f t="shared" si="42"/>
        <v>10405.419194679485</v>
      </c>
      <c r="AM138" s="44">
        <f t="shared" si="42"/>
        <v>10405.419194679485</v>
      </c>
      <c r="AN138" s="44">
        <f t="shared" si="42"/>
        <v>10405.419194679485</v>
      </c>
      <c r="AO138" s="44">
        <f t="shared" si="42"/>
        <v>0</v>
      </c>
      <c r="AP138" s="44">
        <f t="shared" si="42"/>
        <v>0</v>
      </c>
      <c r="AQ138" s="44">
        <f t="shared" si="42"/>
        <v>0</v>
      </c>
      <c r="AR138" s="44">
        <f t="shared" si="42"/>
        <v>0</v>
      </c>
      <c r="AS138" s="44">
        <f t="shared" si="42"/>
        <v>0</v>
      </c>
      <c r="AT138" s="44">
        <f t="shared" si="42"/>
        <v>0</v>
      </c>
      <c r="AU138" s="44">
        <f t="shared" si="42"/>
        <v>0</v>
      </c>
      <c r="AV138" s="44">
        <f t="shared" si="42"/>
        <v>0</v>
      </c>
      <c r="AW138" s="44">
        <f t="shared" si="42"/>
        <v>0</v>
      </c>
      <c r="AX138" s="44">
        <f t="shared" si="42"/>
        <v>0</v>
      </c>
      <c r="AY138" s="44">
        <f t="shared" si="42"/>
        <v>0</v>
      </c>
      <c r="AZ138" s="44">
        <f t="shared" si="42"/>
        <v>0</v>
      </c>
      <c r="BA138" s="44">
        <f t="shared" si="42"/>
        <v>0</v>
      </c>
      <c r="BB138" s="44">
        <f t="shared" si="42"/>
        <v>0</v>
      </c>
      <c r="BC138" s="44">
        <f t="shared" si="42"/>
        <v>0</v>
      </c>
      <c r="BD138" s="44">
        <f t="shared" si="42"/>
        <v>0</v>
      </c>
      <c r="BE138" s="44">
        <f t="shared" si="42"/>
        <v>0</v>
      </c>
      <c r="BF138" s="44">
        <f t="shared" si="42"/>
        <v>0</v>
      </c>
      <c r="BG138" s="44">
        <f t="shared" si="42"/>
        <v>0</v>
      </c>
      <c r="BH138" s="44">
        <f t="shared" si="42"/>
        <v>0</v>
      </c>
      <c r="BI138" s="44">
        <f t="shared" si="42"/>
        <v>0</v>
      </c>
      <c r="BJ138" s="44">
        <f t="shared" si="42"/>
        <v>0</v>
      </c>
      <c r="BK138" s="44">
        <f t="shared" si="42"/>
        <v>0</v>
      </c>
      <c r="BL138" s="44">
        <f t="shared" si="42"/>
        <v>0</v>
      </c>
    </row>
    <row r="139" spans="1:64" x14ac:dyDescent="0.3">
      <c r="A139" s="8" t="s">
        <v>1012</v>
      </c>
      <c r="C139" s="44">
        <f t="shared" si="38"/>
        <v>3040677.5101101622</v>
      </c>
      <c r="D139" s="44">
        <f t="shared" ref="D139:AI139" si="43">D136-D137-D138</f>
        <v>-291190.91395976691</v>
      </c>
      <c r="E139" s="44">
        <f t="shared" si="43"/>
        <v>-61402.731593121818</v>
      </c>
      <c r="F139" s="44">
        <f t="shared" si="43"/>
        <v>-29162.137404277186</v>
      </c>
      <c r="G139" s="44">
        <f t="shared" si="43"/>
        <v>12751.01098417016</v>
      </c>
      <c r="H139" s="44">
        <f t="shared" si="43"/>
        <v>54663.8388138054</v>
      </c>
      <c r="I139" s="44">
        <f t="shared" si="43"/>
        <v>86906.148612066332</v>
      </c>
      <c r="J139" s="44">
        <f t="shared" si="43"/>
        <v>99802.660497672288</v>
      </c>
      <c r="K139" s="44">
        <f t="shared" si="43"/>
        <v>105668.98780532053</v>
      </c>
      <c r="L139" s="44">
        <f t="shared" si="43"/>
        <v>105668.98780532053</v>
      </c>
      <c r="M139" s="44">
        <f t="shared" si="43"/>
        <v>105668.98780532053</v>
      </c>
      <c r="N139" s="44">
        <f t="shared" si="43"/>
        <v>105668.98780532053</v>
      </c>
      <c r="O139" s="44">
        <f t="shared" si="43"/>
        <v>105668.98780532053</v>
      </c>
      <c r="P139" s="44">
        <f t="shared" si="43"/>
        <v>105668.98780532053</v>
      </c>
      <c r="Q139" s="44">
        <f t="shared" si="43"/>
        <v>105668.98780532053</v>
      </c>
      <c r="R139" s="44">
        <f t="shared" si="43"/>
        <v>105668.98780532053</v>
      </c>
      <c r="S139" s="44">
        <f t="shared" si="43"/>
        <v>105668.98780532053</v>
      </c>
      <c r="T139" s="44">
        <f t="shared" si="43"/>
        <v>105668.98780532053</v>
      </c>
      <c r="U139" s="44">
        <f t="shared" si="43"/>
        <v>105668.98780532053</v>
      </c>
      <c r="V139" s="44">
        <f t="shared" si="43"/>
        <v>105668.98780532053</v>
      </c>
      <c r="W139" s="44">
        <f t="shared" si="43"/>
        <v>105668.98780532053</v>
      </c>
      <c r="X139" s="44">
        <f t="shared" si="43"/>
        <v>105668.98780532053</v>
      </c>
      <c r="Y139" s="44">
        <f t="shared" si="43"/>
        <v>105668.98780532053</v>
      </c>
      <c r="Z139" s="44">
        <f t="shared" si="43"/>
        <v>105668.98780532053</v>
      </c>
      <c r="AA139" s="44">
        <f t="shared" si="43"/>
        <v>105668.98780532053</v>
      </c>
      <c r="AB139" s="44">
        <f t="shared" si="43"/>
        <v>105668.98780532053</v>
      </c>
      <c r="AC139" s="44">
        <f t="shared" si="43"/>
        <v>105668.98780532053</v>
      </c>
      <c r="AD139" s="44">
        <f t="shared" si="43"/>
        <v>103908.98780532053</v>
      </c>
      <c r="AE139" s="44">
        <f t="shared" si="43"/>
        <v>105668.98780532053</v>
      </c>
      <c r="AF139" s="44">
        <f t="shared" si="43"/>
        <v>105668.98780532053</v>
      </c>
      <c r="AG139" s="44">
        <f t="shared" si="43"/>
        <v>105668.98780532053</v>
      </c>
      <c r="AH139" s="44">
        <f t="shared" si="43"/>
        <v>105668.98780532053</v>
      </c>
      <c r="AI139" s="44">
        <f t="shared" si="43"/>
        <v>105668.98780532053</v>
      </c>
      <c r="AJ139" s="44">
        <f t="shared" ref="AJ139:BO139" si="44">AJ136-AJ137-AJ138</f>
        <v>105668.98780532053</v>
      </c>
      <c r="AK139" s="44">
        <f t="shared" si="44"/>
        <v>105668.98780532053</v>
      </c>
      <c r="AL139" s="44">
        <f t="shared" si="44"/>
        <v>105668.98780532053</v>
      </c>
      <c r="AM139" s="44">
        <f t="shared" si="44"/>
        <v>105668.98780532053</v>
      </c>
      <c r="AN139" s="44">
        <f t="shared" si="44"/>
        <v>105668.98780532053</v>
      </c>
      <c r="AO139" s="44">
        <f t="shared" si="44"/>
        <v>0</v>
      </c>
      <c r="AP139" s="44">
        <f t="shared" si="44"/>
        <v>0</v>
      </c>
      <c r="AQ139" s="44">
        <f t="shared" si="44"/>
        <v>0</v>
      </c>
      <c r="AR139" s="44">
        <f t="shared" si="44"/>
        <v>0</v>
      </c>
      <c r="AS139" s="44">
        <f t="shared" si="44"/>
        <v>0</v>
      </c>
      <c r="AT139" s="44">
        <f t="shared" si="44"/>
        <v>0</v>
      </c>
      <c r="AU139" s="44">
        <f t="shared" si="44"/>
        <v>0</v>
      </c>
      <c r="AV139" s="44">
        <f t="shared" si="44"/>
        <v>0</v>
      </c>
      <c r="AW139" s="44">
        <f t="shared" si="44"/>
        <v>0</v>
      </c>
      <c r="AX139" s="44">
        <f t="shared" si="44"/>
        <v>0</v>
      </c>
      <c r="AY139" s="44">
        <f t="shared" si="44"/>
        <v>0</v>
      </c>
      <c r="AZ139" s="44">
        <f t="shared" si="44"/>
        <v>0</v>
      </c>
      <c r="BA139" s="44">
        <f t="shared" si="44"/>
        <v>0</v>
      </c>
      <c r="BB139" s="44">
        <f t="shared" si="44"/>
        <v>0</v>
      </c>
      <c r="BC139" s="44">
        <f t="shared" si="44"/>
        <v>0</v>
      </c>
      <c r="BD139" s="44">
        <f t="shared" si="44"/>
        <v>0</v>
      </c>
      <c r="BE139" s="44">
        <f t="shared" si="44"/>
        <v>0</v>
      </c>
      <c r="BF139" s="44">
        <f t="shared" si="44"/>
        <v>0</v>
      </c>
      <c r="BG139" s="44">
        <f t="shared" si="44"/>
        <v>0</v>
      </c>
      <c r="BH139" s="44">
        <f t="shared" si="44"/>
        <v>0</v>
      </c>
      <c r="BI139" s="44">
        <f t="shared" si="44"/>
        <v>0</v>
      </c>
      <c r="BJ139" s="44">
        <f t="shared" si="44"/>
        <v>0</v>
      </c>
      <c r="BK139" s="44">
        <f t="shared" si="44"/>
        <v>0</v>
      </c>
      <c r="BL139" s="44">
        <f t="shared" si="44"/>
        <v>0</v>
      </c>
    </row>
    <row r="140" spans="1:64" x14ac:dyDescent="0.3">
      <c r="A140" s="8" t="s">
        <v>1013</v>
      </c>
      <c r="D140" s="44">
        <f>D139</f>
        <v>-291190.91395976691</v>
      </c>
      <c r="E140" s="44">
        <f t="shared" ref="E140:AJ140" si="45">D140+E139</f>
        <v>-352593.64555288875</v>
      </c>
      <c r="F140" s="44">
        <f t="shared" si="45"/>
        <v>-381755.78295716591</v>
      </c>
      <c r="G140" s="44">
        <f t="shared" si="45"/>
        <v>-369004.77197299578</v>
      </c>
      <c r="H140" s="44">
        <f t="shared" si="45"/>
        <v>-314340.93315919035</v>
      </c>
      <c r="I140" s="44">
        <f t="shared" si="45"/>
        <v>-227434.784547124</v>
      </c>
      <c r="J140" s="44">
        <f t="shared" si="45"/>
        <v>-127632.12404945171</v>
      </c>
      <c r="K140" s="44">
        <f t="shared" si="45"/>
        <v>-21963.136244131179</v>
      </c>
      <c r="L140" s="44">
        <f t="shared" si="45"/>
        <v>83705.851561189353</v>
      </c>
      <c r="M140" s="44">
        <f t="shared" si="45"/>
        <v>189374.83936650987</v>
      </c>
      <c r="N140" s="44">
        <f t="shared" si="45"/>
        <v>295043.8271718304</v>
      </c>
      <c r="O140" s="44">
        <f t="shared" si="45"/>
        <v>400712.81497715093</v>
      </c>
      <c r="P140" s="44">
        <f t="shared" si="45"/>
        <v>506381.80278247147</v>
      </c>
      <c r="Q140" s="44">
        <f t="shared" si="45"/>
        <v>612050.79058779194</v>
      </c>
      <c r="R140" s="44">
        <f t="shared" si="45"/>
        <v>717719.77839311247</v>
      </c>
      <c r="S140" s="44">
        <f t="shared" si="45"/>
        <v>823388.766198433</v>
      </c>
      <c r="T140" s="44">
        <f t="shared" si="45"/>
        <v>929057.75400375354</v>
      </c>
      <c r="U140" s="44">
        <f t="shared" si="45"/>
        <v>1034726.7418090741</v>
      </c>
      <c r="V140" s="44">
        <f t="shared" si="45"/>
        <v>1140395.7296143947</v>
      </c>
      <c r="W140" s="44">
        <f t="shared" si="45"/>
        <v>1246064.7174197151</v>
      </c>
      <c r="X140" s="44">
        <f t="shared" si="45"/>
        <v>1351733.7052250355</v>
      </c>
      <c r="Y140" s="44">
        <f t="shared" si="45"/>
        <v>1457402.693030356</v>
      </c>
      <c r="Z140" s="44">
        <f t="shared" si="45"/>
        <v>1563071.6808356764</v>
      </c>
      <c r="AA140" s="44">
        <f t="shared" si="45"/>
        <v>1668740.6686409968</v>
      </c>
      <c r="AB140" s="44">
        <f t="shared" si="45"/>
        <v>1774409.6564463172</v>
      </c>
      <c r="AC140" s="44">
        <f t="shared" si="45"/>
        <v>1880078.6442516376</v>
      </c>
      <c r="AD140" s="44">
        <f t="shared" si="45"/>
        <v>1983987.632056958</v>
      </c>
      <c r="AE140" s="44">
        <f t="shared" si="45"/>
        <v>2089656.6198622785</v>
      </c>
      <c r="AF140" s="44">
        <f t="shared" si="45"/>
        <v>2195325.6076675989</v>
      </c>
      <c r="AG140" s="44">
        <f t="shared" si="45"/>
        <v>2300994.5954729193</v>
      </c>
      <c r="AH140" s="44">
        <f t="shared" si="45"/>
        <v>2406663.5832782397</v>
      </c>
      <c r="AI140" s="44">
        <f t="shared" si="45"/>
        <v>2512332.5710835601</v>
      </c>
      <c r="AJ140" s="44">
        <f t="shared" si="45"/>
        <v>2618001.5588888805</v>
      </c>
      <c r="AK140" s="44">
        <f t="shared" ref="AK140:BP140" si="46">AJ140+AK139</f>
        <v>2723670.546694201</v>
      </c>
      <c r="AL140" s="44">
        <f t="shared" si="46"/>
        <v>2829339.5344995214</v>
      </c>
      <c r="AM140" s="44">
        <f t="shared" si="46"/>
        <v>2935008.5223048418</v>
      </c>
      <c r="AN140" s="44">
        <f t="shared" si="46"/>
        <v>3040677.5101101622</v>
      </c>
      <c r="AO140" s="44">
        <f t="shared" si="46"/>
        <v>3040677.5101101622</v>
      </c>
      <c r="AP140" s="44">
        <f t="shared" si="46"/>
        <v>3040677.5101101622</v>
      </c>
      <c r="AQ140" s="44">
        <f t="shared" si="46"/>
        <v>3040677.5101101622</v>
      </c>
      <c r="AR140" s="44">
        <f t="shared" si="46"/>
        <v>3040677.5101101622</v>
      </c>
      <c r="AS140" s="44">
        <f t="shared" si="46"/>
        <v>3040677.5101101622</v>
      </c>
      <c r="AT140" s="44">
        <f t="shared" si="46"/>
        <v>3040677.5101101622</v>
      </c>
      <c r="AU140" s="44">
        <f t="shared" si="46"/>
        <v>3040677.5101101622</v>
      </c>
      <c r="AV140" s="44">
        <f t="shared" si="46"/>
        <v>3040677.5101101622</v>
      </c>
      <c r="AW140" s="44">
        <f t="shared" si="46"/>
        <v>3040677.5101101622</v>
      </c>
      <c r="AX140" s="44">
        <f t="shared" si="46"/>
        <v>3040677.5101101622</v>
      </c>
      <c r="AY140" s="44">
        <f t="shared" si="46"/>
        <v>3040677.5101101622</v>
      </c>
      <c r="AZ140" s="44">
        <f t="shared" si="46"/>
        <v>3040677.5101101622</v>
      </c>
      <c r="BA140" s="44">
        <f t="shared" si="46"/>
        <v>3040677.5101101622</v>
      </c>
      <c r="BB140" s="44">
        <f t="shared" si="46"/>
        <v>3040677.5101101622</v>
      </c>
      <c r="BC140" s="44">
        <f t="shared" si="46"/>
        <v>3040677.5101101622</v>
      </c>
      <c r="BD140" s="44">
        <f t="shared" si="46"/>
        <v>3040677.5101101622</v>
      </c>
      <c r="BE140" s="44">
        <f t="shared" si="46"/>
        <v>3040677.5101101622</v>
      </c>
      <c r="BF140" s="44">
        <f t="shared" si="46"/>
        <v>3040677.5101101622</v>
      </c>
      <c r="BG140" s="44">
        <f t="shared" si="46"/>
        <v>3040677.5101101622</v>
      </c>
      <c r="BH140" s="44">
        <f t="shared" si="46"/>
        <v>3040677.5101101622</v>
      </c>
      <c r="BI140" s="44">
        <f t="shared" si="46"/>
        <v>3040677.5101101622</v>
      </c>
      <c r="BJ140" s="44">
        <f t="shared" si="46"/>
        <v>3040677.5101101622</v>
      </c>
      <c r="BK140" s="44">
        <f t="shared" si="46"/>
        <v>3040677.5101101622</v>
      </c>
      <c r="BL140" s="44">
        <f t="shared" si="46"/>
        <v>3040677.5101101622</v>
      </c>
    </row>
    <row r="141" spans="1:64" x14ac:dyDescent="0.3">
      <c r="A141" s="8" t="s">
        <v>1014</v>
      </c>
      <c r="C141" s="22">
        <f>IF(COUNT(E141:BL141)=0,"None",MIN(E141:BL141))</f>
        <v>8</v>
      </c>
      <c r="E141" s="22" t="str">
        <f>IF(AND(E$4&lt;=Org!$B$5,E140&gt;=0),E$4,"")</f>
        <v/>
      </c>
      <c r="F141" s="22" t="str">
        <f>IF(AND(F$4&lt;=Org!$B$5,F140&gt;=0),F$4,"")</f>
        <v/>
      </c>
      <c r="G141" s="22" t="str">
        <f>IF(AND(G$4&lt;=Org!$B$5,G140&gt;=0),G$4,"")</f>
        <v/>
      </c>
      <c r="H141" s="22" t="str">
        <f>IF(AND(H$4&lt;=Org!$B$5,H140&gt;=0),H$4,"")</f>
        <v/>
      </c>
      <c r="I141" s="22" t="str">
        <f>IF(AND(I$4&lt;=Org!$B$5,I140&gt;=0),I$4,"")</f>
        <v/>
      </c>
      <c r="J141" s="22" t="str">
        <f>IF(AND(J$4&lt;=Org!$B$5,J140&gt;=0),J$4,"")</f>
        <v/>
      </c>
      <c r="K141" s="22" t="str">
        <f>IF(AND(K$4&lt;=Org!$B$5,K140&gt;=0),K$4,"")</f>
        <v/>
      </c>
      <c r="L141" s="22">
        <f>IF(AND(L$4&lt;=Org!$B$5,L140&gt;=0),L$4,"")</f>
        <v>8</v>
      </c>
      <c r="M141" s="22">
        <f>IF(AND(M$4&lt;=Org!$B$5,M140&gt;=0),M$4,"")</f>
        <v>9</v>
      </c>
      <c r="N141" s="22">
        <f>IF(AND(N$4&lt;=Org!$B$5,N140&gt;=0),N$4,"")</f>
        <v>10</v>
      </c>
      <c r="O141" s="22">
        <f>IF(AND(O$4&lt;=Org!$B$5,O140&gt;=0),O$4,"")</f>
        <v>11</v>
      </c>
      <c r="P141" s="22">
        <f>IF(AND(P$4&lt;=Org!$B$5,P140&gt;=0),P$4,"")</f>
        <v>12</v>
      </c>
      <c r="Q141" s="22">
        <f>IF(AND(Q$4&lt;=Org!$B$5,Q140&gt;=0),Q$4,"")</f>
        <v>13</v>
      </c>
      <c r="R141" s="22">
        <f>IF(AND(R$4&lt;=Org!$B$5,R140&gt;=0),R$4,"")</f>
        <v>14</v>
      </c>
      <c r="S141" s="22">
        <f>IF(AND(S$4&lt;=Org!$B$5,S140&gt;=0),S$4,"")</f>
        <v>15</v>
      </c>
      <c r="T141" s="22">
        <f>IF(AND(T$4&lt;=Org!$B$5,T140&gt;=0),T$4,"")</f>
        <v>16</v>
      </c>
      <c r="U141" s="22">
        <f>IF(AND(U$4&lt;=Org!$B$5,U140&gt;=0),U$4,"")</f>
        <v>17</v>
      </c>
      <c r="V141" s="22">
        <f>IF(AND(V$4&lt;=Org!$B$5,V140&gt;=0),V$4,"")</f>
        <v>18</v>
      </c>
      <c r="W141" s="22">
        <f>IF(AND(W$4&lt;=Org!$B$5,W140&gt;=0),W$4,"")</f>
        <v>19</v>
      </c>
      <c r="X141" s="22">
        <f>IF(AND(X$4&lt;=Org!$B$5,X140&gt;=0),X$4,"")</f>
        <v>20</v>
      </c>
      <c r="Y141" s="22">
        <f>IF(AND(Y$4&lt;=Org!$B$5,Y140&gt;=0),Y$4,"")</f>
        <v>21</v>
      </c>
      <c r="Z141" s="22">
        <f>IF(AND(Z$4&lt;=Org!$B$5,Z140&gt;=0),Z$4,"")</f>
        <v>22</v>
      </c>
      <c r="AA141" s="22">
        <f>IF(AND(AA$4&lt;=Org!$B$5,AA140&gt;=0),AA$4,"")</f>
        <v>23</v>
      </c>
      <c r="AB141" s="22">
        <f>IF(AND(AB$4&lt;=Org!$B$5,AB140&gt;=0),AB$4,"")</f>
        <v>24</v>
      </c>
      <c r="AC141" s="22">
        <f>IF(AND(AC$4&lt;=Org!$B$5,AC140&gt;=0),AC$4,"")</f>
        <v>25</v>
      </c>
      <c r="AD141" s="22">
        <f>IF(AND(AD$4&lt;=Org!$B$5,AD140&gt;=0),AD$4,"")</f>
        <v>26</v>
      </c>
      <c r="AE141" s="22">
        <f>IF(AND(AE$4&lt;=Org!$B$5,AE140&gt;=0),AE$4,"")</f>
        <v>27</v>
      </c>
      <c r="AF141" s="22">
        <f>IF(AND(AF$4&lt;=Org!$B$5,AF140&gt;=0),AF$4,"")</f>
        <v>28</v>
      </c>
      <c r="AG141" s="22">
        <f>IF(AND(AG$4&lt;=Org!$B$5,AG140&gt;=0),AG$4,"")</f>
        <v>29</v>
      </c>
      <c r="AH141" s="22">
        <f>IF(AND(AH$4&lt;=Org!$B$5,AH140&gt;=0),AH$4,"")</f>
        <v>30</v>
      </c>
      <c r="AI141" s="22">
        <f>IF(AND(AI$4&lt;=Org!$B$5,AI140&gt;=0),AI$4,"")</f>
        <v>31</v>
      </c>
      <c r="AJ141" s="22">
        <f>IF(AND(AJ$4&lt;=Org!$B$5,AJ140&gt;=0),AJ$4,"")</f>
        <v>32</v>
      </c>
      <c r="AK141" s="22">
        <f>IF(AND(AK$4&lt;=Org!$B$5,AK140&gt;=0),AK$4,"")</f>
        <v>33</v>
      </c>
      <c r="AL141" s="22">
        <f>IF(AND(AL$4&lt;=Org!$B$5,AL140&gt;=0),AL$4,"")</f>
        <v>34</v>
      </c>
      <c r="AM141" s="22">
        <f>IF(AND(AM$4&lt;=Org!$B$5,AM140&gt;=0),AM$4,"")</f>
        <v>35</v>
      </c>
      <c r="AN141" s="22">
        <f>IF(AND(AN$4&lt;=Org!$B$5,AN140&gt;=0),AN$4,"")</f>
        <v>36</v>
      </c>
      <c r="AO141" s="22" t="str">
        <f>IF(AND(AO$4&lt;=Org!$B$5,AO140&gt;=0),AO$4,"")</f>
        <v/>
      </c>
      <c r="AP141" s="22" t="str">
        <f>IF(AND(AP$4&lt;=Org!$B$5,AP140&gt;=0),AP$4,"")</f>
        <v/>
      </c>
      <c r="AQ141" s="22" t="str">
        <f>IF(AND(AQ$4&lt;=Org!$B$5,AQ140&gt;=0),AQ$4,"")</f>
        <v/>
      </c>
      <c r="AR141" s="22" t="str">
        <f>IF(AND(AR$4&lt;=Org!$B$5,AR140&gt;=0),AR$4,"")</f>
        <v/>
      </c>
      <c r="AS141" s="22" t="str">
        <f>IF(AND(AS$4&lt;=Org!$B$5,AS140&gt;=0),AS$4,"")</f>
        <v/>
      </c>
      <c r="AT141" s="22" t="str">
        <f>IF(AND(AT$4&lt;=Org!$B$5,AT140&gt;=0),AT$4,"")</f>
        <v/>
      </c>
      <c r="AU141" s="22" t="str">
        <f>IF(AND(AU$4&lt;=Org!$B$5,AU140&gt;=0),AU$4,"")</f>
        <v/>
      </c>
      <c r="AV141" s="22" t="str">
        <f>IF(AND(AV$4&lt;=Org!$B$5,AV140&gt;=0),AV$4,"")</f>
        <v/>
      </c>
      <c r="AW141" s="22" t="str">
        <f>IF(AND(AW$4&lt;=Org!$B$5,AW140&gt;=0),AW$4,"")</f>
        <v/>
      </c>
      <c r="AX141" s="22" t="str">
        <f>IF(AND(AX$4&lt;=Org!$B$5,AX140&gt;=0),AX$4,"")</f>
        <v/>
      </c>
      <c r="AY141" s="22" t="str">
        <f>IF(AND(AY$4&lt;=Org!$B$5,AY140&gt;=0),AY$4,"")</f>
        <v/>
      </c>
      <c r="AZ141" s="22" t="str">
        <f>IF(AND(AZ$4&lt;=Org!$B$5,AZ140&gt;=0),AZ$4,"")</f>
        <v/>
      </c>
      <c r="BA141" s="22" t="str">
        <f>IF(AND(BA$4&lt;=Org!$B$5,BA140&gt;=0),BA$4,"")</f>
        <v/>
      </c>
      <c r="BB141" s="22" t="str">
        <f>IF(AND(BB$4&lt;=Org!$B$5,BB140&gt;=0),BB$4,"")</f>
        <v/>
      </c>
      <c r="BC141" s="22" t="str">
        <f>IF(AND(BC$4&lt;=Org!$B$5,BC140&gt;=0),BC$4,"")</f>
        <v/>
      </c>
      <c r="BD141" s="22" t="str">
        <f>IF(AND(BD$4&lt;=Org!$B$5,BD140&gt;=0),BD$4,"")</f>
        <v/>
      </c>
      <c r="BE141" s="22" t="str">
        <f>IF(AND(BE$4&lt;=Org!$B$5,BE140&gt;=0),BE$4,"")</f>
        <v/>
      </c>
      <c r="BF141" s="22" t="str">
        <f>IF(AND(BF$4&lt;=Org!$B$5,BF140&gt;=0),BF$4,"")</f>
        <v/>
      </c>
      <c r="BG141" s="22" t="str">
        <f>IF(AND(BG$4&lt;=Org!$B$5,BG140&gt;=0),BG$4,"")</f>
        <v/>
      </c>
      <c r="BH141" s="22" t="str">
        <f>IF(AND(BH$4&lt;=Org!$B$5,BH140&gt;=0),BH$4,"")</f>
        <v/>
      </c>
      <c r="BI141" s="22" t="str">
        <f>IF(AND(BI$4&lt;=Org!$B$5,BI140&gt;=0),BI$4,"")</f>
        <v/>
      </c>
      <c r="BJ141" s="22" t="str">
        <f>IF(AND(BJ$4&lt;=Org!$B$5,BJ140&gt;=0),BJ$4,"")</f>
        <v/>
      </c>
      <c r="BK141" s="22" t="str">
        <f>IF(AND(BK$4&lt;=Org!$B$5,BK140&gt;=0),BK$4,"")</f>
        <v/>
      </c>
      <c r="BL141" s="22" t="str">
        <f>IF(AND(BL$4&lt;=Org!$B$5,BL140&gt;=0),BL$4,"")</f>
        <v/>
      </c>
    </row>
    <row r="143" spans="1:64" x14ac:dyDescent="0.3">
      <c r="A143" s="7" t="s">
        <v>1015</v>
      </c>
    </row>
    <row r="144" spans="1:64" x14ac:dyDescent="0.3">
      <c r="A144" s="8" t="s">
        <v>1016</v>
      </c>
      <c r="C144" s="22">
        <f>SUMPRODUCT(E144:BL144,E$5:BL$5)</f>
        <v>12149200</v>
      </c>
      <c r="E144" s="22">
        <f t="shared" ref="E144:AJ144" si="47">E12+E39+E66+E93+E120</f>
        <v>45333.333333333336</v>
      </c>
      <c r="F144" s="22">
        <f t="shared" si="47"/>
        <v>113629.62962962964</v>
      </c>
      <c r="G144" s="22">
        <f t="shared" si="47"/>
        <v>197680.77037037036</v>
      </c>
      <c r="H144" s="22">
        <f t="shared" si="47"/>
        <v>285768.53333333333</v>
      </c>
      <c r="I144" s="22">
        <f t="shared" si="47"/>
        <v>332461.09629629634</v>
      </c>
      <c r="J144" s="22">
        <f t="shared" si="47"/>
        <v>356326.637037037</v>
      </c>
      <c r="K144" s="22">
        <f t="shared" si="47"/>
        <v>360600</v>
      </c>
      <c r="L144" s="22">
        <f t="shared" si="47"/>
        <v>360600</v>
      </c>
      <c r="M144" s="22">
        <f t="shared" si="47"/>
        <v>360600</v>
      </c>
      <c r="N144" s="22">
        <f t="shared" si="47"/>
        <v>360600</v>
      </c>
      <c r="O144" s="22">
        <f t="shared" si="47"/>
        <v>360600</v>
      </c>
      <c r="P144" s="22">
        <f t="shared" si="47"/>
        <v>360600</v>
      </c>
      <c r="Q144" s="22">
        <f t="shared" si="47"/>
        <v>360600</v>
      </c>
      <c r="R144" s="22">
        <f t="shared" si="47"/>
        <v>360600</v>
      </c>
      <c r="S144" s="22">
        <f t="shared" si="47"/>
        <v>360600</v>
      </c>
      <c r="T144" s="22">
        <f t="shared" si="47"/>
        <v>360600</v>
      </c>
      <c r="U144" s="22">
        <f t="shared" si="47"/>
        <v>360600</v>
      </c>
      <c r="V144" s="22">
        <f t="shared" si="47"/>
        <v>360600</v>
      </c>
      <c r="W144" s="22">
        <f t="shared" si="47"/>
        <v>360600</v>
      </c>
      <c r="X144" s="22">
        <f t="shared" si="47"/>
        <v>360600</v>
      </c>
      <c r="Y144" s="22">
        <f t="shared" si="47"/>
        <v>360600</v>
      </c>
      <c r="Z144" s="22">
        <f t="shared" si="47"/>
        <v>360600</v>
      </c>
      <c r="AA144" s="22">
        <f t="shared" si="47"/>
        <v>360600</v>
      </c>
      <c r="AB144" s="22">
        <f t="shared" si="47"/>
        <v>360600</v>
      </c>
      <c r="AC144" s="22">
        <f t="shared" si="47"/>
        <v>360600</v>
      </c>
      <c r="AD144" s="22">
        <f t="shared" si="47"/>
        <v>360600</v>
      </c>
      <c r="AE144" s="22">
        <f t="shared" si="47"/>
        <v>360600</v>
      </c>
      <c r="AF144" s="22">
        <f t="shared" si="47"/>
        <v>360600</v>
      </c>
      <c r="AG144" s="22">
        <f t="shared" si="47"/>
        <v>360600</v>
      </c>
      <c r="AH144" s="22">
        <f t="shared" si="47"/>
        <v>360600</v>
      </c>
      <c r="AI144" s="22">
        <f t="shared" si="47"/>
        <v>360600</v>
      </c>
      <c r="AJ144" s="22">
        <f t="shared" si="47"/>
        <v>360600</v>
      </c>
      <c r="AK144" s="22">
        <f t="shared" ref="AK144:BL144" si="48">AK12+AK39+AK66+AK93+AK120</f>
        <v>360600</v>
      </c>
      <c r="AL144" s="22">
        <f t="shared" si="48"/>
        <v>360600</v>
      </c>
      <c r="AM144" s="22">
        <f t="shared" si="48"/>
        <v>360600</v>
      </c>
      <c r="AN144" s="22">
        <f t="shared" si="48"/>
        <v>360600</v>
      </c>
      <c r="AO144" s="22">
        <f t="shared" si="48"/>
        <v>360600</v>
      </c>
      <c r="AP144" s="22">
        <f t="shared" si="48"/>
        <v>360600</v>
      </c>
      <c r="AQ144" s="22">
        <f t="shared" si="48"/>
        <v>360600</v>
      </c>
      <c r="AR144" s="22">
        <f t="shared" si="48"/>
        <v>360600</v>
      </c>
      <c r="AS144" s="22">
        <f t="shared" si="48"/>
        <v>360600</v>
      </c>
      <c r="AT144" s="22">
        <f t="shared" si="48"/>
        <v>360600</v>
      </c>
      <c r="AU144" s="22">
        <f t="shared" si="48"/>
        <v>360600</v>
      </c>
      <c r="AV144" s="22">
        <f t="shared" si="48"/>
        <v>360600</v>
      </c>
      <c r="AW144" s="22">
        <f t="shared" si="48"/>
        <v>360600</v>
      </c>
      <c r="AX144" s="22">
        <f t="shared" si="48"/>
        <v>360600</v>
      </c>
      <c r="AY144" s="22">
        <f t="shared" si="48"/>
        <v>360600</v>
      </c>
      <c r="AZ144" s="22">
        <f t="shared" si="48"/>
        <v>360600</v>
      </c>
      <c r="BA144" s="22">
        <f t="shared" si="48"/>
        <v>360600</v>
      </c>
      <c r="BB144" s="22">
        <f t="shared" si="48"/>
        <v>360600</v>
      </c>
      <c r="BC144" s="22">
        <f t="shared" si="48"/>
        <v>360600</v>
      </c>
      <c r="BD144" s="22">
        <f t="shared" si="48"/>
        <v>360600</v>
      </c>
      <c r="BE144" s="22">
        <f t="shared" si="48"/>
        <v>360600</v>
      </c>
      <c r="BF144" s="22">
        <f t="shared" si="48"/>
        <v>360600</v>
      </c>
      <c r="BG144" s="22">
        <f t="shared" si="48"/>
        <v>360600</v>
      </c>
      <c r="BH144" s="22">
        <f t="shared" si="48"/>
        <v>360600</v>
      </c>
      <c r="BI144" s="22">
        <f t="shared" si="48"/>
        <v>360600</v>
      </c>
      <c r="BJ144" s="22">
        <f t="shared" si="48"/>
        <v>360600</v>
      </c>
      <c r="BK144" s="22">
        <f t="shared" si="48"/>
        <v>360600</v>
      </c>
      <c r="BL144" s="22">
        <f t="shared" si="48"/>
        <v>360600</v>
      </c>
    </row>
    <row r="145" spans="1:64" x14ac:dyDescent="0.3">
      <c r="A145" s="8" t="s">
        <v>1017</v>
      </c>
      <c r="B145" s="18" t="s">
        <v>169</v>
      </c>
      <c r="C145" s="44">
        <f t="shared" ref="C145:C158" si="49">SUM(D145:BL145)</f>
        <v>48000</v>
      </c>
      <c r="D145" s="44">
        <f>Params!$D$11*Org!$B$10</f>
        <v>48000</v>
      </c>
    </row>
    <row r="146" spans="1:64" x14ac:dyDescent="0.3">
      <c r="A146" s="8" t="s">
        <v>1018</v>
      </c>
      <c r="B146" s="18" t="s">
        <v>169</v>
      </c>
      <c r="C146" s="44">
        <f t="shared" si="49"/>
        <v>22400</v>
      </c>
      <c r="D146" s="44">
        <f>SUMPRODUCT(Teams!$C$5:$G$5,Teams!$C$43:$G$43)*Params!$D$8*Org!$B$10</f>
        <v>22400</v>
      </c>
    </row>
    <row r="147" spans="1:64" x14ac:dyDescent="0.3">
      <c r="A147" s="8" t="s">
        <v>1019</v>
      </c>
      <c r="B147" s="18" t="s">
        <v>169</v>
      </c>
      <c r="C147" s="44">
        <f t="shared" si="49"/>
        <v>32000</v>
      </c>
      <c r="D147" s="44">
        <f>(Org!$B$18*Params!$D$14+Params!$D$15)*Org!$B$10</f>
        <v>32000</v>
      </c>
    </row>
    <row r="148" spans="1:64" x14ac:dyDescent="0.3">
      <c r="A148" s="8" t="s">
        <v>1020</v>
      </c>
      <c r="B148" s="18" t="s">
        <v>169</v>
      </c>
      <c r="C148" s="44">
        <f t="shared" si="49"/>
        <v>12000</v>
      </c>
      <c r="D148" s="44">
        <f>Org!$B$18*Params!$D$18*Org!$B$10</f>
        <v>12000</v>
      </c>
    </row>
    <row r="149" spans="1:64" x14ac:dyDescent="0.3">
      <c r="A149" s="8" t="s">
        <v>1021</v>
      </c>
      <c r="B149" s="18" t="s">
        <v>169</v>
      </c>
      <c r="C149" s="44">
        <f t="shared" si="49"/>
        <v>14400</v>
      </c>
      <c r="E149" s="44">
        <f>E$5*$D$145*Params!$D$12/12</f>
        <v>400</v>
      </c>
      <c r="F149" s="44">
        <f>F$5*$D$145*Params!$D$12/12</f>
        <v>400</v>
      </c>
      <c r="G149" s="44">
        <f>G$5*$D$145*Params!$D$12/12</f>
        <v>400</v>
      </c>
      <c r="H149" s="44">
        <f>H$5*$D$145*Params!$D$12/12</f>
        <v>400</v>
      </c>
      <c r="I149" s="44">
        <f>I$5*$D$145*Params!$D$12/12</f>
        <v>400</v>
      </c>
      <c r="J149" s="44">
        <f>J$5*$D$145*Params!$D$12/12</f>
        <v>400</v>
      </c>
      <c r="K149" s="44">
        <f>K$5*$D$145*Params!$D$12/12</f>
        <v>400</v>
      </c>
      <c r="L149" s="44">
        <f>L$5*$D$145*Params!$D$12/12</f>
        <v>400</v>
      </c>
      <c r="M149" s="44">
        <f>M$5*$D$145*Params!$D$12/12</f>
        <v>400</v>
      </c>
      <c r="N149" s="44">
        <f>N$5*$D$145*Params!$D$12/12</f>
        <v>400</v>
      </c>
      <c r="O149" s="44">
        <f>O$5*$D$145*Params!$D$12/12</f>
        <v>400</v>
      </c>
      <c r="P149" s="44">
        <f>P$5*$D$145*Params!$D$12/12</f>
        <v>400</v>
      </c>
      <c r="Q149" s="44">
        <f>Q$5*$D$145*Params!$D$12/12</f>
        <v>400</v>
      </c>
      <c r="R149" s="44">
        <f>R$5*$D$145*Params!$D$12/12</f>
        <v>400</v>
      </c>
      <c r="S149" s="44">
        <f>S$5*$D$145*Params!$D$12/12</f>
        <v>400</v>
      </c>
      <c r="T149" s="44">
        <f>T$5*$D$145*Params!$D$12/12</f>
        <v>400</v>
      </c>
      <c r="U149" s="44">
        <f>U$5*$D$145*Params!$D$12/12</f>
        <v>400</v>
      </c>
      <c r="V149" s="44">
        <f>V$5*$D$145*Params!$D$12/12</f>
        <v>400</v>
      </c>
      <c r="W149" s="44">
        <f>W$5*$D$145*Params!$D$12/12</f>
        <v>400</v>
      </c>
      <c r="X149" s="44">
        <f>X$5*$D$145*Params!$D$12/12</f>
        <v>400</v>
      </c>
      <c r="Y149" s="44">
        <f>Y$5*$D$145*Params!$D$12/12</f>
        <v>400</v>
      </c>
      <c r="Z149" s="44">
        <f>Z$5*$D$145*Params!$D$12/12</f>
        <v>400</v>
      </c>
      <c r="AA149" s="44">
        <f>AA$5*$D$145*Params!$D$12/12</f>
        <v>400</v>
      </c>
      <c r="AB149" s="44">
        <f>AB$5*$D$145*Params!$D$12/12</f>
        <v>400</v>
      </c>
      <c r="AC149" s="44">
        <f>AC$5*$D$145*Params!$D$12/12</f>
        <v>400</v>
      </c>
      <c r="AD149" s="44">
        <f>AD$5*$D$145*Params!$D$12/12</f>
        <v>400</v>
      </c>
      <c r="AE149" s="44">
        <f>AE$5*$D$145*Params!$D$12/12</f>
        <v>400</v>
      </c>
      <c r="AF149" s="44">
        <f>AF$5*$D$145*Params!$D$12/12</f>
        <v>400</v>
      </c>
      <c r="AG149" s="44">
        <f>AG$5*$D$145*Params!$D$12/12</f>
        <v>400</v>
      </c>
      <c r="AH149" s="44">
        <f>AH$5*$D$145*Params!$D$12/12</f>
        <v>400</v>
      </c>
      <c r="AI149" s="44">
        <f>AI$5*$D$145*Params!$D$12/12</f>
        <v>400</v>
      </c>
      <c r="AJ149" s="44">
        <f>AJ$5*$D$145*Params!$D$12/12</f>
        <v>400</v>
      </c>
      <c r="AK149" s="44">
        <f>AK$5*$D$145*Params!$D$12/12</f>
        <v>400</v>
      </c>
      <c r="AL149" s="44">
        <f>AL$5*$D$145*Params!$D$12/12</f>
        <v>400</v>
      </c>
      <c r="AM149" s="44">
        <f>AM$5*$D$145*Params!$D$12/12</f>
        <v>400</v>
      </c>
      <c r="AN149" s="44">
        <f>AN$5*$D$145*Params!$D$12/12</f>
        <v>400</v>
      </c>
      <c r="AO149" s="44">
        <f>AO$5*$D$145*Params!$D$12/12</f>
        <v>0</v>
      </c>
      <c r="AP149" s="44">
        <f>AP$5*$D$145*Params!$D$12/12</f>
        <v>0</v>
      </c>
      <c r="AQ149" s="44">
        <f>AQ$5*$D$145*Params!$D$12/12</f>
        <v>0</v>
      </c>
      <c r="AR149" s="44">
        <f>AR$5*$D$145*Params!$D$12/12</f>
        <v>0</v>
      </c>
      <c r="AS149" s="44">
        <f>AS$5*$D$145*Params!$D$12/12</f>
        <v>0</v>
      </c>
      <c r="AT149" s="44">
        <f>AT$5*$D$145*Params!$D$12/12</f>
        <v>0</v>
      </c>
      <c r="AU149" s="44">
        <f>AU$5*$D$145*Params!$D$12/12</f>
        <v>0</v>
      </c>
      <c r="AV149" s="44">
        <f>AV$5*$D$145*Params!$D$12/12</f>
        <v>0</v>
      </c>
      <c r="AW149" s="44">
        <f>AW$5*$D$145*Params!$D$12/12</f>
        <v>0</v>
      </c>
      <c r="AX149" s="44">
        <f>AX$5*$D$145*Params!$D$12/12</f>
        <v>0</v>
      </c>
      <c r="AY149" s="44">
        <f>AY$5*$D$145*Params!$D$12/12</f>
        <v>0</v>
      </c>
      <c r="AZ149" s="44">
        <f>AZ$5*$D$145*Params!$D$12/12</f>
        <v>0</v>
      </c>
      <c r="BA149" s="44">
        <f>BA$5*$D$145*Params!$D$12/12</f>
        <v>0</v>
      </c>
      <c r="BB149" s="44">
        <f>BB$5*$D$145*Params!$D$12/12</f>
        <v>0</v>
      </c>
      <c r="BC149" s="44">
        <f>BC$5*$D$145*Params!$D$12/12</f>
        <v>0</v>
      </c>
      <c r="BD149" s="44">
        <f>BD$5*$D$145*Params!$D$12/12</f>
        <v>0</v>
      </c>
      <c r="BE149" s="44">
        <f>BE$5*$D$145*Params!$D$12/12</f>
        <v>0</v>
      </c>
      <c r="BF149" s="44">
        <f>BF$5*$D$145*Params!$D$12/12</f>
        <v>0</v>
      </c>
      <c r="BG149" s="44">
        <f>BG$5*$D$145*Params!$D$12/12</f>
        <v>0</v>
      </c>
      <c r="BH149" s="44">
        <f>BH$5*$D$145*Params!$D$12/12</f>
        <v>0</v>
      </c>
      <c r="BI149" s="44">
        <f>BI$5*$D$145*Params!$D$12/12</f>
        <v>0</v>
      </c>
      <c r="BJ149" s="44">
        <f>BJ$5*$D$145*Params!$D$12/12</f>
        <v>0</v>
      </c>
      <c r="BK149" s="44">
        <f>BK$5*$D$145*Params!$D$12/12</f>
        <v>0</v>
      </c>
      <c r="BL149" s="44">
        <f>BL$5*$D$145*Params!$D$12/12</f>
        <v>0</v>
      </c>
    </row>
    <row r="150" spans="1:64" x14ac:dyDescent="0.3">
      <c r="A150" s="8" t="s">
        <v>1022</v>
      </c>
      <c r="B150" s="18" t="s">
        <v>169</v>
      </c>
      <c r="C150" s="44">
        <f t="shared" si="49"/>
        <v>3360.0000000000014</v>
      </c>
      <c r="E150" s="44">
        <f>E$5*$D$146*Params!$D$9/12</f>
        <v>93.333333333333329</v>
      </c>
      <c r="F150" s="44">
        <f>F$5*$D$146*Params!$D$9/12</f>
        <v>93.333333333333329</v>
      </c>
      <c r="G150" s="44">
        <f>G$5*$D$146*Params!$D$9/12</f>
        <v>93.333333333333329</v>
      </c>
      <c r="H150" s="44">
        <f>H$5*$D$146*Params!$D$9/12</f>
        <v>93.333333333333329</v>
      </c>
      <c r="I150" s="44">
        <f>I$5*$D$146*Params!$D$9/12</f>
        <v>93.333333333333329</v>
      </c>
      <c r="J150" s="44">
        <f>J$5*$D$146*Params!$D$9/12</f>
        <v>93.333333333333329</v>
      </c>
      <c r="K150" s="44">
        <f>K$5*$D$146*Params!$D$9/12</f>
        <v>93.333333333333329</v>
      </c>
      <c r="L150" s="44">
        <f>L$5*$D$146*Params!$D$9/12</f>
        <v>93.333333333333329</v>
      </c>
      <c r="M150" s="44">
        <f>M$5*$D$146*Params!$D$9/12</f>
        <v>93.333333333333329</v>
      </c>
      <c r="N150" s="44">
        <f>N$5*$D$146*Params!$D$9/12</f>
        <v>93.333333333333329</v>
      </c>
      <c r="O150" s="44">
        <f>O$5*$D$146*Params!$D$9/12</f>
        <v>93.333333333333329</v>
      </c>
      <c r="P150" s="44">
        <f>P$5*$D$146*Params!$D$9/12</f>
        <v>93.333333333333329</v>
      </c>
      <c r="Q150" s="44">
        <f>Q$5*$D$146*Params!$D$9/12</f>
        <v>93.333333333333329</v>
      </c>
      <c r="R150" s="44">
        <f>R$5*$D$146*Params!$D$9/12</f>
        <v>93.333333333333329</v>
      </c>
      <c r="S150" s="44">
        <f>S$5*$D$146*Params!$D$9/12</f>
        <v>93.333333333333329</v>
      </c>
      <c r="T150" s="44">
        <f>T$5*$D$146*Params!$D$9/12</f>
        <v>93.333333333333329</v>
      </c>
      <c r="U150" s="44">
        <f>U$5*$D$146*Params!$D$9/12</f>
        <v>93.333333333333329</v>
      </c>
      <c r="V150" s="44">
        <f>V$5*$D$146*Params!$D$9/12</f>
        <v>93.333333333333329</v>
      </c>
      <c r="W150" s="44">
        <f>W$5*$D$146*Params!$D$9/12</f>
        <v>93.333333333333329</v>
      </c>
      <c r="X150" s="44">
        <f>X$5*$D$146*Params!$D$9/12</f>
        <v>93.333333333333329</v>
      </c>
      <c r="Y150" s="44">
        <f>Y$5*$D$146*Params!$D$9/12</f>
        <v>93.333333333333329</v>
      </c>
      <c r="Z150" s="44">
        <f>Z$5*$D$146*Params!$D$9/12</f>
        <v>93.333333333333329</v>
      </c>
      <c r="AA150" s="44">
        <f>AA$5*$D$146*Params!$D$9/12</f>
        <v>93.333333333333329</v>
      </c>
      <c r="AB150" s="44">
        <f>AB$5*$D$146*Params!$D$9/12</f>
        <v>93.333333333333329</v>
      </c>
      <c r="AC150" s="44">
        <f>AC$5*$D$146*Params!$D$9/12</f>
        <v>93.333333333333329</v>
      </c>
      <c r="AD150" s="44">
        <f>AD$5*$D$146*Params!$D$9/12</f>
        <v>93.333333333333329</v>
      </c>
      <c r="AE150" s="44">
        <f>AE$5*$D$146*Params!$D$9/12</f>
        <v>93.333333333333329</v>
      </c>
      <c r="AF150" s="44">
        <f>AF$5*$D$146*Params!$D$9/12</f>
        <v>93.333333333333329</v>
      </c>
      <c r="AG150" s="44">
        <f>AG$5*$D$146*Params!$D$9/12</f>
        <v>93.333333333333329</v>
      </c>
      <c r="AH150" s="44">
        <f>AH$5*$D$146*Params!$D$9/12</f>
        <v>93.333333333333329</v>
      </c>
      <c r="AI150" s="44">
        <f>AI$5*$D$146*Params!$D$9/12</f>
        <v>93.333333333333329</v>
      </c>
      <c r="AJ150" s="44">
        <f>AJ$5*$D$146*Params!$D$9/12</f>
        <v>93.333333333333329</v>
      </c>
      <c r="AK150" s="44">
        <f>AK$5*$D$146*Params!$D$9/12</f>
        <v>93.333333333333329</v>
      </c>
      <c r="AL150" s="44">
        <f>AL$5*$D$146*Params!$D$9/12</f>
        <v>93.333333333333329</v>
      </c>
      <c r="AM150" s="44">
        <f>AM$5*$D$146*Params!$D$9/12</f>
        <v>93.333333333333329</v>
      </c>
      <c r="AN150" s="44">
        <f>AN$5*$D$146*Params!$D$9/12</f>
        <v>93.333333333333329</v>
      </c>
      <c r="AO150" s="44">
        <f>AO$5*$D$146*Params!$D$9/12</f>
        <v>0</v>
      </c>
      <c r="AP150" s="44">
        <f>AP$5*$D$146*Params!$D$9/12</f>
        <v>0</v>
      </c>
      <c r="AQ150" s="44">
        <f>AQ$5*$D$146*Params!$D$9/12</f>
        <v>0</v>
      </c>
      <c r="AR150" s="44">
        <f>AR$5*$D$146*Params!$D$9/12</f>
        <v>0</v>
      </c>
      <c r="AS150" s="44">
        <f>AS$5*$D$146*Params!$D$9/12</f>
        <v>0</v>
      </c>
      <c r="AT150" s="44">
        <f>AT$5*$D$146*Params!$D$9/12</f>
        <v>0</v>
      </c>
      <c r="AU150" s="44">
        <f>AU$5*$D$146*Params!$D$9/12</f>
        <v>0</v>
      </c>
      <c r="AV150" s="44">
        <f>AV$5*$D$146*Params!$D$9/12</f>
        <v>0</v>
      </c>
      <c r="AW150" s="44">
        <f>AW$5*$D$146*Params!$D$9/12</f>
        <v>0</v>
      </c>
      <c r="AX150" s="44">
        <f>AX$5*$D$146*Params!$D$9/12</f>
        <v>0</v>
      </c>
      <c r="AY150" s="44">
        <f>AY$5*$D$146*Params!$D$9/12</f>
        <v>0</v>
      </c>
      <c r="AZ150" s="44">
        <f>AZ$5*$D$146*Params!$D$9/12</f>
        <v>0</v>
      </c>
      <c r="BA150" s="44">
        <f>BA$5*$D$146*Params!$D$9/12</f>
        <v>0</v>
      </c>
      <c r="BB150" s="44">
        <f>BB$5*$D$146*Params!$D$9/12</f>
        <v>0</v>
      </c>
      <c r="BC150" s="44">
        <f>BC$5*$D$146*Params!$D$9/12</f>
        <v>0</v>
      </c>
      <c r="BD150" s="44">
        <f>BD$5*$D$146*Params!$D$9/12</f>
        <v>0</v>
      </c>
      <c r="BE150" s="44">
        <f>BE$5*$D$146*Params!$D$9/12</f>
        <v>0</v>
      </c>
      <c r="BF150" s="44">
        <f>BF$5*$D$146*Params!$D$9/12</f>
        <v>0</v>
      </c>
      <c r="BG150" s="44">
        <f>BG$5*$D$146*Params!$D$9/12</f>
        <v>0</v>
      </c>
      <c r="BH150" s="44">
        <f>BH$5*$D$146*Params!$D$9/12</f>
        <v>0</v>
      </c>
      <c r="BI150" s="44">
        <f>BI$5*$D$146*Params!$D$9/12</f>
        <v>0</v>
      </c>
      <c r="BJ150" s="44">
        <f>BJ$5*$D$146*Params!$D$9/12</f>
        <v>0</v>
      </c>
      <c r="BK150" s="44">
        <f>BK$5*$D$146*Params!$D$9/12</f>
        <v>0</v>
      </c>
      <c r="BL150" s="44">
        <f>BL$5*$D$146*Params!$D$9/12</f>
        <v>0</v>
      </c>
    </row>
    <row r="151" spans="1:64" x14ac:dyDescent="0.3">
      <c r="A151" s="8" t="s">
        <v>1023</v>
      </c>
      <c r="B151" s="18" t="s">
        <v>169</v>
      </c>
      <c r="C151" s="44">
        <f t="shared" si="49"/>
        <v>9000</v>
      </c>
      <c r="E151" s="44">
        <f>E$5*$D$148*Params!$D$19/12</f>
        <v>250</v>
      </c>
      <c r="F151" s="44">
        <f>F$5*$D$148*Params!$D$19/12</f>
        <v>250</v>
      </c>
      <c r="G151" s="44">
        <f>G$5*$D$148*Params!$D$19/12</f>
        <v>250</v>
      </c>
      <c r="H151" s="44">
        <f>H$5*$D$148*Params!$D$19/12</f>
        <v>250</v>
      </c>
      <c r="I151" s="44">
        <f>I$5*$D$148*Params!$D$19/12</f>
        <v>250</v>
      </c>
      <c r="J151" s="44">
        <f>J$5*$D$148*Params!$D$19/12</f>
        <v>250</v>
      </c>
      <c r="K151" s="44">
        <f>K$5*$D$148*Params!$D$19/12</f>
        <v>250</v>
      </c>
      <c r="L151" s="44">
        <f>L$5*$D$148*Params!$D$19/12</f>
        <v>250</v>
      </c>
      <c r="M151" s="44">
        <f>M$5*$D$148*Params!$D$19/12</f>
        <v>250</v>
      </c>
      <c r="N151" s="44">
        <f>N$5*$D$148*Params!$D$19/12</f>
        <v>250</v>
      </c>
      <c r="O151" s="44">
        <f>O$5*$D$148*Params!$D$19/12</f>
        <v>250</v>
      </c>
      <c r="P151" s="44">
        <f>P$5*$D$148*Params!$D$19/12</f>
        <v>250</v>
      </c>
      <c r="Q151" s="44">
        <f>Q$5*$D$148*Params!$D$19/12</f>
        <v>250</v>
      </c>
      <c r="R151" s="44">
        <f>R$5*$D$148*Params!$D$19/12</f>
        <v>250</v>
      </c>
      <c r="S151" s="44">
        <f>S$5*$D$148*Params!$D$19/12</f>
        <v>250</v>
      </c>
      <c r="T151" s="44">
        <f>T$5*$D$148*Params!$D$19/12</f>
        <v>250</v>
      </c>
      <c r="U151" s="44">
        <f>U$5*$D$148*Params!$D$19/12</f>
        <v>250</v>
      </c>
      <c r="V151" s="44">
        <f>V$5*$D$148*Params!$D$19/12</f>
        <v>250</v>
      </c>
      <c r="W151" s="44">
        <f>W$5*$D$148*Params!$D$19/12</f>
        <v>250</v>
      </c>
      <c r="X151" s="44">
        <f>X$5*$D$148*Params!$D$19/12</f>
        <v>250</v>
      </c>
      <c r="Y151" s="44">
        <f>Y$5*$D$148*Params!$D$19/12</f>
        <v>250</v>
      </c>
      <c r="Z151" s="44">
        <f>Z$5*$D$148*Params!$D$19/12</f>
        <v>250</v>
      </c>
      <c r="AA151" s="44">
        <f>AA$5*$D$148*Params!$D$19/12</f>
        <v>250</v>
      </c>
      <c r="AB151" s="44">
        <f>AB$5*$D$148*Params!$D$19/12</f>
        <v>250</v>
      </c>
      <c r="AC151" s="44">
        <f>AC$5*$D$148*Params!$D$19/12</f>
        <v>250</v>
      </c>
      <c r="AD151" s="44">
        <f>AD$5*$D$148*Params!$D$19/12</f>
        <v>250</v>
      </c>
      <c r="AE151" s="44">
        <f>AE$5*$D$148*Params!$D$19/12</f>
        <v>250</v>
      </c>
      <c r="AF151" s="44">
        <f>AF$5*$D$148*Params!$D$19/12</f>
        <v>250</v>
      </c>
      <c r="AG151" s="44">
        <f>AG$5*$D$148*Params!$D$19/12</f>
        <v>250</v>
      </c>
      <c r="AH151" s="44">
        <f>AH$5*$D$148*Params!$D$19/12</f>
        <v>250</v>
      </c>
      <c r="AI151" s="44">
        <f>AI$5*$D$148*Params!$D$19/12</f>
        <v>250</v>
      </c>
      <c r="AJ151" s="44">
        <f>AJ$5*$D$148*Params!$D$19/12</f>
        <v>250</v>
      </c>
      <c r="AK151" s="44">
        <f>AK$5*$D$148*Params!$D$19/12</f>
        <v>250</v>
      </c>
      <c r="AL151" s="44">
        <f>AL$5*$D$148*Params!$D$19/12</f>
        <v>250</v>
      </c>
      <c r="AM151" s="44">
        <f>AM$5*$D$148*Params!$D$19/12</f>
        <v>250</v>
      </c>
      <c r="AN151" s="44">
        <f>AN$5*$D$148*Params!$D$19/12</f>
        <v>250</v>
      </c>
      <c r="AO151" s="44">
        <f>AO$5*$D$148*Params!$D$19/12</f>
        <v>0</v>
      </c>
      <c r="AP151" s="44">
        <f>AP$5*$D$148*Params!$D$19/12</f>
        <v>0</v>
      </c>
      <c r="AQ151" s="44">
        <f>AQ$5*$D$148*Params!$D$19/12</f>
        <v>0</v>
      </c>
      <c r="AR151" s="44">
        <f>AR$5*$D$148*Params!$D$19/12</f>
        <v>0</v>
      </c>
      <c r="AS151" s="44">
        <f>AS$5*$D$148*Params!$D$19/12</f>
        <v>0</v>
      </c>
      <c r="AT151" s="44">
        <f>AT$5*$D$148*Params!$D$19/12</f>
        <v>0</v>
      </c>
      <c r="AU151" s="44">
        <f>AU$5*$D$148*Params!$D$19/12</f>
        <v>0</v>
      </c>
      <c r="AV151" s="44">
        <f>AV$5*$D$148*Params!$D$19/12</f>
        <v>0</v>
      </c>
      <c r="AW151" s="44">
        <f>AW$5*$D$148*Params!$D$19/12</f>
        <v>0</v>
      </c>
      <c r="AX151" s="44">
        <f>AX$5*$D$148*Params!$D$19/12</f>
        <v>0</v>
      </c>
      <c r="AY151" s="44">
        <f>AY$5*$D$148*Params!$D$19/12</f>
        <v>0</v>
      </c>
      <c r="AZ151" s="44">
        <f>AZ$5*$D$148*Params!$D$19/12</f>
        <v>0</v>
      </c>
      <c r="BA151" s="44">
        <f>BA$5*$D$148*Params!$D$19/12</f>
        <v>0</v>
      </c>
      <c r="BB151" s="44">
        <f>BB$5*$D$148*Params!$D$19/12</f>
        <v>0</v>
      </c>
      <c r="BC151" s="44">
        <f>BC$5*$D$148*Params!$D$19/12</f>
        <v>0</v>
      </c>
      <c r="BD151" s="44">
        <f>BD$5*$D$148*Params!$D$19/12</f>
        <v>0</v>
      </c>
      <c r="BE151" s="44">
        <f>BE$5*$D$148*Params!$D$19/12</f>
        <v>0</v>
      </c>
      <c r="BF151" s="44">
        <f>BF$5*$D$148*Params!$D$19/12</f>
        <v>0</v>
      </c>
      <c r="BG151" s="44">
        <f>BG$5*$D$148*Params!$D$19/12</f>
        <v>0</v>
      </c>
      <c r="BH151" s="44">
        <f>BH$5*$D$148*Params!$D$19/12</f>
        <v>0</v>
      </c>
      <c r="BI151" s="44">
        <f>BI$5*$D$148*Params!$D$19/12</f>
        <v>0</v>
      </c>
      <c r="BJ151" s="44">
        <f>BJ$5*$D$148*Params!$D$19/12</f>
        <v>0</v>
      </c>
      <c r="BK151" s="44">
        <f>BK$5*$D$148*Params!$D$19/12</f>
        <v>0</v>
      </c>
      <c r="BL151" s="44">
        <f>BL$5*$D$148*Params!$D$19/12</f>
        <v>0</v>
      </c>
    </row>
    <row r="152" spans="1:64" x14ac:dyDescent="0.3">
      <c r="A152" s="8" t="s">
        <v>1024</v>
      </c>
      <c r="B152" s="18" t="s">
        <v>505</v>
      </c>
      <c r="C152" s="44">
        <f t="shared" si="49"/>
        <v>0</v>
      </c>
      <c r="E152" s="44">
        <f>E$5*Params!$D$20</f>
        <v>0</v>
      </c>
      <c r="F152" s="44">
        <f>F$5*Params!$D$20</f>
        <v>0</v>
      </c>
      <c r="G152" s="44">
        <f>G$5*Params!$D$20</f>
        <v>0</v>
      </c>
      <c r="H152" s="44">
        <f>H$5*Params!$D$20</f>
        <v>0</v>
      </c>
      <c r="I152" s="44">
        <f>I$5*Params!$D$20</f>
        <v>0</v>
      </c>
      <c r="J152" s="44">
        <f>J$5*Params!$D$20</f>
        <v>0</v>
      </c>
      <c r="K152" s="44">
        <f>K$5*Params!$D$20</f>
        <v>0</v>
      </c>
      <c r="L152" s="44">
        <f>L$5*Params!$D$20</f>
        <v>0</v>
      </c>
      <c r="M152" s="44">
        <f>M$5*Params!$D$20</f>
        <v>0</v>
      </c>
      <c r="N152" s="44">
        <f>N$5*Params!$D$20</f>
        <v>0</v>
      </c>
      <c r="O152" s="44">
        <f>O$5*Params!$D$20</f>
        <v>0</v>
      </c>
      <c r="P152" s="44">
        <f>P$5*Params!$D$20</f>
        <v>0</v>
      </c>
      <c r="Q152" s="44">
        <f>Q$5*Params!$D$20</f>
        <v>0</v>
      </c>
      <c r="R152" s="44">
        <f>R$5*Params!$D$20</f>
        <v>0</v>
      </c>
      <c r="S152" s="44">
        <f>S$5*Params!$D$20</f>
        <v>0</v>
      </c>
      <c r="T152" s="44">
        <f>T$5*Params!$D$20</f>
        <v>0</v>
      </c>
      <c r="U152" s="44">
        <f>U$5*Params!$D$20</f>
        <v>0</v>
      </c>
      <c r="V152" s="44">
        <f>V$5*Params!$D$20</f>
        <v>0</v>
      </c>
      <c r="W152" s="44">
        <f>W$5*Params!$D$20</f>
        <v>0</v>
      </c>
      <c r="X152" s="44">
        <f>X$5*Params!$D$20</f>
        <v>0</v>
      </c>
      <c r="Y152" s="44">
        <f>Y$5*Params!$D$20</f>
        <v>0</v>
      </c>
      <c r="Z152" s="44">
        <f>Z$5*Params!$D$20</f>
        <v>0</v>
      </c>
      <c r="AA152" s="44">
        <f>AA$5*Params!$D$20</f>
        <v>0</v>
      </c>
      <c r="AB152" s="44">
        <f>AB$5*Params!$D$20</f>
        <v>0</v>
      </c>
      <c r="AC152" s="44">
        <f>AC$5*Params!$D$20</f>
        <v>0</v>
      </c>
      <c r="AD152" s="44">
        <f>AD$5*Params!$D$20</f>
        <v>0</v>
      </c>
      <c r="AE152" s="44">
        <f>AE$5*Params!$D$20</f>
        <v>0</v>
      </c>
      <c r="AF152" s="44">
        <f>AF$5*Params!$D$20</f>
        <v>0</v>
      </c>
      <c r="AG152" s="44">
        <f>AG$5*Params!$D$20</f>
        <v>0</v>
      </c>
      <c r="AH152" s="44">
        <f>AH$5*Params!$D$20</f>
        <v>0</v>
      </c>
      <c r="AI152" s="44">
        <f>AI$5*Params!$D$20</f>
        <v>0</v>
      </c>
      <c r="AJ152" s="44">
        <f>AJ$5*Params!$D$20</f>
        <v>0</v>
      </c>
      <c r="AK152" s="44">
        <f>AK$5*Params!$D$20</f>
        <v>0</v>
      </c>
      <c r="AL152" s="44">
        <f>AL$5*Params!$D$20</f>
        <v>0</v>
      </c>
      <c r="AM152" s="44">
        <f>AM$5*Params!$D$20</f>
        <v>0</v>
      </c>
      <c r="AN152" s="44">
        <f>AN$5*Params!$D$20</f>
        <v>0</v>
      </c>
      <c r="AO152" s="44">
        <f>AO$5*Params!$D$20</f>
        <v>0</v>
      </c>
      <c r="AP152" s="44">
        <f>AP$5*Params!$D$20</f>
        <v>0</v>
      </c>
      <c r="AQ152" s="44">
        <f>AQ$5*Params!$D$20</f>
        <v>0</v>
      </c>
      <c r="AR152" s="44">
        <f>AR$5*Params!$D$20</f>
        <v>0</v>
      </c>
      <c r="AS152" s="44">
        <f>AS$5*Params!$D$20</f>
        <v>0</v>
      </c>
      <c r="AT152" s="44">
        <f>AT$5*Params!$D$20</f>
        <v>0</v>
      </c>
      <c r="AU152" s="44">
        <f>AU$5*Params!$D$20</f>
        <v>0</v>
      </c>
      <c r="AV152" s="44">
        <f>AV$5*Params!$D$20</f>
        <v>0</v>
      </c>
      <c r="AW152" s="44">
        <f>AW$5*Params!$D$20</f>
        <v>0</v>
      </c>
      <c r="AX152" s="44">
        <f>AX$5*Params!$D$20</f>
        <v>0</v>
      </c>
      <c r="AY152" s="44">
        <f>AY$5*Params!$D$20</f>
        <v>0</v>
      </c>
      <c r="AZ152" s="44">
        <f>AZ$5*Params!$D$20</f>
        <v>0</v>
      </c>
      <c r="BA152" s="44">
        <f>BA$5*Params!$D$20</f>
        <v>0</v>
      </c>
      <c r="BB152" s="44">
        <f>BB$5*Params!$D$20</f>
        <v>0</v>
      </c>
      <c r="BC152" s="44">
        <f>BC$5*Params!$D$20</f>
        <v>0</v>
      </c>
      <c r="BD152" s="44">
        <f>BD$5*Params!$D$20</f>
        <v>0</v>
      </c>
      <c r="BE152" s="44">
        <f>BE$5*Params!$D$20</f>
        <v>0</v>
      </c>
      <c r="BF152" s="44">
        <f>BF$5*Params!$D$20</f>
        <v>0</v>
      </c>
      <c r="BG152" s="44">
        <f>BG$5*Params!$D$20</f>
        <v>0</v>
      </c>
      <c r="BH152" s="44">
        <f>BH$5*Params!$D$20</f>
        <v>0</v>
      </c>
      <c r="BI152" s="44">
        <f>BI$5*Params!$D$20</f>
        <v>0</v>
      </c>
      <c r="BJ152" s="44">
        <f>BJ$5*Params!$D$20</f>
        <v>0</v>
      </c>
      <c r="BK152" s="44">
        <f>BK$5*Params!$D$20</f>
        <v>0</v>
      </c>
      <c r="BL152" s="44">
        <f>BL$5*Params!$D$20</f>
        <v>0</v>
      </c>
    </row>
    <row r="153" spans="1:64" x14ac:dyDescent="0.3">
      <c r="A153" s="8" t="s">
        <v>1025</v>
      </c>
      <c r="B153" s="18" t="s">
        <v>435</v>
      </c>
      <c r="C153" s="44">
        <f t="shared" si="49"/>
        <v>11735.679999999995</v>
      </c>
      <c r="E153" s="44">
        <f>E$5*(IFERROR(INDEX(PriceBook!$E$4:$E$203,MATCH("PL_LANGFUSE_PRO",PriceBook!$A$4:$A$203,0)),0)+MAX(0,E144*Org!$B$13-IFERROR(INDEX(PriceBook!$R$4:$R$203,MATCH("PL_LANGFUSE_PRO",PriceBook!$A$4:$A$203,0)),0))/100000*IFERROR(INDEX(PriceBook!$E$4:$E$203,MATCH("U_LANGFUSE_OVER",PriceBook!$A$4:$A$203,0)),0))</f>
        <v>209.13333333333333</v>
      </c>
      <c r="F153" s="44">
        <f>F$5*(IFERROR(INDEX(PriceBook!$E$4:$E$203,MATCH("PL_LANGFUSE_PRO",PriceBook!$A$4:$A$203,0)),0)+MAX(0,F144*Org!$B$13-IFERROR(INDEX(PriceBook!$R$4:$R$203,MATCH("PL_LANGFUSE_PRO",PriceBook!$A$4:$A$203,0)),0))/100000*IFERROR(INDEX(PriceBook!$E$4:$E$203,MATCH("U_LANGFUSE_OVER",PriceBook!$A$4:$A$203,0)),0))</f>
        <v>236.45185185185187</v>
      </c>
      <c r="G153" s="44">
        <f>G$5*(IFERROR(INDEX(PriceBook!$E$4:$E$203,MATCH("PL_LANGFUSE_PRO",PriceBook!$A$4:$A$203,0)),0)+MAX(0,G144*Org!$B$13-IFERROR(INDEX(PriceBook!$R$4:$R$203,MATCH("PL_LANGFUSE_PRO",PriceBook!$A$4:$A$203,0)),0))/100000*IFERROR(INDEX(PriceBook!$E$4:$E$203,MATCH("U_LANGFUSE_OVER",PriceBook!$A$4:$A$203,0)),0))</f>
        <v>270.07230814814812</v>
      </c>
      <c r="H153" s="44">
        <f>H$5*(IFERROR(INDEX(PriceBook!$E$4:$E$203,MATCH("PL_LANGFUSE_PRO",PriceBook!$A$4:$A$203,0)),0)+MAX(0,H144*Org!$B$13-IFERROR(INDEX(PriceBook!$R$4:$R$203,MATCH("PL_LANGFUSE_PRO",PriceBook!$A$4:$A$203,0)),0))/100000*IFERROR(INDEX(PriceBook!$E$4:$E$203,MATCH("U_LANGFUSE_OVER",PriceBook!$A$4:$A$203,0)),0))</f>
        <v>305.30741333333333</v>
      </c>
      <c r="I153" s="44">
        <f>I$5*(IFERROR(INDEX(PriceBook!$E$4:$E$203,MATCH("PL_LANGFUSE_PRO",PriceBook!$A$4:$A$203,0)),0)+MAX(0,I144*Org!$B$13-IFERROR(INDEX(PriceBook!$R$4:$R$203,MATCH("PL_LANGFUSE_PRO",PriceBook!$A$4:$A$203,0)),0))/100000*IFERROR(INDEX(PriceBook!$E$4:$E$203,MATCH("U_LANGFUSE_OVER",PriceBook!$A$4:$A$203,0)),0))</f>
        <v>323.98443851851857</v>
      </c>
      <c r="J153" s="44">
        <f>J$5*(IFERROR(INDEX(PriceBook!$E$4:$E$203,MATCH("PL_LANGFUSE_PRO",PriceBook!$A$4:$A$203,0)),0)+MAX(0,J144*Org!$B$13-IFERROR(INDEX(PriceBook!$R$4:$R$203,MATCH("PL_LANGFUSE_PRO",PriceBook!$A$4:$A$203,0)),0))/100000*IFERROR(INDEX(PriceBook!$E$4:$E$203,MATCH("U_LANGFUSE_OVER",PriceBook!$A$4:$A$203,0)),0))</f>
        <v>333.5306548148148</v>
      </c>
      <c r="K153" s="44">
        <f>K$5*(IFERROR(INDEX(PriceBook!$E$4:$E$203,MATCH("PL_LANGFUSE_PRO",PriceBook!$A$4:$A$203,0)),0)+MAX(0,K144*Org!$B$13-IFERROR(INDEX(PriceBook!$R$4:$R$203,MATCH("PL_LANGFUSE_PRO",PriceBook!$A$4:$A$203,0)),0))/100000*IFERROR(INDEX(PriceBook!$E$4:$E$203,MATCH("U_LANGFUSE_OVER",PriceBook!$A$4:$A$203,0)),0))</f>
        <v>335.24</v>
      </c>
      <c r="L153" s="44">
        <f>L$5*(IFERROR(INDEX(PriceBook!$E$4:$E$203,MATCH("PL_LANGFUSE_PRO",PriceBook!$A$4:$A$203,0)),0)+MAX(0,L144*Org!$B$13-IFERROR(INDEX(PriceBook!$R$4:$R$203,MATCH("PL_LANGFUSE_PRO",PriceBook!$A$4:$A$203,0)),0))/100000*IFERROR(INDEX(PriceBook!$E$4:$E$203,MATCH("U_LANGFUSE_OVER",PriceBook!$A$4:$A$203,0)),0))</f>
        <v>335.24</v>
      </c>
      <c r="M153" s="44">
        <f>M$5*(IFERROR(INDEX(PriceBook!$E$4:$E$203,MATCH("PL_LANGFUSE_PRO",PriceBook!$A$4:$A$203,0)),0)+MAX(0,M144*Org!$B$13-IFERROR(INDEX(PriceBook!$R$4:$R$203,MATCH("PL_LANGFUSE_PRO",PriceBook!$A$4:$A$203,0)),0))/100000*IFERROR(INDEX(PriceBook!$E$4:$E$203,MATCH("U_LANGFUSE_OVER",PriceBook!$A$4:$A$203,0)),0))</f>
        <v>335.24</v>
      </c>
      <c r="N153" s="44">
        <f>N$5*(IFERROR(INDEX(PriceBook!$E$4:$E$203,MATCH("PL_LANGFUSE_PRO",PriceBook!$A$4:$A$203,0)),0)+MAX(0,N144*Org!$B$13-IFERROR(INDEX(PriceBook!$R$4:$R$203,MATCH("PL_LANGFUSE_PRO",PriceBook!$A$4:$A$203,0)),0))/100000*IFERROR(INDEX(PriceBook!$E$4:$E$203,MATCH("U_LANGFUSE_OVER",PriceBook!$A$4:$A$203,0)),0))</f>
        <v>335.24</v>
      </c>
      <c r="O153" s="44">
        <f>O$5*(IFERROR(INDEX(PriceBook!$E$4:$E$203,MATCH("PL_LANGFUSE_PRO",PriceBook!$A$4:$A$203,0)),0)+MAX(0,O144*Org!$B$13-IFERROR(INDEX(PriceBook!$R$4:$R$203,MATCH("PL_LANGFUSE_PRO",PriceBook!$A$4:$A$203,0)),0))/100000*IFERROR(INDEX(PriceBook!$E$4:$E$203,MATCH("U_LANGFUSE_OVER",PriceBook!$A$4:$A$203,0)),0))</f>
        <v>335.24</v>
      </c>
      <c r="P153" s="44">
        <f>P$5*(IFERROR(INDEX(PriceBook!$E$4:$E$203,MATCH("PL_LANGFUSE_PRO",PriceBook!$A$4:$A$203,0)),0)+MAX(0,P144*Org!$B$13-IFERROR(INDEX(PriceBook!$R$4:$R$203,MATCH("PL_LANGFUSE_PRO",PriceBook!$A$4:$A$203,0)),0))/100000*IFERROR(INDEX(PriceBook!$E$4:$E$203,MATCH("U_LANGFUSE_OVER",PriceBook!$A$4:$A$203,0)),0))</f>
        <v>335.24</v>
      </c>
      <c r="Q153" s="44">
        <f>Q$5*(IFERROR(INDEX(PriceBook!$E$4:$E$203,MATCH("PL_LANGFUSE_PRO",PriceBook!$A$4:$A$203,0)),0)+MAX(0,Q144*Org!$B$13-IFERROR(INDEX(PriceBook!$R$4:$R$203,MATCH("PL_LANGFUSE_PRO",PriceBook!$A$4:$A$203,0)),0))/100000*IFERROR(INDEX(PriceBook!$E$4:$E$203,MATCH("U_LANGFUSE_OVER",PriceBook!$A$4:$A$203,0)),0))</f>
        <v>335.24</v>
      </c>
      <c r="R153" s="44">
        <f>R$5*(IFERROR(INDEX(PriceBook!$E$4:$E$203,MATCH("PL_LANGFUSE_PRO",PriceBook!$A$4:$A$203,0)),0)+MAX(0,R144*Org!$B$13-IFERROR(INDEX(PriceBook!$R$4:$R$203,MATCH("PL_LANGFUSE_PRO",PriceBook!$A$4:$A$203,0)),0))/100000*IFERROR(INDEX(PriceBook!$E$4:$E$203,MATCH("U_LANGFUSE_OVER",PriceBook!$A$4:$A$203,0)),0))</f>
        <v>335.24</v>
      </c>
      <c r="S153" s="44">
        <f>S$5*(IFERROR(INDEX(PriceBook!$E$4:$E$203,MATCH("PL_LANGFUSE_PRO",PriceBook!$A$4:$A$203,0)),0)+MAX(0,S144*Org!$B$13-IFERROR(INDEX(PriceBook!$R$4:$R$203,MATCH("PL_LANGFUSE_PRO",PriceBook!$A$4:$A$203,0)),0))/100000*IFERROR(INDEX(PriceBook!$E$4:$E$203,MATCH("U_LANGFUSE_OVER",PriceBook!$A$4:$A$203,0)),0))</f>
        <v>335.24</v>
      </c>
      <c r="T153" s="44">
        <f>T$5*(IFERROR(INDEX(PriceBook!$E$4:$E$203,MATCH("PL_LANGFUSE_PRO",PriceBook!$A$4:$A$203,0)),0)+MAX(0,T144*Org!$B$13-IFERROR(INDEX(PriceBook!$R$4:$R$203,MATCH("PL_LANGFUSE_PRO",PriceBook!$A$4:$A$203,0)),0))/100000*IFERROR(INDEX(PriceBook!$E$4:$E$203,MATCH("U_LANGFUSE_OVER",PriceBook!$A$4:$A$203,0)),0))</f>
        <v>335.24</v>
      </c>
      <c r="U153" s="44">
        <f>U$5*(IFERROR(INDEX(PriceBook!$E$4:$E$203,MATCH("PL_LANGFUSE_PRO",PriceBook!$A$4:$A$203,0)),0)+MAX(0,U144*Org!$B$13-IFERROR(INDEX(PriceBook!$R$4:$R$203,MATCH("PL_LANGFUSE_PRO",PriceBook!$A$4:$A$203,0)),0))/100000*IFERROR(INDEX(PriceBook!$E$4:$E$203,MATCH("U_LANGFUSE_OVER",PriceBook!$A$4:$A$203,0)),0))</f>
        <v>335.24</v>
      </c>
      <c r="V153" s="44">
        <f>V$5*(IFERROR(INDEX(PriceBook!$E$4:$E$203,MATCH("PL_LANGFUSE_PRO",PriceBook!$A$4:$A$203,0)),0)+MAX(0,V144*Org!$B$13-IFERROR(INDEX(PriceBook!$R$4:$R$203,MATCH("PL_LANGFUSE_PRO",PriceBook!$A$4:$A$203,0)),0))/100000*IFERROR(INDEX(PriceBook!$E$4:$E$203,MATCH("U_LANGFUSE_OVER",PriceBook!$A$4:$A$203,0)),0))</f>
        <v>335.24</v>
      </c>
      <c r="W153" s="44">
        <f>W$5*(IFERROR(INDEX(PriceBook!$E$4:$E$203,MATCH("PL_LANGFUSE_PRO",PriceBook!$A$4:$A$203,0)),0)+MAX(0,W144*Org!$B$13-IFERROR(INDEX(PriceBook!$R$4:$R$203,MATCH("PL_LANGFUSE_PRO",PriceBook!$A$4:$A$203,0)),0))/100000*IFERROR(INDEX(PriceBook!$E$4:$E$203,MATCH("U_LANGFUSE_OVER",PriceBook!$A$4:$A$203,0)),0))</f>
        <v>335.24</v>
      </c>
      <c r="X153" s="44">
        <f>X$5*(IFERROR(INDEX(PriceBook!$E$4:$E$203,MATCH("PL_LANGFUSE_PRO",PriceBook!$A$4:$A$203,0)),0)+MAX(0,X144*Org!$B$13-IFERROR(INDEX(PriceBook!$R$4:$R$203,MATCH("PL_LANGFUSE_PRO",PriceBook!$A$4:$A$203,0)),0))/100000*IFERROR(INDEX(PriceBook!$E$4:$E$203,MATCH("U_LANGFUSE_OVER",PriceBook!$A$4:$A$203,0)),0))</f>
        <v>335.24</v>
      </c>
      <c r="Y153" s="44">
        <f>Y$5*(IFERROR(INDEX(PriceBook!$E$4:$E$203,MATCH("PL_LANGFUSE_PRO",PriceBook!$A$4:$A$203,0)),0)+MAX(0,Y144*Org!$B$13-IFERROR(INDEX(PriceBook!$R$4:$R$203,MATCH("PL_LANGFUSE_PRO",PriceBook!$A$4:$A$203,0)),0))/100000*IFERROR(INDEX(PriceBook!$E$4:$E$203,MATCH("U_LANGFUSE_OVER",PriceBook!$A$4:$A$203,0)),0))</f>
        <v>335.24</v>
      </c>
      <c r="Z153" s="44">
        <f>Z$5*(IFERROR(INDEX(PriceBook!$E$4:$E$203,MATCH("PL_LANGFUSE_PRO",PriceBook!$A$4:$A$203,0)),0)+MAX(0,Z144*Org!$B$13-IFERROR(INDEX(PriceBook!$R$4:$R$203,MATCH("PL_LANGFUSE_PRO",PriceBook!$A$4:$A$203,0)),0))/100000*IFERROR(INDEX(PriceBook!$E$4:$E$203,MATCH("U_LANGFUSE_OVER",PriceBook!$A$4:$A$203,0)),0))</f>
        <v>335.24</v>
      </c>
      <c r="AA153" s="44">
        <f>AA$5*(IFERROR(INDEX(PriceBook!$E$4:$E$203,MATCH("PL_LANGFUSE_PRO",PriceBook!$A$4:$A$203,0)),0)+MAX(0,AA144*Org!$B$13-IFERROR(INDEX(PriceBook!$R$4:$R$203,MATCH("PL_LANGFUSE_PRO",PriceBook!$A$4:$A$203,0)),0))/100000*IFERROR(INDEX(PriceBook!$E$4:$E$203,MATCH("U_LANGFUSE_OVER",PriceBook!$A$4:$A$203,0)),0))</f>
        <v>335.24</v>
      </c>
      <c r="AB153" s="44">
        <f>AB$5*(IFERROR(INDEX(PriceBook!$E$4:$E$203,MATCH("PL_LANGFUSE_PRO",PriceBook!$A$4:$A$203,0)),0)+MAX(0,AB144*Org!$B$13-IFERROR(INDEX(PriceBook!$R$4:$R$203,MATCH("PL_LANGFUSE_PRO",PriceBook!$A$4:$A$203,0)),0))/100000*IFERROR(INDEX(PriceBook!$E$4:$E$203,MATCH("U_LANGFUSE_OVER",PriceBook!$A$4:$A$203,0)),0))</f>
        <v>335.24</v>
      </c>
      <c r="AC153" s="44">
        <f>AC$5*(IFERROR(INDEX(PriceBook!$E$4:$E$203,MATCH("PL_LANGFUSE_PRO",PriceBook!$A$4:$A$203,0)),0)+MAX(0,AC144*Org!$B$13-IFERROR(INDEX(PriceBook!$R$4:$R$203,MATCH("PL_LANGFUSE_PRO",PriceBook!$A$4:$A$203,0)),0))/100000*IFERROR(INDEX(PriceBook!$E$4:$E$203,MATCH("U_LANGFUSE_OVER",PriceBook!$A$4:$A$203,0)),0))</f>
        <v>335.24</v>
      </c>
      <c r="AD153" s="44">
        <f>AD$5*(IFERROR(INDEX(PriceBook!$E$4:$E$203,MATCH("PL_LANGFUSE_PRO",PriceBook!$A$4:$A$203,0)),0)+MAX(0,AD144*Org!$B$13-IFERROR(INDEX(PriceBook!$R$4:$R$203,MATCH("PL_LANGFUSE_PRO",PriceBook!$A$4:$A$203,0)),0))/100000*IFERROR(INDEX(PriceBook!$E$4:$E$203,MATCH("U_LANGFUSE_OVER",PriceBook!$A$4:$A$203,0)),0))</f>
        <v>335.24</v>
      </c>
      <c r="AE153" s="44">
        <f>AE$5*(IFERROR(INDEX(PriceBook!$E$4:$E$203,MATCH("PL_LANGFUSE_PRO",PriceBook!$A$4:$A$203,0)),0)+MAX(0,AE144*Org!$B$13-IFERROR(INDEX(PriceBook!$R$4:$R$203,MATCH("PL_LANGFUSE_PRO",PriceBook!$A$4:$A$203,0)),0))/100000*IFERROR(INDEX(PriceBook!$E$4:$E$203,MATCH("U_LANGFUSE_OVER",PriceBook!$A$4:$A$203,0)),0))</f>
        <v>335.24</v>
      </c>
      <c r="AF153" s="44">
        <f>AF$5*(IFERROR(INDEX(PriceBook!$E$4:$E$203,MATCH("PL_LANGFUSE_PRO",PriceBook!$A$4:$A$203,0)),0)+MAX(0,AF144*Org!$B$13-IFERROR(INDEX(PriceBook!$R$4:$R$203,MATCH("PL_LANGFUSE_PRO",PriceBook!$A$4:$A$203,0)),0))/100000*IFERROR(INDEX(PriceBook!$E$4:$E$203,MATCH("U_LANGFUSE_OVER",PriceBook!$A$4:$A$203,0)),0))</f>
        <v>335.24</v>
      </c>
      <c r="AG153" s="44">
        <f>AG$5*(IFERROR(INDEX(PriceBook!$E$4:$E$203,MATCH("PL_LANGFUSE_PRO",PriceBook!$A$4:$A$203,0)),0)+MAX(0,AG144*Org!$B$13-IFERROR(INDEX(PriceBook!$R$4:$R$203,MATCH("PL_LANGFUSE_PRO",PriceBook!$A$4:$A$203,0)),0))/100000*IFERROR(INDEX(PriceBook!$E$4:$E$203,MATCH("U_LANGFUSE_OVER",PriceBook!$A$4:$A$203,0)),0))</f>
        <v>335.24</v>
      </c>
      <c r="AH153" s="44">
        <f>AH$5*(IFERROR(INDEX(PriceBook!$E$4:$E$203,MATCH("PL_LANGFUSE_PRO",PriceBook!$A$4:$A$203,0)),0)+MAX(0,AH144*Org!$B$13-IFERROR(INDEX(PriceBook!$R$4:$R$203,MATCH("PL_LANGFUSE_PRO",PriceBook!$A$4:$A$203,0)),0))/100000*IFERROR(INDEX(PriceBook!$E$4:$E$203,MATCH("U_LANGFUSE_OVER",PriceBook!$A$4:$A$203,0)),0))</f>
        <v>335.24</v>
      </c>
      <c r="AI153" s="44">
        <f>AI$5*(IFERROR(INDEX(PriceBook!$E$4:$E$203,MATCH("PL_LANGFUSE_PRO",PriceBook!$A$4:$A$203,0)),0)+MAX(0,AI144*Org!$B$13-IFERROR(INDEX(PriceBook!$R$4:$R$203,MATCH("PL_LANGFUSE_PRO",PriceBook!$A$4:$A$203,0)),0))/100000*IFERROR(INDEX(PriceBook!$E$4:$E$203,MATCH("U_LANGFUSE_OVER",PriceBook!$A$4:$A$203,0)),0))</f>
        <v>335.24</v>
      </c>
      <c r="AJ153" s="44">
        <f>AJ$5*(IFERROR(INDEX(PriceBook!$E$4:$E$203,MATCH("PL_LANGFUSE_PRO",PriceBook!$A$4:$A$203,0)),0)+MAX(0,AJ144*Org!$B$13-IFERROR(INDEX(PriceBook!$R$4:$R$203,MATCH("PL_LANGFUSE_PRO",PriceBook!$A$4:$A$203,0)),0))/100000*IFERROR(INDEX(PriceBook!$E$4:$E$203,MATCH("U_LANGFUSE_OVER",PriceBook!$A$4:$A$203,0)),0))</f>
        <v>335.24</v>
      </c>
      <c r="AK153" s="44">
        <f>AK$5*(IFERROR(INDEX(PriceBook!$E$4:$E$203,MATCH("PL_LANGFUSE_PRO",PriceBook!$A$4:$A$203,0)),0)+MAX(0,AK144*Org!$B$13-IFERROR(INDEX(PriceBook!$R$4:$R$203,MATCH("PL_LANGFUSE_PRO",PriceBook!$A$4:$A$203,0)),0))/100000*IFERROR(INDEX(PriceBook!$E$4:$E$203,MATCH("U_LANGFUSE_OVER",PriceBook!$A$4:$A$203,0)),0))</f>
        <v>335.24</v>
      </c>
      <c r="AL153" s="44">
        <f>AL$5*(IFERROR(INDEX(PriceBook!$E$4:$E$203,MATCH("PL_LANGFUSE_PRO",PriceBook!$A$4:$A$203,0)),0)+MAX(0,AL144*Org!$B$13-IFERROR(INDEX(PriceBook!$R$4:$R$203,MATCH("PL_LANGFUSE_PRO",PriceBook!$A$4:$A$203,0)),0))/100000*IFERROR(INDEX(PriceBook!$E$4:$E$203,MATCH("U_LANGFUSE_OVER",PriceBook!$A$4:$A$203,0)),0))</f>
        <v>335.24</v>
      </c>
      <c r="AM153" s="44">
        <f>AM$5*(IFERROR(INDEX(PriceBook!$E$4:$E$203,MATCH("PL_LANGFUSE_PRO",PriceBook!$A$4:$A$203,0)),0)+MAX(0,AM144*Org!$B$13-IFERROR(INDEX(PriceBook!$R$4:$R$203,MATCH("PL_LANGFUSE_PRO",PriceBook!$A$4:$A$203,0)),0))/100000*IFERROR(INDEX(PriceBook!$E$4:$E$203,MATCH("U_LANGFUSE_OVER",PriceBook!$A$4:$A$203,0)),0))</f>
        <v>335.24</v>
      </c>
      <c r="AN153" s="44">
        <f>AN$5*(IFERROR(INDEX(PriceBook!$E$4:$E$203,MATCH("PL_LANGFUSE_PRO",PriceBook!$A$4:$A$203,0)),0)+MAX(0,AN144*Org!$B$13-IFERROR(INDEX(PriceBook!$R$4:$R$203,MATCH("PL_LANGFUSE_PRO",PriceBook!$A$4:$A$203,0)),0))/100000*IFERROR(INDEX(PriceBook!$E$4:$E$203,MATCH("U_LANGFUSE_OVER",PriceBook!$A$4:$A$203,0)),0))</f>
        <v>335.24</v>
      </c>
      <c r="AO153" s="44">
        <f>AO$5*(IFERROR(INDEX(PriceBook!$E$4:$E$203,MATCH("PL_LANGFUSE_PRO",PriceBook!$A$4:$A$203,0)),0)+MAX(0,AO144*Org!$B$13-IFERROR(INDEX(PriceBook!$R$4:$R$203,MATCH("PL_LANGFUSE_PRO",PriceBook!$A$4:$A$203,0)),0))/100000*IFERROR(INDEX(PriceBook!$E$4:$E$203,MATCH("U_LANGFUSE_OVER",PriceBook!$A$4:$A$203,0)),0))</f>
        <v>0</v>
      </c>
      <c r="AP153" s="44">
        <f>AP$5*(IFERROR(INDEX(PriceBook!$E$4:$E$203,MATCH("PL_LANGFUSE_PRO",PriceBook!$A$4:$A$203,0)),0)+MAX(0,AP144*Org!$B$13-IFERROR(INDEX(PriceBook!$R$4:$R$203,MATCH("PL_LANGFUSE_PRO",PriceBook!$A$4:$A$203,0)),0))/100000*IFERROR(INDEX(PriceBook!$E$4:$E$203,MATCH("U_LANGFUSE_OVER",PriceBook!$A$4:$A$203,0)),0))</f>
        <v>0</v>
      </c>
      <c r="AQ153" s="44">
        <f>AQ$5*(IFERROR(INDEX(PriceBook!$E$4:$E$203,MATCH("PL_LANGFUSE_PRO",PriceBook!$A$4:$A$203,0)),0)+MAX(0,AQ144*Org!$B$13-IFERROR(INDEX(PriceBook!$R$4:$R$203,MATCH("PL_LANGFUSE_PRO",PriceBook!$A$4:$A$203,0)),0))/100000*IFERROR(INDEX(PriceBook!$E$4:$E$203,MATCH("U_LANGFUSE_OVER",PriceBook!$A$4:$A$203,0)),0))</f>
        <v>0</v>
      </c>
      <c r="AR153" s="44">
        <f>AR$5*(IFERROR(INDEX(PriceBook!$E$4:$E$203,MATCH("PL_LANGFUSE_PRO",PriceBook!$A$4:$A$203,0)),0)+MAX(0,AR144*Org!$B$13-IFERROR(INDEX(PriceBook!$R$4:$R$203,MATCH("PL_LANGFUSE_PRO",PriceBook!$A$4:$A$203,0)),0))/100000*IFERROR(INDEX(PriceBook!$E$4:$E$203,MATCH("U_LANGFUSE_OVER",PriceBook!$A$4:$A$203,0)),0))</f>
        <v>0</v>
      </c>
      <c r="AS153" s="44">
        <f>AS$5*(IFERROR(INDEX(PriceBook!$E$4:$E$203,MATCH("PL_LANGFUSE_PRO",PriceBook!$A$4:$A$203,0)),0)+MAX(0,AS144*Org!$B$13-IFERROR(INDEX(PriceBook!$R$4:$R$203,MATCH("PL_LANGFUSE_PRO",PriceBook!$A$4:$A$203,0)),0))/100000*IFERROR(INDEX(PriceBook!$E$4:$E$203,MATCH("U_LANGFUSE_OVER",PriceBook!$A$4:$A$203,0)),0))</f>
        <v>0</v>
      </c>
      <c r="AT153" s="44">
        <f>AT$5*(IFERROR(INDEX(PriceBook!$E$4:$E$203,MATCH("PL_LANGFUSE_PRO",PriceBook!$A$4:$A$203,0)),0)+MAX(0,AT144*Org!$B$13-IFERROR(INDEX(PriceBook!$R$4:$R$203,MATCH("PL_LANGFUSE_PRO",PriceBook!$A$4:$A$203,0)),0))/100000*IFERROR(INDEX(PriceBook!$E$4:$E$203,MATCH("U_LANGFUSE_OVER",PriceBook!$A$4:$A$203,0)),0))</f>
        <v>0</v>
      </c>
      <c r="AU153" s="44">
        <f>AU$5*(IFERROR(INDEX(PriceBook!$E$4:$E$203,MATCH("PL_LANGFUSE_PRO",PriceBook!$A$4:$A$203,0)),0)+MAX(0,AU144*Org!$B$13-IFERROR(INDEX(PriceBook!$R$4:$R$203,MATCH("PL_LANGFUSE_PRO",PriceBook!$A$4:$A$203,0)),0))/100000*IFERROR(INDEX(PriceBook!$E$4:$E$203,MATCH("U_LANGFUSE_OVER",PriceBook!$A$4:$A$203,0)),0))</f>
        <v>0</v>
      </c>
      <c r="AV153" s="44">
        <f>AV$5*(IFERROR(INDEX(PriceBook!$E$4:$E$203,MATCH("PL_LANGFUSE_PRO",PriceBook!$A$4:$A$203,0)),0)+MAX(0,AV144*Org!$B$13-IFERROR(INDEX(PriceBook!$R$4:$R$203,MATCH("PL_LANGFUSE_PRO",PriceBook!$A$4:$A$203,0)),0))/100000*IFERROR(INDEX(PriceBook!$E$4:$E$203,MATCH("U_LANGFUSE_OVER",PriceBook!$A$4:$A$203,0)),0))</f>
        <v>0</v>
      </c>
      <c r="AW153" s="44">
        <f>AW$5*(IFERROR(INDEX(PriceBook!$E$4:$E$203,MATCH("PL_LANGFUSE_PRO",PriceBook!$A$4:$A$203,0)),0)+MAX(0,AW144*Org!$B$13-IFERROR(INDEX(PriceBook!$R$4:$R$203,MATCH("PL_LANGFUSE_PRO",PriceBook!$A$4:$A$203,0)),0))/100000*IFERROR(INDEX(PriceBook!$E$4:$E$203,MATCH("U_LANGFUSE_OVER",PriceBook!$A$4:$A$203,0)),0))</f>
        <v>0</v>
      </c>
      <c r="AX153" s="44">
        <f>AX$5*(IFERROR(INDEX(PriceBook!$E$4:$E$203,MATCH("PL_LANGFUSE_PRO",PriceBook!$A$4:$A$203,0)),0)+MAX(0,AX144*Org!$B$13-IFERROR(INDEX(PriceBook!$R$4:$R$203,MATCH("PL_LANGFUSE_PRO",PriceBook!$A$4:$A$203,0)),0))/100000*IFERROR(INDEX(PriceBook!$E$4:$E$203,MATCH("U_LANGFUSE_OVER",PriceBook!$A$4:$A$203,0)),0))</f>
        <v>0</v>
      </c>
      <c r="AY153" s="44">
        <f>AY$5*(IFERROR(INDEX(PriceBook!$E$4:$E$203,MATCH("PL_LANGFUSE_PRO",PriceBook!$A$4:$A$203,0)),0)+MAX(0,AY144*Org!$B$13-IFERROR(INDEX(PriceBook!$R$4:$R$203,MATCH("PL_LANGFUSE_PRO",PriceBook!$A$4:$A$203,0)),0))/100000*IFERROR(INDEX(PriceBook!$E$4:$E$203,MATCH("U_LANGFUSE_OVER",PriceBook!$A$4:$A$203,0)),0))</f>
        <v>0</v>
      </c>
      <c r="AZ153" s="44">
        <f>AZ$5*(IFERROR(INDEX(PriceBook!$E$4:$E$203,MATCH("PL_LANGFUSE_PRO",PriceBook!$A$4:$A$203,0)),0)+MAX(0,AZ144*Org!$B$13-IFERROR(INDEX(PriceBook!$R$4:$R$203,MATCH("PL_LANGFUSE_PRO",PriceBook!$A$4:$A$203,0)),0))/100000*IFERROR(INDEX(PriceBook!$E$4:$E$203,MATCH("U_LANGFUSE_OVER",PriceBook!$A$4:$A$203,0)),0))</f>
        <v>0</v>
      </c>
      <c r="BA153" s="44">
        <f>BA$5*(IFERROR(INDEX(PriceBook!$E$4:$E$203,MATCH("PL_LANGFUSE_PRO",PriceBook!$A$4:$A$203,0)),0)+MAX(0,BA144*Org!$B$13-IFERROR(INDEX(PriceBook!$R$4:$R$203,MATCH("PL_LANGFUSE_PRO",PriceBook!$A$4:$A$203,0)),0))/100000*IFERROR(INDEX(PriceBook!$E$4:$E$203,MATCH("U_LANGFUSE_OVER",PriceBook!$A$4:$A$203,0)),0))</f>
        <v>0</v>
      </c>
      <c r="BB153" s="44">
        <f>BB$5*(IFERROR(INDEX(PriceBook!$E$4:$E$203,MATCH("PL_LANGFUSE_PRO",PriceBook!$A$4:$A$203,0)),0)+MAX(0,BB144*Org!$B$13-IFERROR(INDEX(PriceBook!$R$4:$R$203,MATCH("PL_LANGFUSE_PRO",PriceBook!$A$4:$A$203,0)),0))/100000*IFERROR(INDEX(PriceBook!$E$4:$E$203,MATCH("U_LANGFUSE_OVER",PriceBook!$A$4:$A$203,0)),0))</f>
        <v>0</v>
      </c>
      <c r="BC153" s="44">
        <f>BC$5*(IFERROR(INDEX(PriceBook!$E$4:$E$203,MATCH("PL_LANGFUSE_PRO",PriceBook!$A$4:$A$203,0)),0)+MAX(0,BC144*Org!$B$13-IFERROR(INDEX(PriceBook!$R$4:$R$203,MATCH("PL_LANGFUSE_PRO",PriceBook!$A$4:$A$203,0)),0))/100000*IFERROR(INDEX(PriceBook!$E$4:$E$203,MATCH("U_LANGFUSE_OVER",PriceBook!$A$4:$A$203,0)),0))</f>
        <v>0</v>
      </c>
      <c r="BD153" s="44">
        <f>BD$5*(IFERROR(INDEX(PriceBook!$E$4:$E$203,MATCH("PL_LANGFUSE_PRO",PriceBook!$A$4:$A$203,0)),0)+MAX(0,BD144*Org!$B$13-IFERROR(INDEX(PriceBook!$R$4:$R$203,MATCH("PL_LANGFUSE_PRO",PriceBook!$A$4:$A$203,0)),0))/100000*IFERROR(INDEX(PriceBook!$E$4:$E$203,MATCH("U_LANGFUSE_OVER",PriceBook!$A$4:$A$203,0)),0))</f>
        <v>0</v>
      </c>
      <c r="BE153" s="44">
        <f>BE$5*(IFERROR(INDEX(PriceBook!$E$4:$E$203,MATCH("PL_LANGFUSE_PRO",PriceBook!$A$4:$A$203,0)),0)+MAX(0,BE144*Org!$B$13-IFERROR(INDEX(PriceBook!$R$4:$R$203,MATCH("PL_LANGFUSE_PRO",PriceBook!$A$4:$A$203,0)),0))/100000*IFERROR(INDEX(PriceBook!$E$4:$E$203,MATCH("U_LANGFUSE_OVER",PriceBook!$A$4:$A$203,0)),0))</f>
        <v>0</v>
      </c>
      <c r="BF153" s="44">
        <f>BF$5*(IFERROR(INDEX(PriceBook!$E$4:$E$203,MATCH("PL_LANGFUSE_PRO",PriceBook!$A$4:$A$203,0)),0)+MAX(0,BF144*Org!$B$13-IFERROR(INDEX(PriceBook!$R$4:$R$203,MATCH("PL_LANGFUSE_PRO",PriceBook!$A$4:$A$203,0)),0))/100000*IFERROR(INDEX(PriceBook!$E$4:$E$203,MATCH("U_LANGFUSE_OVER",PriceBook!$A$4:$A$203,0)),0))</f>
        <v>0</v>
      </c>
      <c r="BG153" s="44">
        <f>BG$5*(IFERROR(INDEX(PriceBook!$E$4:$E$203,MATCH("PL_LANGFUSE_PRO",PriceBook!$A$4:$A$203,0)),0)+MAX(0,BG144*Org!$B$13-IFERROR(INDEX(PriceBook!$R$4:$R$203,MATCH("PL_LANGFUSE_PRO",PriceBook!$A$4:$A$203,0)),0))/100000*IFERROR(INDEX(PriceBook!$E$4:$E$203,MATCH("U_LANGFUSE_OVER",PriceBook!$A$4:$A$203,0)),0))</f>
        <v>0</v>
      </c>
      <c r="BH153" s="44">
        <f>BH$5*(IFERROR(INDEX(PriceBook!$E$4:$E$203,MATCH("PL_LANGFUSE_PRO",PriceBook!$A$4:$A$203,0)),0)+MAX(0,BH144*Org!$B$13-IFERROR(INDEX(PriceBook!$R$4:$R$203,MATCH("PL_LANGFUSE_PRO",PriceBook!$A$4:$A$203,0)),0))/100000*IFERROR(INDEX(PriceBook!$E$4:$E$203,MATCH("U_LANGFUSE_OVER",PriceBook!$A$4:$A$203,0)),0))</f>
        <v>0</v>
      </c>
      <c r="BI153" s="44">
        <f>BI$5*(IFERROR(INDEX(PriceBook!$E$4:$E$203,MATCH("PL_LANGFUSE_PRO",PriceBook!$A$4:$A$203,0)),0)+MAX(0,BI144*Org!$B$13-IFERROR(INDEX(PriceBook!$R$4:$R$203,MATCH("PL_LANGFUSE_PRO",PriceBook!$A$4:$A$203,0)),0))/100000*IFERROR(INDEX(PriceBook!$E$4:$E$203,MATCH("U_LANGFUSE_OVER",PriceBook!$A$4:$A$203,0)),0))</f>
        <v>0</v>
      </c>
      <c r="BJ153" s="44">
        <f>BJ$5*(IFERROR(INDEX(PriceBook!$E$4:$E$203,MATCH("PL_LANGFUSE_PRO",PriceBook!$A$4:$A$203,0)),0)+MAX(0,BJ144*Org!$B$13-IFERROR(INDEX(PriceBook!$R$4:$R$203,MATCH("PL_LANGFUSE_PRO",PriceBook!$A$4:$A$203,0)),0))/100000*IFERROR(INDEX(PriceBook!$E$4:$E$203,MATCH("U_LANGFUSE_OVER",PriceBook!$A$4:$A$203,0)),0))</f>
        <v>0</v>
      </c>
      <c r="BK153" s="44">
        <f>BK$5*(IFERROR(INDEX(PriceBook!$E$4:$E$203,MATCH("PL_LANGFUSE_PRO",PriceBook!$A$4:$A$203,0)),0)+MAX(0,BK144*Org!$B$13-IFERROR(INDEX(PriceBook!$R$4:$R$203,MATCH("PL_LANGFUSE_PRO",PriceBook!$A$4:$A$203,0)),0))/100000*IFERROR(INDEX(PriceBook!$E$4:$E$203,MATCH("U_LANGFUSE_OVER",PriceBook!$A$4:$A$203,0)),0))</f>
        <v>0</v>
      </c>
      <c r="BL153" s="44">
        <f>BL$5*(IFERROR(INDEX(PriceBook!$E$4:$E$203,MATCH("PL_LANGFUSE_PRO",PriceBook!$A$4:$A$203,0)),0)+MAX(0,BL144*Org!$B$13-IFERROR(INDEX(PriceBook!$R$4:$R$203,MATCH("PL_LANGFUSE_PRO",PriceBook!$A$4:$A$203,0)),0))/100000*IFERROR(INDEX(PriceBook!$E$4:$E$203,MATCH("U_LANGFUSE_OVER",PriceBook!$A$4:$A$203,0)),0))</f>
        <v>0</v>
      </c>
    </row>
    <row r="154" spans="1:64" x14ac:dyDescent="0.3">
      <c r="A154" s="8" t="s">
        <v>1026</v>
      </c>
      <c r="B154" s="18" t="s">
        <v>169</v>
      </c>
      <c r="C154" s="44">
        <f t="shared" si="49"/>
        <v>1584000</v>
      </c>
      <c r="E154" s="44">
        <f>E$5*Params!$D$30*Org!$B$10*Org!$B$12/12</f>
        <v>44000</v>
      </c>
      <c r="F154" s="44">
        <f>F$5*Params!$D$30*Org!$B$10*Org!$B$12/12</f>
        <v>44000</v>
      </c>
      <c r="G154" s="44">
        <f>G$5*Params!$D$30*Org!$B$10*Org!$B$12/12</f>
        <v>44000</v>
      </c>
      <c r="H154" s="44">
        <f>H$5*Params!$D$30*Org!$B$10*Org!$B$12/12</f>
        <v>44000</v>
      </c>
      <c r="I154" s="44">
        <f>I$5*Params!$D$30*Org!$B$10*Org!$B$12/12</f>
        <v>44000</v>
      </c>
      <c r="J154" s="44">
        <f>J$5*Params!$D$30*Org!$B$10*Org!$B$12/12</f>
        <v>44000</v>
      </c>
      <c r="K154" s="44">
        <f>K$5*Params!$D$30*Org!$B$10*Org!$B$12/12</f>
        <v>44000</v>
      </c>
      <c r="L154" s="44">
        <f>L$5*Params!$D$30*Org!$B$10*Org!$B$12/12</f>
        <v>44000</v>
      </c>
      <c r="M154" s="44">
        <f>M$5*Params!$D$30*Org!$B$10*Org!$B$12/12</f>
        <v>44000</v>
      </c>
      <c r="N154" s="44">
        <f>N$5*Params!$D$30*Org!$B$10*Org!$B$12/12</f>
        <v>44000</v>
      </c>
      <c r="O154" s="44">
        <f>O$5*Params!$D$30*Org!$B$10*Org!$B$12/12</f>
        <v>44000</v>
      </c>
      <c r="P154" s="44">
        <f>P$5*Params!$D$30*Org!$B$10*Org!$B$12/12</f>
        <v>44000</v>
      </c>
      <c r="Q154" s="44">
        <f>Q$5*Params!$D$30*Org!$B$10*Org!$B$12/12</f>
        <v>44000</v>
      </c>
      <c r="R154" s="44">
        <f>R$5*Params!$D$30*Org!$B$10*Org!$B$12/12</f>
        <v>44000</v>
      </c>
      <c r="S154" s="44">
        <f>S$5*Params!$D$30*Org!$B$10*Org!$B$12/12</f>
        <v>44000</v>
      </c>
      <c r="T154" s="44">
        <f>T$5*Params!$D$30*Org!$B$10*Org!$B$12/12</f>
        <v>44000</v>
      </c>
      <c r="U154" s="44">
        <f>U$5*Params!$D$30*Org!$B$10*Org!$B$12/12</f>
        <v>44000</v>
      </c>
      <c r="V154" s="44">
        <f>V$5*Params!$D$30*Org!$B$10*Org!$B$12/12</f>
        <v>44000</v>
      </c>
      <c r="W154" s="44">
        <f>W$5*Params!$D$30*Org!$B$10*Org!$B$12/12</f>
        <v>44000</v>
      </c>
      <c r="X154" s="44">
        <f>X$5*Params!$D$30*Org!$B$10*Org!$B$12/12</f>
        <v>44000</v>
      </c>
      <c r="Y154" s="44">
        <f>Y$5*Params!$D$30*Org!$B$10*Org!$B$12/12</f>
        <v>44000</v>
      </c>
      <c r="Z154" s="44">
        <f>Z$5*Params!$D$30*Org!$B$10*Org!$B$12/12</f>
        <v>44000</v>
      </c>
      <c r="AA154" s="44">
        <f>AA$5*Params!$D$30*Org!$B$10*Org!$B$12/12</f>
        <v>44000</v>
      </c>
      <c r="AB154" s="44">
        <f>AB$5*Params!$D$30*Org!$B$10*Org!$B$12/12</f>
        <v>44000</v>
      </c>
      <c r="AC154" s="44">
        <f>AC$5*Params!$D$30*Org!$B$10*Org!$B$12/12</f>
        <v>44000</v>
      </c>
      <c r="AD154" s="44">
        <f>AD$5*Params!$D$30*Org!$B$10*Org!$B$12/12</f>
        <v>44000</v>
      </c>
      <c r="AE154" s="44">
        <f>AE$5*Params!$D$30*Org!$B$10*Org!$B$12/12</f>
        <v>44000</v>
      </c>
      <c r="AF154" s="44">
        <f>AF$5*Params!$D$30*Org!$B$10*Org!$B$12/12</f>
        <v>44000</v>
      </c>
      <c r="AG154" s="44">
        <f>AG$5*Params!$D$30*Org!$B$10*Org!$B$12/12</f>
        <v>44000</v>
      </c>
      <c r="AH154" s="44">
        <f>AH$5*Params!$D$30*Org!$B$10*Org!$B$12/12</f>
        <v>44000</v>
      </c>
      <c r="AI154" s="44">
        <f>AI$5*Params!$D$30*Org!$B$10*Org!$B$12/12</f>
        <v>44000</v>
      </c>
      <c r="AJ154" s="44">
        <f>AJ$5*Params!$D$30*Org!$B$10*Org!$B$12/12</f>
        <v>44000</v>
      </c>
      <c r="AK154" s="44">
        <f>AK$5*Params!$D$30*Org!$B$10*Org!$B$12/12</f>
        <v>44000</v>
      </c>
      <c r="AL154" s="44">
        <f>AL$5*Params!$D$30*Org!$B$10*Org!$B$12/12</f>
        <v>44000</v>
      </c>
      <c r="AM154" s="44">
        <f>AM$5*Params!$D$30*Org!$B$10*Org!$B$12/12</f>
        <v>44000</v>
      </c>
      <c r="AN154" s="44">
        <f>AN$5*Params!$D$30*Org!$B$10*Org!$B$12/12</f>
        <v>44000</v>
      </c>
      <c r="AO154" s="44">
        <f>AO$5*Params!$D$30*Org!$B$10*Org!$B$12/12</f>
        <v>0</v>
      </c>
      <c r="AP154" s="44">
        <f>AP$5*Params!$D$30*Org!$B$10*Org!$B$12/12</f>
        <v>0</v>
      </c>
      <c r="AQ154" s="44">
        <f>AQ$5*Params!$D$30*Org!$B$10*Org!$B$12/12</f>
        <v>0</v>
      </c>
      <c r="AR154" s="44">
        <f>AR$5*Params!$D$30*Org!$B$10*Org!$B$12/12</f>
        <v>0</v>
      </c>
      <c r="AS154" s="44">
        <f>AS$5*Params!$D$30*Org!$B$10*Org!$B$12/12</f>
        <v>0</v>
      </c>
      <c r="AT154" s="44">
        <f>AT$5*Params!$D$30*Org!$B$10*Org!$B$12/12</f>
        <v>0</v>
      </c>
      <c r="AU154" s="44">
        <f>AU$5*Params!$D$30*Org!$B$10*Org!$B$12/12</f>
        <v>0</v>
      </c>
      <c r="AV154" s="44">
        <f>AV$5*Params!$D$30*Org!$B$10*Org!$B$12/12</f>
        <v>0</v>
      </c>
      <c r="AW154" s="44">
        <f>AW$5*Params!$D$30*Org!$B$10*Org!$B$12/12</f>
        <v>0</v>
      </c>
      <c r="AX154" s="44">
        <f>AX$5*Params!$D$30*Org!$B$10*Org!$B$12/12</f>
        <v>0</v>
      </c>
      <c r="AY154" s="44">
        <f>AY$5*Params!$D$30*Org!$B$10*Org!$B$12/12</f>
        <v>0</v>
      </c>
      <c r="AZ154" s="44">
        <f>AZ$5*Params!$D$30*Org!$B$10*Org!$B$12/12</f>
        <v>0</v>
      </c>
      <c r="BA154" s="44">
        <f>BA$5*Params!$D$30*Org!$B$10*Org!$B$12/12</f>
        <v>0</v>
      </c>
      <c r="BB154" s="44">
        <f>BB$5*Params!$D$30*Org!$B$10*Org!$B$12/12</f>
        <v>0</v>
      </c>
      <c r="BC154" s="44">
        <f>BC$5*Params!$D$30*Org!$B$10*Org!$B$12/12</f>
        <v>0</v>
      </c>
      <c r="BD154" s="44">
        <f>BD$5*Params!$D$30*Org!$B$10*Org!$B$12/12</f>
        <v>0</v>
      </c>
      <c r="BE154" s="44">
        <f>BE$5*Params!$D$30*Org!$B$10*Org!$B$12/12</f>
        <v>0</v>
      </c>
      <c r="BF154" s="44">
        <f>BF$5*Params!$D$30*Org!$B$10*Org!$B$12/12</f>
        <v>0</v>
      </c>
      <c r="BG154" s="44">
        <f>BG$5*Params!$D$30*Org!$B$10*Org!$B$12/12</f>
        <v>0</v>
      </c>
      <c r="BH154" s="44">
        <f>BH$5*Params!$D$30*Org!$B$10*Org!$B$12/12</f>
        <v>0</v>
      </c>
      <c r="BI154" s="44">
        <f>BI$5*Params!$D$30*Org!$B$10*Org!$B$12/12</f>
        <v>0</v>
      </c>
      <c r="BJ154" s="44">
        <f>BJ$5*Params!$D$30*Org!$B$10*Org!$B$12/12</f>
        <v>0</v>
      </c>
      <c r="BK154" s="44">
        <f>BK$5*Params!$D$30*Org!$B$10*Org!$B$12/12</f>
        <v>0</v>
      </c>
      <c r="BL154" s="44">
        <f>BL$5*Params!$D$30*Org!$B$10*Org!$B$12/12</f>
        <v>0</v>
      </c>
    </row>
    <row r="155" spans="1:64" x14ac:dyDescent="0.3">
      <c r="A155" s="8" t="s">
        <v>1027</v>
      </c>
      <c r="B155" s="18" t="s">
        <v>604</v>
      </c>
      <c r="C155" s="44">
        <f t="shared" si="49"/>
        <v>264000.00000000012</v>
      </c>
      <c r="E155" s="44">
        <f>E$5*Params!$D$31*Org!$B$10*Org!$B$12/12</f>
        <v>7333.333333333333</v>
      </c>
      <c r="F155" s="44">
        <f>F$5*Params!$D$31*Org!$B$10*Org!$B$12/12</f>
        <v>7333.333333333333</v>
      </c>
      <c r="G155" s="44">
        <f>G$5*Params!$D$31*Org!$B$10*Org!$B$12/12</f>
        <v>7333.333333333333</v>
      </c>
      <c r="H155" s="44">
        <f>H$5*Params!$D$31*Org!$B$10*Org!$B$12/12</f>
        <v>7333.333333333333</v>
      </c>
      <c r="I155" s="44">
        <f>I$5*Params!$D$31*Org!$B$10*Org!$B$12/12</f>
        <v>7333.333333333333</v>
      </c>
      <c r="J155" s="44">
        <f>J$5*Params!$D$31*Org!$B$10*Org!$B$12/12</f>
        <v>7333.333333333333</v>
      </c>
      <c r="K155" s="44">
        <f>K$5*Params!$D$31*Org!$B$10*Org!$B$12/12</f>
        <v>7333.333333333333</v>
      </c>
      <c r="L155" s="44">
        <f>L$5*Params!$D$31*Org!$B$10*Org!$B$12/12</f>
        <v>7333.333333333333</v>
      </c>
      <c r="M155" s="44">
        <f>M$5*Params!$D$31*Org!$B$10*Org!$B$12/12</f>
        <v>7333.333333333333</v>
      </c>
      <c r="N155" s="44">
        <f>N$5*Params!$D$31*Org!$B$10*Org!$B$12/12</f>
        <v>7333.333333333333</v>
      </c>
      <c r="O155" s="44">
        <f>O$5*Params!$D$31*Org!$B$10*Org!$B$12/12</f>
        <v>7333.333333333333</v>
      </c>
      <c r="P155" s="44">
        <f>P$5*Params!$D$31*Org!$B$10*Org!$B$12/12</f>
        <v>7333.333333333333</v>
      </c>
      <c r="Q155" s="44">
        <f>Q$5*Params!$D$31*Org!$B$10*Org!$B$12/12</f>
        <v>7333.333333333333</v>
      </c>
      <c r="R155" s="44">
        <f>R$5*Params!$D$31*Org!$B$10*Org!$B$12/12</f>
        <v>7333.333333333333</v>
      </c>
      <c r="S155" s="44">
        <f>S$5*Params!$D$31*Org!$B$10*Org!$B$12/12</f>
        <v>7333.333333333333</v>
      </c>
      <c r="T155" s="44">
        <f>T$5*Params!$D$31*Org!$B$10*Org!$B$12/12</f>
        <v>7333.333333333333</v>
      </c>
      <c r="U155" s="44">
        <f>U$5*Params!$D$31*Org!$B$10*Org!$B$12/12</f>
        <v>7333.333333333333</v>
      </c>
      <c r="V155" s="44">
        <f>V$5*Params!$D$31*Org!$B$10*Org!$B$12/12</f>
        <v>7333.333333333333</v>
      </c>
      <c r="W155" s="44">
        <f>W$5*Params!$D$31*Org!$B$10*Org!$B$12/12</f>
        <v>7333.333333333333</v>
      </c>
      <c r="X155" s="44">
        <f>X$5*Params!$D$31*Org!$B$10*Org!$B$12/12</f>
        <v>7333.333333333333</v>
      </c>
      <c r="Y155" s="44">
        <f>Y$5*Params!$D$31*Org!$B$10*Org!$B$12/12</f>
        <v>7333.333333333333</v>
      </c>
      <c r="Z155" s="44">
        <f>Z$5*Params!$D$31*Org!$B$10*Org!$B$12/12</f>
        <v>7333.333333333333</v>
      </c>
      <c r="AA155" s="44">
        <f>AA$5*Params!$D$31*Org!$B$10*Org!$B$12/12</f>
        <v>7333.333333333333</v>
      </c>
      <c r="AB155" s="44">
        <f>AB$5*Params!$D$31*Org!$B$10*Org!$B$12/12</f>
        <v>7333.333333333333</v>
      </c>
      <c r="AC155" s="44">
        <f>AC$5*Params!$D$31*Org!$B$10*Org!$B$12/12</f>
        <v>7333.333333333333</v>
      </c>
      <c r="AD155" s="44">
        <f>AD$5*Params!$D$31*Org!$B$10*Org!$B$12/12</f>
        <v>7333.333333333333</v>
      </c>
      <c r="AE155" s="44">
        <f>AE$5*Params!$D$31*Org!$B$10*Org!$B$12/12</f>
        <v>7333.333333333333</v>
      </c>
      <c r="AF155" s="44">
        <f>AF$5*Params!$D$31*Org!$B$10*Org!$B$12/12</f>
        <v>7333.333333333333</v>
      </c>
      <c r="AG155" s="44">
        <f>AG$5*Params!$D$31*Org!$B$10*Org!$B$12/12</f>
        <v>7333.333333333333</v>
      </c>
      <c r="AH155" s="44">
        <f>AH$5*Params!$D$31*Org!$B$10*Org!$B$12/12</f>
        <v>7333.333333333333</v>
      </c>
      <c r="AI155" s="44">
        <f>AI$5*Params!$D$31*Org!$B$10*Org!$B$12/12</f>
        <v>7333.333333333333</v>
      </c>
      <c r="AJ155" s="44">
        <f>AJ$5*Params!$D$31*Org!$B$10*Org!$B$12/12</f>
        <v>7333.333333333333</v>
      </c>
      <c r="AK155" s="44">
        <f>AK$5*Params!$D$31*Org!$B$10*Org!$B$12/12</f>
        <v>7333.333333333333</v>
      </c>
      <c r="AL155" s="44">
        <f>AL$5*Params!$D$31*Org!$B$10*Org!$B$12/12</f>
        <v>7333.333333333333</v>
      </c>
      <c r="AM155" s="44">
        <f>AM$5*Params!$D$31*Org!$B$10*Org!$B$12/12</f>
        <v>7333.333333333333</v>
      </c>
      <c r="AN155" s="44">
        <f>AN$5*Params!$D$31*Org!$B$10*Org!$B$12/12</f>
        <v>7333.333333333333</v>
      </c>
      <c r="AO155" s="44">
        <f>AO$5*Params!$D$31*Org!$B$10*Org!$B$12/12</f>
        <v>0</v>
      </c>
      <c r="AP155" s="44">
        <f>AP$5*Params!$D$31*Org!$B$10*Org!$B$12/12</f>
        <v>0</v>
      </c>
      <c r="AQ155" s="44">
        <f>AQ$5*Params!$D$31*Org!$B$10*Org!$B$12/12</f>
        <v>0</v>
      </c>
      <c r="AR155" s="44">
        <f>AR$5*Params!$D$31*Org!$B$10*Org!$B$12/12</f>
        <v>0</v>
      </c>
      <c r="AS155" s="44">
        <f>AS$5*Params!$D$31*Org!$B$10*Org!$B$12/12</f>
        <v>0</v>
      </c>
      <c r="AT155" s="44">
        <f>AT$5*Params!$D$31*Org!$B$10*Org!$B$12/12</f>
        <v>0</v>
      </c>
      <c r="AU155" s="44">
        <f>AU$5*Params!$D$31*Org!$B$10*Org!$B$12/12</f>
        <v>0</v>
      </c>
      <c r="AV155" s="44">
        <f>AV$5*Params!$D$31*Org!$B$10*Org!$B$12/12</f>
        <v>0</v>
      </c>
      <c r="AW155" s="44">
        <f>AW$5*Params!$D$31*Org!$B$10*Org!$B$12/12</f>
        <v>0</v>
      </c>
      <c r="AX155" s="44">
        <f>AX$5*Params!$D$31*Org!$B$10*Org!$B$12/12</f>
        <v>0</v>
      </c>
      <c r="AY155" s="44">
        <f>AY$5*Params!$D$31*Org!$B$10*Org!$B$12/12</f>
        <v>0</v>
      </c>
      <c r="AZ155" s="44">
        <f>AZ$5*Params!$D$31*Org!$B$10*Org!$B$12/12</f>
        <v>0</v>
      </c>
      <c r="BA155" s="44">
        <f>BA$5*Params!$D$31*Org!$B$10*Org!$B$12/12</f>
        <v>0</v>
      </c>
      <c r="BB155" s="44">
        <f>BB$5*Params!$D$31*Org!$B$10*Org!$B$12/12</f>
        <v>0</v>
      </c>
      <c r="BC155" s="44">
        <f>BC$5*Params!$D$31*Org!$B$10*Org!$B$12/12</f>
        <v>0</v>
      </c>
      <c r="BD155" s="44">
        <f>BD$5*Params!$D$31*Org!$B$10*Org!$B$12/12</f>
        <v>0</v>
      </c>
      <c r="BE155" s="44">
        <f>BE$5*Params!$D$31*Org!$B$10*Org!$B$12/12</f>
        <v>0</v>
      </c>
      <c r="BF155" s="44">
        <f>BF$5*Params!$D$31*Org!$B$10*Org!$B$12/12</f>
        <v>0</v>
      </c>
      <c r="BG155" s="44">
        <f>BG$5*Params!$D$31*Org!$B$10*Org!$B$12/12</f>
        <v>0</v>
      </c>
      <c r="BH155" s="44">
        <f>BH$5*Params!$D$31*Org!$B$10*Org!$B$12/12</f>
        <v>0</v>
      </c>
      <c r="BI155" s="44">
        <f>BI$5*Params!$D$31*Org!$B$10*Org!$B$12/12</f>
        <v>0</v>
      </c>
      <c r="BJ155" s="44">
        <f>BJ$5*Params!$D$31*Org!$B$10*Org!$B$12/12</f>
        <v>0</v>
      </c>
      <c r="BK155" s="44">
        <f>BK$5*Params!$D$31*Org!$B$10*Org!$B$12/12</f>
        <v>0</v>
      </c>
      <c r="BL155" s="44">
        <f>BL$5*Params!$D$31*Org!$B$10*Org!$B$12/12</f>
        <v>0</v>
      </c>
    </row>
    <row r="156" spans="1:64" x14ac:dyDescent="0.3">
      <c r="A156" s="8" t="s">
        <v>1028</v>
      </c>
      <c r="B156" s="18" t="s">
        <v>505</v>
      </c>
      <c r="C156" s="44">
        <f t="shared" si="49"/>
        <v>0</v>
      </c>
      <c r="E156" s="44">
        <f>E$5*Params!$D$32/12</f>
        <v>0</v>
      </c>
      <c r="F156" s="44">
        <f>F$5*Params!$D$32/12</f>
        <v>0</v>
      </c>
      <c r="G156" s="44">
        <f>G$5*Params!$D$32/12</f>
        <v>0</v>
      </c>
      <c r="H156" s="44">
        <f>H$5*Params!$D$32/12</f>
        <v>0</v>
      </c>
      <c r="I156" s="44">
        <f>I$5*Params!$D$32/12</f>
        <v>0</v>
      </c>
      <c r="J156" s="44">
        <f>J$5*Params!$D$32/12</f>
        <v>0</v>
      </c>
      <c r="K156" s="44">
        <f>K$5*Params!$D$32/12</f>
        <v>0</v>
      </c>
      <c r="L156" s="44">
        <f>L$5*Params!$D$32/12</f>
        <v>0</v>
      </c>
      <c r="M156" s="44">
        <f>M$5*Params!$D$32/12</f>
        <v>0</v>
      </c>
      <c r="N156" s="44">
        <f>N$5*Params!$D$32/12</f>
        <v>0</v>
      </c>
      <c r="O156" s="44">
        <f>O$5*Params!$D$32/12</f>
        <v>0</v>
      </c>
      <c r="P156" s="44">
        <f>P$5*Params!$D$32/12</f>
        <v>0</v>
      </c>
      <c r="Q156" s="44">
        <f>Q$5*Params!$D$32/12</f>
        <v>0</v>
      </c>
      <c r="R156" s="44">
        <f>R$5*Params!$D$32/12</f>
        <v>0</v>
      </c>
      <c r="S156" s="44">
        <f>S$5*Params!$D$32/12</f>
        <v>0</v>
      </c>
      <c r="T156" s="44">
        <f>T$5*Params!$D$32/12</f>
        <v>0</v>
      </c>
      <c r="U156" s="44">
        <f>U$5*Params!$D$32/12</f>
        <v>0</v>
      </c>
      <c r="V156" s="44">
        <f>V$5*Params!$D$32/12</f>
        <v>0</v>
      </c>
      <c r="W156" s="44">
        <f>W$5*Params!$D$32/12</f>
        <v>0</v>
      </c>
      <c r="X156" s="44">
        <f>X$5*Params!$D$32/12</f>
        <v>0</v>
      </c>
      <c r="Y156" s="44">
        <f>Y$5*Params!$D$32/12</f>
        <v>0</v>
      </c>
      <c r="Z156" s="44">
        <f>Z$5*Params!$D$32/12</f>
        <v>0</v>
      </c>
      <c r="AA156" s="44">
        <f>AA$5*Params!$D$32/12</f>
        <v>0</v>
      </c>
      <c r="AB156" s="44">
        <f>AB$5*Params!$D$32/12</f>
        <v>0</v>
      </c>
      <c r="AC156" s="44">
        <f>AC$5*Params!$D$32/12</f>
        <v>0</v>
      </c>
      <c r="AD156" s="44">
        <f>AD$5*Params!$D$32/12</f>
        <v>0</v>
      </c>
      <c r="AE156" s="44">
        <f>AE$5*Params!$D$32/12</f>
        <v>0</v>
      </c>
      <c r="AF156" s="44">
        <f>AF$5*Params!$D$32/12</f>
        <v>0</v>
      </c>
      <c r="AG156" s="44">
        <f>AG$5*Params!$D$32/12</f>
        <v>0</v>
      </c>
      <c r="AH156" s="44">
        <f>AH$5*Params!$D$32/12</f>
        <v>0</v>
      </c>
      <c r="AI156" s="44">
        <f>AI$5*Params!$D$32/12</f>
        <v>0</v>
      </c>
      <c r="AJ156" s="44">
        <f>AJ$5*Params!$D$32/12</f>
        <v>0</v>
      </c>
      <c r="AK156" s="44">
        <f>AK$5*Params!$D$32/12</f>
        <v>0</v>
      </c>
      <c r="AL156" s="44">
        <f>AL$5*Params!$D$32/12</f>
        <v>0</v>
      </c>
      <c r="AM156" s="44">
        <f>AM$5*Params!$D$32/12</f>
        <v>0</v>
      </c>
      <c r="AN156" s="44">
        <f>AN$5*Params!$D$32/12</f>
        <v>0</v>
      </c>
      <c r="AO156" s="44">
        <f>AO$5*Params!$D$32/12</f>
        <v>0</v>
      </c>
      <c r="AP156" s="44">
        <f>AP$5*Params!$D$32/12</f>
        <v>0</v>
      </c>
      <c r="AQ156" s="44">
        <f>AQ$5*Params!$D$32/12</f>
        <v>0</v>
      </c>
      <c r="AR156" s="44">
        <f>AR$5*Params!$D$32/12</f>
        <v>0</v>
      </c>
      <c r="AS156" s="44">
        <f>AS$5*Params!$D$32/12</f>
        <v>0</v>
      </c>
      <c r="AT156" s="44">
        <f>AT$5*Params!$D$32/12</f>
        <v>0</v>
      </c>
      <c r="AU156" s="44">
        <f>AU$5*Params!$D$32/12</f>
        <v>0</v>
      </c>
      <c r="AV156" s="44">
        <f>AV$5*Params!$D$32/12</f>
        <v>0</v>
      </c>
      <c r="AW156" s="44">
        <f>AW$5*Params!$D$32/12</f>
        <v>0</v>
      </c>
      <c r="AX156" s="44">
        <f>AX$5*Params!$D$32/12</f>
        <v>0</v>
      </c>
      <c r="AY156" s="44">
        <f>AY$5*Params!$D$32/12</f>
        <v>0</v>
      </c>
      <c r="AZ156" s="44">
        <f>AZ$5*Params!$D$32/12</f>
        <v>0</v>
      </c>
      <c r="BA156" s="44">
        <f>BA$5*Params!$D$32/12</f>
        <v>0</v>
      </c>
      <c r="BB156" s="44">
        <f>BB$5*Params!$D$32/12</f>
        <v>0</v>
      </c>
      <c r="BC156" s="44">
        <f>BC$5*Params!$D$32/12</f>
        <v>0</v>
      </c>
      <c r="BD156" s="44">
        <f>BD$5*Params!$D$32/12</f>
        <v>0</v>
      </c>
      <c r="BE156" s="44">
        <f>BE$5*Params!$D$32/12</f>
        <v>0</v>
      </c>
      <c r="BF156" s="44">
        <f>BF$5*Params!$D$32/12</f>
        <v>0</v>
      </c>
      <c r="BG156" s="44">
        <f>BG$5*Params!$D$32/12</f>
        <v>0</v>
      </c>
      <c r="BH156" s="44">
        <f>BH$5*Params!$D$32/12</f>
        <v>0</v>
      </c>
      <c r="BI156" s="44">
        <f>BI$5*Params!$D$32/12</f>
        <v>0</v>
      </c>
      <c r="BJ156" s="44">
        <f>BJ$5*Params!$D$32/12</f>
        <v>0</v>
      </c>
      <c r="BK156" s="44">
        <f>BK$5*Params!$D$32/12</f>
        <v>0</v>
      </c>
      <c r="BL156" s="44">
        <f>BL$5*Params!$D$32/12</f>
        <v>0</v>
      </c>
    </row>
    <row r="157" spans="1:64" x14ac:dyDescent="0.3">
      <c r="A157" s="8" t="s">
        <v>1029</v>
      </c>
      <c r="B157" s="18" t="s">
        <v>505</v>
      </c>
      <c r="C157" s="44">
        <f t="shared" si="49"/>
        <v>0</v>
      </c>
      <c r="E157" s="44">
        <f>E$5*Params!$D$33/12</f>
        <v>0</v>
      </c>
      <c r="F157" s="44">
        <f>F$5*Params!$D$33/12</f>
        <v>0</v>
      </c>
      <c r="G157" s="44">
        <f>G$5*Params!$D$33/12</f>
        <v>0</v>
      </c>
      <c r="H157" s="44">
        <f>H$5*Params!$D$33/12</f>
        <v>0</v>
      </c>
      <c r="I157" s="44">
        <f>I$5*Params!$D$33/12</f>
        <v>0</v>
      </c>
      <c r="J157" s="44">
        <f>J$5*Params!$D$33/12</f>
        <v>0</v>
      </c>
      <c r="K157" s="44">
        <f>K$5*Params!$D$33/12</f>
        <v>0</v>
      </c>
      <c r="L157" s="44">
        <f>L$5*Params!$D$33/12</f>
        <v>0</v>
      </c>
      <c r="M157" s="44">
        <f>M$5*Params!$D$33/12</f>
        <v>0</v>
      </c>
      <c r="N157" s="44">
        <f>N$5*Params!$D$33/12</f>
        <v>0</v>
      </c>
      <c r="O157" s="44">
        <f>O$5*Params!$D$33/12</f>
        <v>0</v>
      </c>
      <c r="P157" s="44">
        <f>P$5*Params!$D$33/12</f>
        <v>0</v>
      </c>
      <c r="Q157" s="44">
        <f>Q$5*Params!$D$33/12</f>
        <v>0</v>
      </c>
      <c r="R157" s="44">
        <f>R$5*Params!$D$33/12</f>
        <v>0</v>
      </c>
      <c r="S157" s="44">
        <f>S$5*Params!$D$33/12</f>
        <v>0</v>
      </c>
      <c r="T157" s="44">
        <f>T$5*Params!$D$33/12</f>
        <v>0</v>
      </c>
      <c r="U157" s="44">
        <f>U$5*Params!$D$33/12</f>
        <v>0</v>
      </c>
      <c r="V157" s="44">
        <f>V$5*Params!$D$33/12</f>
        <v>0</v>
      </c>
      <c r="W157" s="44">
        <f>W$5*Params!$D$33/12</f>
        <v>0</v>
      </c>
      <c r="X157" s="44">
        <f>X$5*Params!$D$33/12</f>
        <v>0</v>
      </c>
      <c r="Y157" s="44">
        <f>Y$5*Params!$D$33/12</f>
        <v>0</v>
      </c>
      <c r="Z157" s="44">
        <f>Z$5*Params!$D$33/12</f>
        <v>0</v>
      </c>
      <c r="AA157" s="44">
        <f>AA$5*Params!$D$33/12</f>
        <v>0</v>
      </c>
      <c r="AB157" s="44">
        <f>AB$5*Params!$D$33/12</f>
        <v>0</v>
      </c>
      <c r="AC157" s="44">
        <f>AC$5*Params!$D$33/12</f>
        <v>0</v>
      </c>
      <c r="AD157" s="44">
        <f>AD$5*Params!$D$33/12</f>
        <v>0</v>
      </c>
      <c r="AE157" s="44">
        <f>AE$5*Params!$D$33/12</f>
        <v>0</v>
      </c>
      <c r="AF157" s="44">
        <f>AF$5*Params!$D$33/12</f>
        <v>0</v>
      </c>
      <c r="AG157" s="44">
        <f>AG$5*Params!$D$33/12</f>
        <v>0</v>
      </c>
      <c r="AH157" s="44">
        <f>AH$5*Params!$D$33/12</f>
        <v>0</v>
      </c>
      <c r="AI157" s="44">
        <f>AI$5*Params!$D$33/12</f>
        <v>0</v>
      </c>
      <c r="AJ157" s="44">
        <f>AJ$5*Params!$D$33/12</f>
        <v>0</v>
      </c>
      <c r="AK157" s="44">
        <f>AK$5*Params!$D$33/12</f>
        <v>0</v>
      </c>
      <c r="AL157" s="44">
        <f>AL$5*Params!$D$33/12</f>
        <v>0</v>
      </c>
      <c r="AM157" s="44">
        <f>AM$5*Params!$D$33/12</f>
        <v>0</v>
      </c>
      <c r="AN157" s="44">
        <f>AN$5*Params!$D$33/12</f>
        <v>0</v>
      </c>
      <c r="AO157" s="44">
        <f>AO$5*Params!$D$33/12</f>
        <v>0</v>
      </c>
      <c r="AP157" s="44">
        <f>AP$5*Params!$D$33/12</f>
        <v>0</v>
      </c>
      <c r="AQ157" s="44">
        <f>AQ$5*Params!$D$33/12</f>
        <v>0</v>
      </c>
      <c r="AR157" s="44">
        <f>AR$5*Params!$D$33/12</f>
        <v>0</v>
      </c>
      <c r="AS157" s="44">
        <f>AS$5*Params!$D$33/12</f>
        <v>0</v>
      </c>
      <c r="AT157" s="44">
        <f>AT$5*Params!$D$33/12</f>
        <v>0</v>
      </c>
      <c r="AU157" s="44">
        <f>AU$5*Params!$D$33/12</f>
        <v>0</v>
      </c>
      <c r="AV157" s="44">
        <f>AV$5*Params!$D$33/12</f>
        <v>0</v>
      </c>
      <c r="AW157" s="44">
        <f>AW$5*Params!$D$33/12</f>
        <v>0</v>
      </c>
      <c r="AX157" s="44">
        <f>AX$5*Params!$D$33/12</f>
        <v>0</v>
      </c>
      <c r="AY157" s="44">
        <f>AY$5*Params!$D$33/12</f>
        <v>0</v>
      </c>
      <c r="AZ157" s="44">
        <f>AZ$5*Params!$D$33/12</f>
        <v>0</v>
      </c>
      <c r="BA157" s="44">
        <f>BA$5*Params!$D$33/12</f>
        <v>0</v>
      </c>
      <c r="BB157" s="44">
        <f>BB$5*Params!$D$33/12</f>
        <v>0</v>
      </c>
      <c r="BC157" s="44">
        <f>BC$5*Params!$D$33/12</f>
        <v>0</v>
      </c>
      <c r="BD157" s="44">
        <f>BD$5*Params!$D$33/12</f>
        <v>0</v>
      </c>
      <c r="BE157" s="44">
        <f>BE$5*Params!$D$33/12</f>
        <v>0</v>
      </c>
      <c r="BF157" s="44">
        <f>BF$5*Params!$D$33/12</f>
        <v>0</v>
      </c>
      <c r="BG157" s="44">
        <f>BG$5*Params!$D$33/12</f>
        <v>0</v>
      </c>
      <c r="BH157" s="44">
        <f>BH$5*Params!$D$33/12</f>
        <v>0</v>
      </c>
      <c r="BI157" s="44">
        <f>BI$5*Params!$D$33/12</f>
        <v>0</v>
      </c>
      <c r="BJ157" s="44">
        <f>BJ$5*Params!$D$33/12</f>
        <v>0</v>
      </c>
      <c r="BK157" s="44">
        <f>BK$5*Params!$D$33/12</f>
        <v>0</v>
      </c>
      <c r="BL157" s="44">
        <f>BL$5*Params!$D$33/12</f>
        <v>0</v>
      </c>
    </row>
    <row r="158" spans="1:64" x14ac:dyDescent="0.3">
      <c r="A158" s="8" t="s">
        <v>1030</v>
      </c>
      <c r="C158" s="44">
        <f t="shared" si="49"/>
        <v>2000895.6800000009</v>
      </c>
      <c r="D158" s="44">
        <f t="shared" ref="D158:AI158" si="50">SUM(D145:D157)</f>
        <v>114400</v>
      </c>
      <c r="E158" s="44">
        <f t="shared" si="50"/>
        <v>52285.8</v>
      </c>
      <c r="F158" s="44">
        <f t="shared" si="50"/>
        <v>52313.118518518524</v>
      </c>
      <c r="G158" s="44">
        <f t="shared" si="50"/>
        <v>52346.73897481482</v>
      </c>
      <c r="H158" s="44">
        <f t="shared" si="50"/>
        <v>52381.97408</v>
      </c>
      <c r="I158" s="44">
        <f t="shared" si="50"/>
        <v>52400.651105185185</v>
      </c>
      <c r="J158" s="44">
        <f t="shared" si="50"/>
        <v>52410.197321481486</v>
      </c>
      <c r="K158" s="44">
        <f t="shared" si="50"/>
        <v>52411.906666666669</v>
      </c>
      <c r="L158" s="44">
        <f t="shared" si="50"/>
        <v>52411.906666666669</v>
      </c>
      <c r="M158" s="44">
        <f t="shared" si="50"/>
        <v>52411.906666666669</v>
      </c>
      <c r="N158" s="44">
        <f t="shared" si="50"/>
        <v>52411.906666666669</v>
      </c>
      <c r="O158" s="44">
        <f t="shared" si="50"/>
        <v>52411.906666666669</v>
      </c>
      <c r="P158" s="44">
        <f t="shared" si="50"/>
        <v>52411.906666666669</v>
      </c>
      <c r="Q158" s="44">
        <f t="shared" si="50"/>
        <v>52411.906666666669</v>
      </c>
      <c r="R158" s="44">
        <f t="shared" si="50"/>
        <v>52411.906666666669</v>
      </c>
      <c r="S158" s="44">
        <f t="shared" si="50"/>
        <v>52411.906666666669</v>
      </c>
      <c r="T158" s="44">
        <f t="shared" si="50"/>
        <v>52411.906666666669</v>
      </c>
      <c r="U158" s="44">
        <f t="shared" si="50"/>
        <v>52411.906666666669</v>
      </c>
      <c r="V158" s="44">
        <f t="shared" si="50"/>
        <v>52411.906666666669</v>
      </c>
      <c r="W158" s="44">
        <f t="shared" si="50"/>
        <v>52411.906666666669</v>
      </c>
      <c r="X158" s="44">
        <f t="shared" si="50"/>
        <v>52411.906666666669</v>
      </c>
      <c r="Y158" s="44">
        <f t="shared" si="50"/>
        <v>52411.906666666669</v>
      </c>
      <c r="Z158" s="44">
        <f t="shared" si="50"/>
        <v>52411.906666666669</v>
      </c>
      <c r="AA158" s="44">
        <f t="shared" si="50"/>
        <v>52411.906666666669</v>
      </c>
      <c r="AB158" s="44">
        <f t="shared" si="50"/>
        <v>52411.906666666669</v>
      </c>
      <c r="AC158" s="44">
        <f t="shared" si="50"/>
        <v>52411.906666666669</v>
      </c>
      <c r="AD158" s="44">
        <f t="shared" si="50"/>
        <v>52411.906666666669</v>
      </c>
      <c r="AE158" s="44">
        <f t="shared" si="50"/>
        <v>52411.906666666669</v>
      </c>
      <c r="AF158" s="44">
        <f t="shared" si="50"/>
        <v>52411.906666666669</v>
      </c>
      <c r="AG158" s="44">
        <f t="shared" si="50"/>
        <v>52411.906666666669</v>
      </c>
      <c r="AH158" s="44">
        <f t="shared" si="50"/>
        <v>52411.906666666669</v>
      </c>
      <c r="AI158" s="44">
        <f t="shared" si="50"/>
        <v>52411.906666666669</v>
      </c>
      <c r="AJ158" s="44">
        <f t="shared" ref="AJ158:BO158" si="51">SUM(AJ145:AJ157)</f>
        <v>52411.906666666669</v>
      </c>
      <c r="AK158" s="44">
        <f t="shared" si="51"/>
        <v>52411.906666666669</v>
      </c>
      <c r="AL158" s="44">
        <f t="shared" si="51"/>
        <v>52411.906666666669</v>
      </c>
      <c r="AM158" s="44">
        <f t="shared" si="51"/>
        <v>52411.906666666669</v>
      </c>
      <c r="AN158" s="44">
        <f t="shared" si="51"/>
        <v>52411.906666666669</v>
      </c>
      <c r="AO158" s="44">
        <f t="shared" si="51"/>
        <v>0</v>
      </c>
      <c r="AP158" s="44">
        <f t="shared" si="51"/>
        <v>0</v>
      </c>
      <c r="AQ158" s="44">
        <f t="shared" si="51"/>
        <v>0</v>
      </c>
      <c r="AR158" s="44">
        <f t="shared" si="51"/>
        <v>0</v>
      </c>
      <c r="AS158" s="44">
        <f t="shared" si="51"/>
        <v>0</v>
      </c>
      <c r="AT158" s="44">
        <f t="shared" si="51"/>
        <v>0</v>
      </c>
      <c r="AU158" s="44">
        <f t="shared" si="51"/>
        <v>0</v>
      </c>
      <c r="AV158" s="44">
        <f t="shared" si="51"/>
        <v>0</v>
      </c>
      <c r="AW158" s="44">
        <f t="shared" si="51"/>
        <v>0</v>
      </c>
      <c r="AX158" s="44">
        <f t="shared" si="51"/>
        <v>0</v>
      </c>
      <c r="AY158" s="44">
        <f t="shared" si="51"/>
        <v>0</v>
      </c>
      <c r="AZ158" s="44">
        <f t="shared" si="51"/>
        <v>0</v>
      </c>
      <c r="BA158" s="44">
        <f t="shared" si="51"/>
        <v>0</v>
      </c>
      <c r="BB158" s="44">
        <f t="shared" si="51"/>
        <v>0</v>
      </c>
      <c r="BC158" s="44">
        <f t="shared" si="51"/>
        <v>0</v>
      </c>
      <c r="BD158" s="44">
        <f t="shared" si="51"/>
        <v>0</v>
      </c>
      <c r="BE158" s="44">
        <f t="shared" si="51"/>
        <v>0</v>
      </c>
      <c r="BF158" s="44">
        <f t="shared" si="51"/>
        <v>0</v>
      </c>
      <c r="BG158" s="44">
        <f t="shared" si="51"/>
        <v>0</v>
      </c>
      <c r="BH158" s="44">
        <f t="shared" si="51"/>
        <v>0</v>
      </c>
      <c r="BI158" s="44">
        <f t="shared" si="51"/>
        <v>0</v>
      </c>
      <c r="BJ158" s="44">
        <f t="shared" si="51"/>
        <v>0</v>
      </c>
      <c r="BK158" s="44">
        <f t="shared" si="51"/>
        <v>0</v>
      </c>
      <c r="BL158" s="44">
        <f t="shared" si="51"/>
        <v>0</v>
      </c>
    </row>
    <row r="161" spans="1:64" x14ac:dyDescent="0.3">
      <c r="A161" s="7" t="s">
        <v>1031</v>
      </c>
      <c r="G161" s="18" t="s">
        <v>978</v>
      </c>
      <c r="H161" s="18" t="s">
        <v>758</v>
      </c>
    </row>
    <row r="162" spans="1:64" x14ac:dyDescent="0.3">
      <c r="A162" s="8" t="s">
        <v>1032</v>
      </c>
      <c r="B162" s="22">
        <f>C12</f>
        <v>3618000</v>
      </c>
      <c r="C162" s="22">
        <f>C39</f>
        <v>4416000</v>
      </c>
      <c r="D162" s="22">
        <f>C66</f>
        <v>1300000</v>
      </c>
      <c r="E162" s="22">
        <f>C93</f>
        <v>403200</v>
      </c>
      <c r="F162" s="22">
        <f>C120</f>
        <v>2412000</v>
      </c>
    </row>
    <row r="163" spans="1:64" x14ac:dyDescent="0.3">
      <c r="A163" s="8" t="s">
        <v>160</v>
      </c>
      <c r="B163" s="14">
        <f>Teams!$C$81</f>
        <v>3000</v>
      </c>
      <c r="C163" s="14">
        <f>Teams!$D$81</f>
        <v>400</v>
      </c>
      <c r="D163" s="14">
        <f>Teams!$E$81</f>
        <v>60</v>
      </c>
      <c r="E163" s="14">
        <f>Teams!$F$81</f>
        <v>150</v>
      </c>
      <c r="F163" s="14">
        <f>Teams!$G$81</f>
        <v>2000</v>
      </c>
    </row>
    <row r="164" spans="1:64" x14ac:dyDescent="0.3">
      <c r="A164" s="8" t="s">
        <v>1033</v>
      </c>
      <c r="B164" s="46">
        <f>IF(Org!$B$9="Usage-proportional",B162/SUM($B162:$F162),IF(Org!$B$9="Headcount proxy",B163/SUM($B163:$F163),IF(Org!$B$9="Even split",IF(Org!$B$18=0,0,Teams!$C$5/Org!$B$18),0)))</f>
        <v>0.29779738583610443</v>
      </c>
      <c r="C164" s="46">
        <f>IF(Org!$B$9="Usage-proportional",C162/SUM($B162:$F162),IF(Org!$B$9="Headcount proxy",C163/SUM($B163:$F163),IF(Org!$B$9="Even split",IF(Org!$B$18=0,0,Teams!$D$5/Org!$B$18),0)))</f>
        <v>0.36348072301056861</v>
      </c>
      <c r="D164" s="46">
        <f>IF(Org!$B$9="Usage-proportional",D162/SUM($B162:$F162),IF(Org!$B$9="Headcount proxy",D163/SUM($B163:$F163),IF(Org!$B$9="Even split",IF(Org!$B$18=0,0,Teams!$E$5/Org!$B$18),0)))</f>
        <v>0.10700293023408949</v>
      </c>
      <c r="E164" s="46">
        <f>IF(Org!$B$9="Usage-proportional",E162/SUM($B162:$F162),IF(Org!$B$9="Headcount proxy",E163/SUM($B163:$F163),IF(Org!$B$9="Even split",IF(Org!$B$18=0,0,Teams!$F$5/Org!$B$18),0)))</f>
        <v>3.3187370361834521E-2</v>
      </c>
      <c r="F164" s="46">
        <f>IF(Org!$B$9="Usage-proportional",F162/SUM($B162:$F162),IF(Org!$B$9="Headcount proxy",F163/SUM($B163:$F163),IF(Org!$B$9="Even split",IF(Org!$B$18=0,0,Teams!$G$5/Org!$B$18),0)))</f>
        <v>0.19853159055740296</v>
      </c>
    </row>
    <row r="165" spans="1:64" x14ac:dyDescent="0.3">
      <c r="A165" s="8" t="s">
        <v>1034</v>
      </c>
      <c r="B165" s="44">
        <f>C158</f>
        <v>2000895.6800000009</v>
      </c>
    </row>
    <row r="166" spans="1:64" x14ac:dyDescent="0.3">
      <c r="A166" s="8" t="s">
        <v>1035</v>
      </c>
      <c r="B166" s="46">
        <f>Params!$D$40</f>
        <v>0.3</v>
      </c>
    </row>
    <row r="167" spans="1:64" x14ac:dyDescent="0.3">
      <c r="A167" s="8" t="s">
        <v>1036</v>
      </c>
      <c r="B167" s="44">
        <f>IF(Org!$B$8="Federated",$B$165*$B166*Teams!$C$5,$B$165*B164)</f>
        <v>595861.50283475476</v>
      </c>
      <c r="C167" s="44">
        <f>IF(Org!$B$8="Federated",$B$165*$B166*Teams!$D$5,$B$165*C164)</f>
        <v>727287.0084351236</v>
      </c>
      <c r="D167" s="44">
        <f>IF(Org!$B$8="Federated",$B$165*$B166*Teams!$E$5,$B$165*D164)</f>
        <v>214101.70085273116</v>
      </c>
      <c r="E167" s="44">
        <f>IF(Org!$B$8="Federated",$B$165*$B166*Teams!$F$5,$B$165*E164)</f>
        <v>66404.465987554766</v>
      </c>
      <c r="F167" s="44">
        <f>IF(Org!$B$8="Federated",$B$165*$B166*Teams!$G$5,$B$165*F164)</f>
        <v>397241.00188983657</v>
      </c>
      <c r="G167" s="44">
        <f>IF(AND(Org!$B$8&lt;&gt;"Federated",Org!$B$9="Central budget"),$B$165,0)</f>
        <v>0</v>
      </c>
      <c r="H167" s="44">
        <f>SUM(B167:G167)</f>
        <v>2000895.6800000009</v>
      </c>
    </row>
    <row r="168" spans="1:64" x14ac:dyDescent="0.3">
      <c r="A168" s="8" t="s">
        <v>1037</v>
      </c>
      <c r="B168" s="44">
        <f>$B$165*B170</f>
        <v>2000895.6800000009</v>
      </c>
    </row>
    <row r="169" spans="1:64" x14ac:dyDescent="0.3">
      <c r="A169" s="8" t="s">
        <v>1038</v>
      </c>
      <c r="B169" s="36">
        <f t="shared" ref="B169:G169" si="52">IF($B$165=0,0,B167/$B$165)</f>
        <v>0.29779738583610443</v>
      </c>
      <c r="C169" s="36">
        <f t="shared" si="52"/>
        <v>0.36348072301056861</v>
      </c>
      <c r="D169" s="36">
        <f t="shared" si="52"/>
        <v>0.10700293023408949</v>
      </c>
      <c r="E169" s="36">
        <f t="shared" si="52"/>
        <v>3.3187370361834521E-2</v>
      </c>
      <c r="F169" s="36">
        <f t="shared" si="52"/>
        <v>0.19853159055740296</v>
      </c>
      <c r="G169" s="36">
        <f t="shared" si="52"/>
        <v>0</v>
      </c>
    </row>
    <row r="170" spans="1:64" x14ac:dyDescent="0.3">
      <c r="A170" s="8" t="s">
        <v>662</v>
      </c>
      <c r="B170" s="37">
        <f>IF(Org!$B$8="Federated",Org!$B$18*Params!$D$40,1)</f>
        <v>1</v>
      </c>
    </row>
    <row r="173" spans="1:64" x14ac:dyDescent="0.3">
      <c r="A173" s="7" t="s">
        <v>20</v>
      </c>
    </row>
    <row r="174" spans="1:64" x14ac:dyDescent="0.3">
      <c r="A174" s="8" t="s">
        <v>11</v>
      </c>
      <c r="C174" s="44">
        <f>SUM(D174:BL174)</f>
        <v>26033656.540000007</v>
      </c>
      <c r="D174" s="44">
        <f t="shared" ref="D174:AI174" si="53">D28+D55+D82+D109+D136</f>
        <v>0</v>
      </c>
      <c r="E174" s="44">
        <f t="shared" si="53"/>
        <v>118489.33333333334</v>
      </c>
      <c r="F174" s="44">
        <f t="shared" si="53"/>
        <v>271017.33333333331</v>
      </c>
      <c r="G174" s="44">
        <f t="shared" si="53"/>
        <v>450360.82821333339</v>
      </c>
      <c r="H174" s="44">
        <f t="shared" si="53"/>
        <v>639521.04677333334</v>
      </c>
      <c r="I174" s="44">
        <f t="shared" si="53"/>
        <v>716677.00656000013</v>
      </c>
      <c r="J174" s="44">
        <f t="shared" si="53"/>
        <v>759474.39178666659</v>
      </c>
      <c r="K174" s="44">
        <f t="shared" si="53"/>
        <v>769270.55333333323</v>
      </c>
      <c r="L174" s="44">
        <f t="shared" si="53"/>
        <v>769270.55333333323</v>
      </c>
      <c r="M174" s="44">
        <f t="shared" si="53"/>
        <v>769270.55333333323</v>
      </c>
      <c r="N174" s="44">
        <f t="shared" si="53"/>
        <v>769270.55333333323</v>
      </c>
      <c r="O174" s="44">
        <f t="shared" si="53"/>
        <v>769270.55333333323</v>
      </c>
      <c r="P174" s="44">
        <f t="shared" si="53"/>
        <v>769270.55333333323</v>
      </c>
      <c r="Q174" s="44">
        <f t="shared" si="53"/>
        <v>769270.55333333323</v>
      </c>
      <c r="R174" s="44">
        <f t="shared" si="53"/>
        <v>769270.55333333323</v>
      </c>
      <c r="S174" s="44">
        <f t="shared" si="53"/>
        <v>769270.55333333323</v>
      </c>
      <c r="T174" s="44">
        <f t="shared" si="53"/>
        <v>769270.55333333323</v>
      </c>
      <c r="U174" s="44">
        <f t="shared" si="53"/>
        <v>769270.55333333323</v>
      </c>
      <c r="V174" s="44">
        <f t="shared" si="53"/>
        <v>769270.55333333323</v>
      </c>
      <c r="W174" s="44">
        <f t="shared" si="53"/>
        <v>769270.55333333323</v>
      </c>
      <c r="X174" s="44">
        <f t="shared" si="53"/>
        <v>769270.55333333323</v>
      </c>
      <c r="Y174" s="44">
        <f t="shared" si="53"/>
        <v>769270.55333333323</v>
      </c>
      <c r="Z174" s="44">
        <f t="shared" si="53"/>
        <v>769270.55333333323</v>
      </c>
      <c r="AA174" s="44">
        <f t="shared" si="53"/>
        <v>769270.55333333323</v>
      </c>
      <c r="AB174" s="44">
        <f t="shared" si="53"/>
        <v>769270.55333333323</v>
      </c>
      <c r="AC174" s="44">
        <f t="shared" si="53"/>
        <v>769270.55333333323</v>
      </c>
      <c r="AD174" s="44">
        <f t="shared" si="53"/>
        <v>769270.55333333323</v>
      </c>
      <c r="AE174" s="44">
        <f t="shared" si="53"/>
        <v>769270.55333333323</v>
      </c>
      <c r="AF174" s="44">
        <f t="shared" si="53"/>
        <v>769270.55333333323</v>
      </c>
      <c r="AG174" s="44">
        <f t="shared" si="53"/>
        <v>769270.55333333323</v>
      </c>
      <c r="AH174" s="44">
        <f t="shared" si="53"/>
        <v>769270.55333333323</v>
      </c>
      <c r="AI174" s="44">
        <f t="shared" si="53"/>
        <v>769270.55333333323</v>
      </c>
      <c r="AJ174" s="44">
        <f t="shared" ref="AJ174:BL174" si="54">AJ28+AJ55+AJ82+AJ109+AJ136</f>
        <v>769270.55333333323</v>
      </c>
      <c r="AK174" s="44">
        <f t="shared" si="54"/>
        <v>769270.55333333323</v>
      </c>
      <c r="AL174" s="44">
        <f t="shared" si="54"/>
        <v>769270.55333333323</v>
      </c>
      <c r="AM174" s="44">
        <f t="shared" si="54"/>
        <v>769270.55333333323</v>
      </c>
      <c r="AN174" s="44">
        <f t="shared" si="54"/>
        <v>769270.55333333323</v>
      </c>
      <c r="AO174" s="44">
        <f t="shared" si="54"/>
        <v>0</v>
      </c>
      <c r="AP174" s="44">
        <f t="shared" si="54"/>
        <v>0</v>
      </c>
      <c r="AQ174" s="44">
        <f t="shared" si="54"/>
        <v>0</v>
      </c>
      <c r="AR174" s="44">
        <f t="shared" si="54"/>
        <v>0</v>
      </c>
      <c r="AS174" s="44">
        <f t="shared" si="54"/>
        <v>0</v>
      </c>
      <c r="AT174" s="44">
        <f t="shared" si="54"/>
        <v>0</v>
      </c>
      <c r="AU174" s="44">
        <f t="shared" si="54"/>
        <v>0</v>
      </c>
      <c r="AV174" s="44">
        <f t="shared" si="54"/>
        <v>0</v>
      </c>
      <c r="AW174" s="44">
        <f t="shared" si="54"/>
        <v>0</v>
      </c>
      <c r="AX174" s="44">
        <f t="shared" si="54"/>
        <v>0</v>
      </c>
      <c r="AY174" s="44">
        <f t="shared" si="54"/>
        <v>0</v>
      </c>
      <c r="AZ174" s="44">
        <f t="shared" si="54"/>
        <v>0</v>
      </c>
      <c r="BA174" s="44">
        <f t="shared" si="54"/>
        <v>0</v>
      </c>
      <c r="BB174" s="44">
        <f t="shared" si="54"/>
        <v>0</v>
      </c>
      <c r="BC174" s="44">
        <f t="shared" si="54"/>
        <v>0</v>
      </c>
      <c r="BD174" s="44">
        <f t="shared" si="54"/>
        <v>0</v>
      </c>
      <c r="BE174" s="44">
        <f t="shared" si="54"/>
        <v>0</v>
      </c>
      <c r="BF174" s="44">
        <f t="shared" si="54"/>
        <v>0</v>
      </c>
      <c r="BG174" s="44">
        <f t="shared" si="54"/>
        <v>0</v>
      </c>
      <c r="BH174" s="44">
        <f t="shared" si="54"/>
        <v>0</v>
      </c>
      <c r="BI174" s="44">
        <f t="shared" si="54"/>
        <v>0</v>
      </c>
      <c r="BJ174" s="44">
        <f t="shared" si="54"/>
        <v>0</v>
      </c>
      <c r="BK174" s="44">
        <f t="shared" si="54"/>
        <v>0</v>
      </c>
      <c r="BL174" s="44">
        <f t="shared" si="54"/>
        <v>0</v>
      </c>
    </row>
    <row r="175" spans="1:64" x14ac:dyDescent="0.3">
      <c r="A175" s="8" t="s">
        <v>1039</v>
      </c>
      <c r="C175" s="44">
        <f>SUM(D175:BL175)</f>
        <v>9528269.7483173329</v>
      </c>
      <c r="D175" s="44">
        <f t="shared" ref="D175:AI175" si="55">D29+D56+D83+D110+D137</f>
        <v>890563.70000000007</v>
      </c>
      <c r="E175" s="44">
        <f t="shared" si="55"/>
        <v>176962.62279555557</v>
      </c>
      <c r="F175" s="44">
        <f t="shared" si="55"/>
        <v>189131.9085911111</v>
      </c>
      <c r="G175" s="44">
        <f t="shared" si="55"/>
        <v>208376.68525747466</v>
      </c>
      <c r="H175" s="44">
        <f t="shared" si="55"/>
        <v>230033.8919757262</v>
      </c>
      <c r="I175" s="44">
        <f t="shared" si="55"/>
        <v>245010.23680460709</v>
      </c>
      <c r="J175" s="44">
        <f t="shared" si="55"/>
        <v>256220.52828285869</v>
      </c>
      <c r="K175" s="44">
        <f t="shared" si="55"/>
        <v>244686.47248699999</v>
      </c>
      <c r="L175" s="44">
        <f t="shared" si="55"/>
        <v>244510.47248699999</v>
      </c>
      <c r="M175" s="44">
        <f t="shared" si="55"/>
        <v>244070.47248699999</v>
      </c>
      <c r="N175" s="44">
        <f t="shared" si="55"/>
        <v>244070.47248699999</v>
      </c>
      <c r="O175" s="44">
        <f t="shared" si="55"/>
        <v>244070.47248699999</v>
      </c>
      <c r="P175" s="44">
        <f t="shared" si="55"/>
        <v>244070.47248699999</v>
      </c>
      <c r="Q175" s="44">
        <f t="shared" si="55"/>
        <v>244070.47248699999</v>
      </c>
      <c r="R175" s="44">
        <f t="shared" si="55"/>
        <v>244070.47248699999</v>
      </c>
      <c r="S175" s="44">
        <f t="shared" si="55"/>
        <v>244070.47248699999</v>
      </c>
      <c r="T175" s="44">
        <f t="shared" si="55"/>
        <v>244070.47248699999</v>
      </c>
      <c r="U175" s="44">
        <f t="shared" si="55"/>
        <v>244070.47248699999</v>
      </c>
      <c r="V175" s="44">
        <f t="shared" si="55"/>
        <v>244070.47248699999</v>
      </c>
      <c r="W175" s="44">
        <f t="shared" si="55"/>
        <v>244070.47248699999</v>
      </c>
      <c r="X175" s="44">
        <f t="shared" si="55"/>
        <v>244070.47248699999</v>
      </c>
      <c r="Y175" s="44">
        <f t="shared" si="55"/>
        <v>244070.47248699999</v>
      </c>
      <c r="Z175" s="44">
        <f t="shared" si="55"/>
        <v>244070.47248699999</v>
      </c>
      <c r="AA175" s="44">
        <f t="shared" si="55"/>
        <v>244070.47248699999</v>
      </c>
      <c r="AB175" s="44">
        <f t="shared" si="55"/>
        <v>244070.47248699999</v>
      </c>
      <c r="AC175" s="44">
        <f t="shared" si="55"/>
        <v>244070.47248699999</v>
      </c>
      <c r="AD175" s="44">
        <f t="shared" si="55"/>
        <v>249350.47248699999</v>
      </c>
      <c r="AE175" s="44">
        <f t="shared" si="55"/>
        <v>245830.47248699999</v>
      </c>
      <c r="AF175" s="44">
        <f t="shared" si="55"/>
        <v>245830.47248699999</v>
      </c>
      <c r="AG175" s="44">
        <f t="shared" si="55"/>
        <v>244070.47248699999</v>
      </c>
      <c r="AH175" s="44">
        <f t="shared" si="55"/>
        <v>244070.47248699999</v>
      </c>
      <c r="AI175" s="44">
        <f t="shared" si="55"/>
        <v>244070.47248699999</v>
      </c>
      <c r="AJ175" s="44">
        <f t="shared" ref="AJ175:BL175" si="56">AJ29+AJ56+AJ83+AJ110+AJ137</f>
        <v>244070.47248699999</v>
      </c>
      <c r="AK175" s="44">
        <f t="shared" si="56"/>
        <v>244070.47248699999</v>
      </c>
      <c r="AL175" s="44">
        <f t="shared" si="56"/>
        <v>244070.47248699999</v>
      </c>
      <c r="AM175" s="44">
        <f t="shared" si="56"/>
        <v>244070.47248699999</v>
      </c>
      <c r="AN175" s="44">
        <f t="shared" si="56"/>
        <v>244070.47248699999</v>
      </c>
      <c r="AO175" s="44">
        <f t="shared" si="56"/>
        <v>0</v>
      </c>
      <c r="AP175" s="44">
        <f t="shared" si="56"/>
        <v>0</v>
      </c>
      <c r="AQ175" s="44">
        <f t="shared" si="56"/>
        <v>0</v>
      </c>
      <c r="AR175" s="44">
        <f t="shared" si="56"/>
        <v>0</v>
      </c>
      <c r="AS175" s="44">
        <f t="shared" si="56"/>
        <v>0</v>
      </c>
      <c r="AT175" s="44">
        <f t="shared" si="56"/>
        <v>0</v>
      </c>
      <c r="AU175" s="44">
        <f t="shared" si="56"/>
        <v>0</v>
      </c>
      <c r="AV175" s="44">
        <f t="shared" si="56"/>
        <v>0</v>
      </c>
      <c r="AW175" s="44">
        <f t="shared" si="56"/>
        <v>0</v>
      </c>
      <c r="AX175" s="44">
        <f t="shared" si="56"/>
        <v>0</v>
      </c>
      <c r="AY175" s="44">
        <f t="shared" si="56"/>
        <v>0</v>
      </c>
      <c r="AZ175" s="44">
        <f t="shared" si="56"/>
        <v>0</v>
      </c>
      <c r="BA175" s="44">
        <f t="shared" si="56"/>
        <v>0</v>
      </c>
      <c r="BB175" s="44">
        <f t="shared" si="56"/>
        <v>0</v>
      </c>
      <c r="BC175" s="44">
        <f t="shared" si="56"/>
        <v>0</v>
      </c>
      <c r="BD175" s="44">
        <f t="shared" si="56"/>
        <v>0</v>
      </c>
      <c r="BE175" s="44">
        <f t="shared" si="56"/>
        <v>0</v>
      </c>
      <c r="BF175" s="44">
        <f t="shared" si="56"/>
        <v>0</v>
      </c>
      <c r="BG175" s="44">
        <f t="shared" si="56"/>
        <v>0</v>
      </c>
      <c r="BH175" s="44">
        <f t="shared" si="56"/>
        <v>0</v>
      </c>
      <c r="BI175" s="44">
        <f t="shared" si="56"/>
        <v>0</v>
      </c>
      <c r="BJ175" s="44">
        <f t="shared" si="56"/>
        <v>0</v>
      </c>
      <c r="BK175" s="44">
        <f t="shared" si="56"/>
        <v>0</v>
      </c>
      <c r="BL175" s="44">
        <f t="shared" si="56"/>
        <v>0</v>
      </c>
    </row>
    <row r="176" spans="1:64" x14ac:dyDescent="0.3">
      <c r="A176" s="8" t="s">
        <v>1040</v>
      </c>
      <c r="C176" s="44">
        <f>SUM(D176:BL176)</f>
        <v>2000895.6800000009</v>
      </c>
      <c r="D176" s="44">
        <f t="shared" ref="D176:AI176" si="57">D158*$B$170</f>
        <v>114400</v>
      </c>
      <c r="E176" s="44">
        <f t="shared" si="57"/>
        <v>52285.8</v>
      </c>
      <c r="F176" s="44">
        <f t="shared" si="57"/>
        <v>52313.118518518524</v>
      </c>
      <c r="G176" s="44">
        <f t="shared" si="57"/>
        <v>52346.73897481482</v>
      </c>
      <c r="H176" s="44">
        <f t="shared" si="57"/>
        <v>52381.97408</v>
      </c>
      <c r="I176" s="44">
        <f t="shared" si="57"/>
        <v>52400.651105185185</v>
      </c>
      <c r="J176" s="44">
        <f t="shared" si="57"/>
        <v>52410.197321481486</v>
      </c>
      <c r="K176" s="44">
        <f t="shared" si="57"/>
        <v>52411.906666666669</v>
      </c>
      <c r="L176" s="44">
        <f t="shared" si="57"/>
        <v>52411.906666666669</v>
      </c>
      <c r="M176" s="44">
        <f t="shared" si="57"/>
        <v>52411.906666666669</v>
      </c>
      <c r="N176" s="44">
        <f t="shared" si="57"/>
        <v>52411.906666666669</v>
      </c>
      <c r="O176" s="44">
        <f t="shared" si="57"/>
        <v>52411.906666666669</v>
      </c>
      <c r="P176" s="44">
        <f t="shared" si="57"/>
        <v>52411.906666666669</v>
      </c>
      <c r="Q176" s="44">
        <f t="shared" si="57"/>
        <v>52411.906666666669</v>
      </c>
      <c r="R176" s="44">
        <f t="shared" si="57"/>
        <v>52411.906666666669</v>
      </c>
      <c r="S176" s="44">
        <f t="shared" si="57"/>
        <v>52411.906666666669</v>
      </c>
      <c r="T176" s="44">
        <f t="shared" si="57"/>
        <v>52411.906666666669</v>
      </c>
      <c r="U176" s="44">
        <f t="shared" si="57"/>
        <v>52411.906666666669</v>
      </c>
      <c r="V176" s="44">
        <f t="shared" si="57"/>
        <v>52411.906666666669</v>
      </c>
      <c r="W176" s="44">
        <f t="shared" si="57"/>
        <v>52411.906666666669</v>
      </c>
      <c r="X176" s="44">
        <f t="shared" si="57"/>
        <v>52411.906666666669</v>
      </c>
      <c r="Y176" s="44">
        <f t="shared" si="57"/>
        <v>52411.906666666669</v>
      </c>
      <c r="Z176" s="44">
        <f t="shared" si="57"/>
        <v>52411.906666666669</v>
      </c>
      <c r="AA176" s="44">
        <f t="shared" si="57"/>
        <v>52411.906666666669</v>
      </c>
      <c r="AB176" s="44">
        <f t="shared" si="57"/>
        <v>52411.906666666669</v>
      </c>
      <c r="AC176" s="44">
        <f t="shared" si="57"/>
        <v>52411.906666666669</v>
      </c>
      <c r="AD176" s="44">
        <f t="shared" si="57"/>
        <v>52411.906666666669</v>
      </c>
      <c r="AE176" s="44">
        <f t="shared" si="57"/>
        <v>52411.906666666669</v>
      </c>
      <c r="AF176" s="44">
        <f t="shared" si="57"/>
        <v>52411.906666666669</v>
      </c>
      <c r="AG176" s="44">
        <f t="shared" si="57"/>
        <v>52411.906666666669</v>
      </c>
      <c r="AH176" s="44">
        <f t="shared" si="57"/>
        <v>52411.906666666669</v>
      </c>
      <c r="AI176" s="44">
        <f t="shared" si="57"/>
        <v>52411.906666666669</v>
      </c>
      <c r="AJ176" s="44">
        <f t="shared" ref="AJ176:BL176" si="58">AJ158*$B$170</f>
        <v>52411.906666666669</v>
      </c>
      <c r="AK176" s="44">
        <f t="shared" si="58"/>
        <v>52411.906666666669</v>
      </c>
      <c r="AL176" s="44">
        <f t="shared" si="58"/>
        <v>52411.906666666669</v>
      </c>
      <c r="AM176" s="44">
        <f t="shared" si="58"/>
        <v>52411.906666666669</v>
      </c>
      <c r="AN176" s="44">
        <f t="shared" si="58"/>
        <v>52411.906666666669</v>
      </c>
      <c r="AO176" s="44">
        <f t="shared" si="58"/>
        <v>0</v>
      </c>
      <c r="AP176" s="44">
        <f t="shared" si="58"/>
        <v>0</v>
      </c>
      <c r="AQ176" s="44">
        <f t="shared" si="58"/>
        <v>0</v>
      </c>
      <c r="AR176" s="44">
        <f t="shared" si="58"/>
        <v>0</v>
      </c>
      <c r="AS176" s="44">
        <f t="shared" si="58"/>
        <v>0</v>
      </c>
      <c r="AT176" s="44">
        <f t="shared" si="58"/>
        <v>0</v>
      </c>
      <c r="AU176" s="44">
        <f t="shared" si="58"/>
        <v>0</v>
      </c>
      <c r="AV176" s="44">
        <f t="shared" si="58"/>
        <v>0</v>
      </c>
      <c r="AW176" s="44">
        <f t="shared" si="58"/>
        <v>0</v>
      </c>
      <c r="AX176" s="44">
        <f t="shared" si="58"/>
        <v>0</v>
      </c>
      <c r="AY176" s="44">
        <f t="shared" si="58"/>
        <v>0</v>
      </c>
      <c r="AZ176" s="44">
        <f t="shared" si="58"/>
        <v>0</v>
      </c>
      <c r="BA176" s="44">
        <f t="shared" si="58"/>
        <v>0</v>
      </c>
      <c r="BB176" s="44">
        <f t="shared" si="58"/>
        <v>0</v>
      </c>
      <c r="BC176" s="44">
        <f t="shared" si="58"/>
        <v>0</v>
      </c>
      <c r="BD176" s="44">
        <f t="shared" si="58"/>
        <v>0</v>
      </c>
      <c r="BE176" s="44">
        <f t="shared" si="58"/>
        <v>0</v>
      </c>
      <c r="BF176" s="44">
        <f t="shared" si="58"/>
        <v>0</v>
      </c>
      <c r="BG176" s="44">
        <f t="shared" si="58"/>
        <v>0</v>
      </c>
      <c r="BH176" s="44">
        <f t="shared" si="58"/>
        <v>0</v>
      </c>
      <c r="BI176" s="44">
        <f t="shared" si="58"/>
        <v>0</v>
      </c>
      <c r="BJ176" s="44">
        <f t="shared" si="58"/>
        <v>0</v>
      </c>
      <c r="BK176" s="44">
        <f t="shared" si="58"/>
        <v>0</v>
      </c>
      <c r="BL176" s="44">
        <f t="shared" si="58"/>
        <v>0</v>
      </c>
    </row>
    <row r="177" spans="1:64" x14ac:dyDescent="0.3">
      <c r="A177" s="8" t="s">
        <v>1012</v>
      </c>
      <c r="C177" s="44">
        <f>SUM(D177:BL177)</f>
        <v>14504491.111682655</v>
      </c>
      <c r="D177" s="44">
        <f t="shared" ref="D177:AI177" si="59">D174-D175-D176</f>
        <v>-1004963.7000000001</v>
      </c>
      <c r="E177" s="44">
        <f t="shared" si="59"/>
        <v>-110759.08946222223</v>
      </c>
      <c r="F177" s="44">
        <f t="shared" si="59"/>
        <v>29572.306223703687</v>
      </c>
      <c r="G177" s="44">
        <f t="shared" si="59"/>
        <v>189637.4039810439</v>
      </c>
      <c r="H177" s="44">
        <f t="shared" si="59"/>
        <v>357105.18071760709</v>
      </c>
      <c r="I177" s="44">
        <f t="shared" si="59"/>
        <v>419266.11865020788</v>
      </c>
      <c r="J177" s="44">
        <f t="shared" si="59"/>
        <v>450843.66618232644</v>
      </c>
      <c r="K177" s="44">
        <f t="shared" si="59"/>
        <v>472172.1741796665</v>
      </c>
      <c r="L177" s="44">
        <f t="shared" si="59"/>
        <v>472348.1741796665</v>
      </c>
      <c r="M177" s="44">
        <f t="shared" si="59"/>
        <v>472788.1741796665</v>
      </c>
      <c r="N177" s="44">
        <f t="shared" si="59"/>
        <v>472788.1741796665</v>
      </c>
      <c r="O177" s="44">
        <f t="shared" si="59"/>
        <v>472788.1741796665</v>
      </c>
      <c r="P177" s="44">
        <f t="shared" si="59"/>
        <v>472788.1741796665</v>
      </c>
      <c r="Q177" s="44">
        <f t="shared" si="59"/>
        <v>472788.1741796665</v>
      </c>
      <c r="R177" s="44">
        <f t="shared" si="59"/>
        <v>472788.1741796665</v>
      </c>
      <c r="S177" s="44">
        <f t="shared" si="59"/>
        <v>472788.1741796665</v>
      </c>
      <c r="T177" s="44">
        <f t="shared" si="59"/>
        <v>472788.1741796665</v>
      </c>
      <c r="U177" s="44">
        <f t="shared" si="59"/>
        <v>472788.1741796665</v>
      </c>
      <c r="V177" s="44">
        <f t="shared" si="59"/>
        <v>472788.1741796665</v>
      </c>
      <c r="W177" s="44">
        <f t="shared" si="59"/>
        <v>472788.1741796665</v>
      </c>
      <c r="X177" s="44">
        <f t="shared" si="59"/>
        <v>472788.1741796665</v>
      </c>
      <c r="Y177" s="44">
        <f t="shared" si="59"/>
        <v>472788.1741796665</v>
      </c>
      <c r="Z177" s="44">
        <f t="shared" si="59"/>
        <v>472788.1741796665</v>
      </c>
      <c r="AA177" s="44">
        <f t="shared" si="59"/>
        <v>472788.1741796665</v>
      </c>
      <c r="AB177" s="44">
        <f t="shared" si="59"/>
        <v>472788.1741796665</v>
      </c>
      <c r="AC177" s="44">
        <f t="shared" si="59"/>
        <v>472788.1741796665</v>
      </c>
      <c r="AD177" s="44">
        <f t="shared" si="59"/>
        <v>467508.17417966656</v>
      </c>
      <c r="AE177" s="44">
        <f t="shared" si="59"/>
        <v>471028.17417966656</v>
      </c>
      <c r="AF177" s="44">
        <f t="shared" si="59"/>
        <v>471028.17417966656</v>
      </c>
      <c r="AG177" s="44">
        <f t="shared" si="59"/>
        <v>472788.1741796665</v>
      </c>
      <c r="AH177" s="44">
        <f t="shared" si="59"/>
        <v>472788.1741796665</v>
      </c>
      <c r="AI177" s="44">
        <f t="shared" si="59"/>
        <v>472788.1741796665</v>
      </c>
      <c r="AJ177" s="44">
        <f t="shared" ref="AJ177:BO177" si="60">AJ174-AJ175-AJ176</f>
        <v>472788.1741796665</v>
      </c>
      <c r="AK177" s="44">
        <f t="shared" si="60"/>
        <v>472788.1741796665</v>
      </c>
      <c r="AL177" s="44">
        <f t="shared" si="60"/>
        <v>472788.1741796665</v>
      </c>
      <c r="AM177" s="44">
        <f t="shared" si="60"/>
        <v>472788.1741796665</v>
      </c>
      <c r="AN177" s="44">
        <f t="shared" si="60"/>
        <v>472788.1741796665</v>
      </c>
      <c r="AO177" s="44">
        <f t="shared" si="60"/>
        <v>0</v>
      </c>
      <c r="AP177" s="44">
        <f t="shared" si="60"/>
        <v>0</v>
      </c>
      <c r="AQ177" s="44">
        <f t="shared" si="60"/>
        <v>0</v>
      </c>
      <c r="AR177" s="44">
        <f t="shared" si="60"/>
        <v>0</v>
      </c>
      <c r="AS177" s="44">
        <f t="shared" si="60"/>
        <v>0</v>
      </c>
      <c r="AT177" s="44">
        <f t="shared" si="60"/>
        <v>0</v>
      </c>
      <c r="AU177" s="44">
        <f t="shared" si="60"/>
        <v>0</v>
      </c>
      <c r="AV177" s="44">
        <f t="shared" si="60"/>
        <v>0</v>
      </c>
      <c r="AW177" s="44">
        <f t="shared" si="60"/>
        <v>0</v>
      </c>
      <c r="AX177" s="44">
        <f t="shared" si="60"/>
        <v>0</v>
      </c>
      <c r="AY177" s="44">
        <f t="shared" si="60"/>
        <v>0</v>
      </c>
      <c r="AZ177" s="44">
        <f t="shared" si="60"/>
        <v>0</v>
      </c>
      <c r="BA177" s="44">
        <f t="shared" si="60"/>
        <v>0</v>
      </c>
      <c r="BB177" s="44">
        <f t="shared" si="60"/>
        <v>0</v>
      </c>
      <c r="BC177" s="44">
        <f t="shared" si="60"/>
        <v>0</v>
      </c>
      <c r="BD177" s="44">
        <f t="shared" si="60"/>
        <v>0</v>
      </c>
      <c r="BE177" s="44">
        <f t="shared" si="60"/>
        <v>0</v>
      </c>
      <c r="BF177" s="44">
        <f t="shared" si="60"/>
        <v>0</v>
      </c>
      <c r="BG177" s="44">
        <f t="shared" si="60"/>
        <v>0</v>
      </c>
      <c r="BH177" s="44">
        <f t="shared" si="60"/>
        <v>0</v>
      </c>
      <c r="BI177" s="44">
        <f t="shared" si="60"/>
        <v>0</v>
      </c>
      <c r="BJ177" s="44">
        <f t="shared" si="60"/>
        <v>0</v>
      </c>
      <c r="BK177" s="44">
        <f t="shared" si="60"/>
        <v>0</v>
      </c>
      <c r="BL177" s="44">
        <f t="shared" si="60"/>
        <v>0</v>
      </c>
    </row>
    <row r="178" spans="1:64" x14ac:dyDescent="0.3">
      <c r="A178" s="8" t="s">
        <v>1013</v>
      </c>
      <c r="D178" s="44">
        <f>D177</f>
        <v>-1004963.7000000001</v>
      </c>
      <c r="E178" s="44">
        <f t="shared" ref="E178:AJ178" si="61">D178+E177</f>
        <v>-1115722.7894622223</v>
      </c>
      <c r="F178" s="44">
        <f t="shared" si="61"/>
        <v>-1086150.4832385185</v>
      </c>
      <c r="G178" s="44">
        <f t="shared" si="61"/>
        <v>-896513.07925747451</v>
      </c>
      <c r="H178" s="44">
        <f t="shared" si="61"/>
        <v>-539407.89853986748</v>
      </c>
      <c r="I178" s="44">
        <f t="shared" si="61"/>
        <v>-120141.77988965961</v>
      </c>
      <c r="J178" s="44">
        <f t="shared" si="61"/>
        <v>330701.88629266684</v>
      </c>
      <c r="K178" s="44">
        <f t="shared" si="61"/>
        <v>802874.06047233334</v>
      </c>
      <c r="L178" s="44">
        <f t="shared" si="61"/>
        <v>1275222.2346519998</v>
      </c>
      <c r="M178" s="44">
        <f t="shared" si="61"/>
        <v>1748010.4088316662</v>
      </c>
      <c r="N178" s="44">
        <f t="shared" si="61"/>
        <v>2220798.5830113329</v>
      </c>
      <c r="O178" s="44">
        <f t="shared" si="61"/>
        <v>2693586.7571909996</v>
      </c>
      <c r="P178" s="44">
        <f t="shared" si="61"/>
        <v>3166374.9313706663</v>
      </c>
      <c r="Q178" s="44">
        <f t="shared" si="61"/>
        <v>3639163.1055503329</v>
      </c>
      <c r="R178" s="44">
        <f t="shared" si="61"/>
        <v>4111951.2797299996</v>
      </c>
      <c r="S178" s="44">
        <f t="shared" si="61"/>
        <v>4584739.4539096663</v>
      </c>
      <c r="T178" s="44">
        <f t="shared" si="61"/>
        <v>5057527.628089333</v>
      </c>
      <c r="U178" s="44">
        <f t="shared" si="61"/>
        <v>5530315.8022689996</v>
      </c>
      <c r="V178" s="44">
        <f t="shared" si="61"/>
        <v>6003103.9764486663</v>
      </c>
      <c r="W178" s="44">
        <f t="shared" si="61"/>
        <v>6475892.150628333</v>
      </c>
      <c r="X178" s="44">
        <f t="shared" si="61"/>
        <v>6948680.3248079997</v>
      </c>
      <c r="Y178" s="44">
        <f t="shared" si="61"/>
        <v>7421468.4989876663</v>
      </c>
      <c r="Z178" s="44">
        <f t="shared" si="61"/>
        <v>7894256.673167333</v>
      </c>
      <c r="AA178" s="44">
        <f t="shared" si="61"/>
        <v>8367044.8473469997</v>
      </c>
      <c r="AB178" s="44">
        <f t="shared" si="61"/>
        <v>8839833.0215266664</v>
      </c>
      <c r="AC178" s="44">
        <f t="shared" si="61"/>
        <v>9312621.1957063321</v>
      </c>
      <c r="AD178" s="44">
        <f t="shared" si="61"/>
        <v>9780129.3698859978</v>
      </c>
      <c r="AE178" s="44">
        <f t="shared" si="61"/>
        <v>10251157.544065664</v>
      </c>
      <c r="AF178" s="44">
        <f t="shared" si="61"/>
        <v>10722185.718245329</v>
      </c>
      <c r="AG178" s="44">
        <f t="shared" si="61"/>
        <v>11194973.892424995</v>
      </c>
      <c r="AH178" s="44">
        <f t="shared" si="61"/>
        <v>11667762.066604661</v>
      </c>
      <c r="AI178" s="44">
        <f t="shared" si="61"/>
        <v>12140550.240784327</v>
      </c>
      <c r="AJ178" s="44">
        <f t="shared" si="61"/>
        <v>12613338.414963992</v>
      </c>
      <c r="AK178" s="44">
        <f t="shared" ref="AK178:BP178" si="62">AJ178+AK177</f>
        <v>13086126.589143658</v>
      </c>
      <c r="AL178" s="44">
        <f t="shared" si="62"/>
        <v>13558914.763323324</v>
      </c>
      <c r="AM178" s="44">
        <f t="shared" si="62"/>
        <v>14031702.93750299</v>
      </c>
      <c r="AN178" s="44">
        <f t="shared" si="62"/>
        <v>14504491.111682655</v>
      </c>
      <c r="AO178" s="44">
        <f t="shared" si="62"/>
        <v>14504491.111682655</v>
      </c>
      <c r="AP178" s="44">
        <f t="shared" si="62"/>
        <v>14504491.111682655</v>
      </c>
      <c r="AQ178" s="44">
        <f t="shared" si="62"/>
        <v>14504491.111682655</v>
      </c>
      <c r="AR178" s="44">
        <f t="shared" si="62"/>
        <v>14504491.111682655</v>
      </c>
      <c r="AS178" s="44">
        <f t="shared" si="62"/>
        <v>14504491.111682655</v>
      </c>
      <c r="AT178" s="44">
        <f t="shared" si="62"/>
        <v>14504491.111682655</v>
      </c>
      <c r="AU178" s="44">
        <f t="shared" si="62"/>
        <v>14504491.111682655</v>
      </c>
      <c r="AV178" s="44">
        <f t="shared" si="62"/>
        <v>14504491.111682655</v>
      </c>
      <c r="AW178" s="44">
        <f t="shared" si="62"/>
        <v>14504491.111682655</v>
      </c>
      <c r="AX178" s="44">
        <f t="shared" si="62"/>
        <v>14504491.111682655</v>
      </c>
      <c r="AY178" s="44">
        <f t="shared" si="62"/>
        <v>14504491.111682655</v>
      </c>
      <c r="AZ178" s="44">
        <f t="shared" si="62"/>
        <v>14504491.111682655</v>
      </c>
      <c r="BA178" s="44">
        <f t="shared" si="62"/>
        <v>14504491.111682655</v>
      </c>
      <c r="BB178" s="44">
        <f t="shared" si="62"/>
        <v>14504491.111682655</v>
      </c>
      <c r="BC178" s="44">
        <f t="shared" si="62"/>
        <v>14504491.111682655</v>
      </c>
      <c r="BD178" s="44">
        <f t="shared" si="62"/>
        <v>14504491.111682655</v>
      </c>
      <c r="BE178" s="44">
        <f t="shared" si="62"/>
        <v>14504491.111682655</v>
      </c>
      <c r="BF178" s="44">
        <f t="shared" si="62"/>
        <v>14504491.111682655</v>
      </c>
      <c r="BG178" s="44">
        <f t="shared" si="62"/>
        <v>14504491.111682655</v>
      </c>
      <c r="BH178" s="44">
        <f t="shared" si="62"/>
        <v>14504491.111682655</v>
      </c>
      <c r="BI178" s="44">
        <f t="shared" si="62"/>
        <v>14504491.111682655</v>
      </c>
      <c r="BJ178" s="44">
        <f t="shared" si="62"/>
        <v>14504491.111682655</v>
      </c>
      <c r="BK178" s="44">
        <f t="shared" si="62"/>
        <v>14504491.111682655</v>
      </c>
      <c r="BL178" s="44">
        <f t="shared" si="62"/>
        <v>14504491.111682655</v>
      </c>
    </row>
    <row r="179" spans="1:64" x14ac:dyDescent="0.3">
      <c r="A179" s="8" t="s">
        <v>1014</v>
      </c>
      <c r="C179" s="22">
        <f>IF(COUNT(E179:BL179)=0,"None",MIN(E179:BL179))</f>
        <v>6</v>
      </c>
      <c r="E179" s="22" t="str">
        <f>IF(AND(E$4&lt;=Org!$B$5,E178&gt;=0),E$4,"")</f>
        <v/>
      </c>
      <c r="F179" s="22" t="str">
        <f>IF(AND(F$4&lt;=Org!$B$5,F178&gt;=0),F$4,"")</f>
        <v/>
      </c>
      <c r="G179" s="22" t="str">
        <f>IF(AND(G$4&lt;=Org!$B$5,G178&gt;=0),G$4,"")</f>
        <v/>
      </c>
      <c r="H179" s="22" t="str">
        <f>IF(AND(H$4&lt;=Org!$B$5,H178&gt;=0),H$4,"")</f>
        <v/>
      </c>
      <c r="I179" s="22" t="str">
        <f>IF(AND(I$4&lt;=Org!$B$5,I178&gt;=0),I$4,"")</f>
        <v/>
      </c>
      <c r="J179" s="22">
        <f>IF(AND(J$4&lt;=Org!$B$5,J178&gt;=0),J$4,"")</f>
        <v>6</v>
      </c>
      <c r="K179" s="22">
        <f>IF(AND(K$4&lt;=Org!$B$5,K178&gt;=0),K$4,"")</f>
        <v>7</v>
      </c>
      <c r="L179" s="22">
        <f>IF(AND(L$4&lt;=Org!$B$5,L178&gt;=0),L$4,"")</f>
        <v>8</v>
      </c>
      <c r="M179" s="22">
        <f>IF(AND(M$4&lt;=Org!$B$5,M178&gt;=0),M$4,"")</f>
        <v>9</v>
      </c>
      <c r="N179" s="22">
        <f>IF(AND(N$4&lt;=Org!$B$5,N178&gt;=0),N$4,"")</f>
        <v>10</v>
      </c>
      <c r="O179" s="22">
        <f>IF(AND(O$4&lt;=Org!$B$5,O178&gt;=0),O$4,"")</f>
        <v>11</v>
      </c>
      <c r="P179" s="22">
        <f>IF(AND(P$4&lt;=Org!$B$5,P178&gt;=0),P$4,"")</f>
        <v>12</v>
      </c>
      <c r="Q179" s="22">
        <f>IF(AND(Q$4&lt;=Org!$B$5,Q178&gt;=0),Q$4,"")</f>
        <v>13</v>
      </c>
      <c r="R179" s="22">
        <f>IF(AND(R$4&lt;=Org!$B$5,R178&gt;=0),R$4,"")</f>
        <v>14</v>
      </c>
      <c r="S179" s="22">
        <f>IF(AND(S$4&lt;=Org!$B$5,S178&gt;=0),S$4,"")</f>
        <v>15</v>
      </c>
      <c r="T179" s="22">
        <f>IF(AND(T$4&lt;=Org!$B$5,T178&gt;=0),T$4,"")</f>
        <v>16</v>
      </c>
      <c r="U179" s="22">
        <f>IF(AND(U$4&lt;=Org!$B$5,U178&gt;=0),U$4,"")</f>
        <v>17</v>
      </c>
      <c r="V179" s="22">
        <f>IF(AND(V$4&lt;=Org!$B$5,V178&gt;=0),V$4,"")</f>
        <v>18</v>
      </c>
      <c r="W179" s="22">
        <f>IF(AND(W$4&lt;=Org!$B$5,W178&gt;=0),W$4,"")</f>
        <v>19</v>
      </c>
      <c r="X179" s="22">
        <f>IF(AND(X$4&lt;=Org!$B$5,X178&gt;=0),X$4,"")</f>
        <v>20</v>
      </c>
      <c r="Y179" s="22">
        <f>IF(AND(Y$4&lt;=Org!$B$5,Y178&gt;=0),Y$4,"")</f>
        <v>21</v>
      </c>
      <c r="Z179" s="22">
        <f>IF(AND(Z$4&lt;=Org!$B$5,Z178&gt;=0),Z$4,"")</f>
        <v>22</v>
      </c>
      <c r="AA179" s="22">
        <f>IF(AND(AA$4&lt;=Org!$B$5,AA178&gt;=0),AA$4,"")</f>
        <v>23</v>
      </c>
      <c r="AB179" s="22">
        <f>IF(AND(AB$4&lt;=Org!$B$5,AB178&gt;=0),AB$4,"")</f>
        <v>24</v>
      </c>
      <c r="AC179" s="22">
        <f>IF(AND(AC$4&lt;=Org!$B$5,AC178&gt;=0),AC$4,"")</f>
        <v>25</v>
      </c>
      <c r="AD179" s="22">
        <f>IF(AND(AD$4&lt;=Org!$B$5,AD178&gt;=0),AD$4,"")</f>
        <v>26</v>
      </c>
      <c r="AE179" s="22">
        <f>IF(AND(AE$4&lt;=Org!$B$5,AE178&gt;=0),AE$4,"")</f>
        <v>27</v>
      </c>
      <c r="AF179" s="22">
        <f>IF(AND(AF$4&lt;=Org!$B$5,AF178&gt;=0),AF$4,"")</f>
        <v>28</v>
      </c>
      <c r="AG179" s="22">
        <f>IF(AND(AG$4&lt;=Org!$B$5,AG178&gt;=0),AG$4,"")</f>
        <v>29</v>
      </c>
      <c r="AH179" s="22">
        <f>IF(AND(AH$4&lt;=Org!$B$5,AH178&gt;=0),AH$4,"")</f>
        <v>30</v>
      </c>
      <c r="AI179" s="22">
        <f>IF(AND(AI$4&lt;=Org!$B$5,AI178&gt;=0),AI$4,"")</f>
        <v>31</v>
      </c>
      <c r="AJ179" s="22">
        <f>IF(AND(AJ$4&lt;=Org!$B$5,AJ178&gt;=0),AJ$4,"")</f>
        <v>32</v>
      </c>
      <c r="AK179" s="22">
        <f>IF(AND(AK$4&lt;=Org!$B$5,AK178&gt;=0),AK$4,"")</f>
        <v>33</v>
      </c>
      <c r="AL179" s="22">
        <f>IF(AND(AL$4&lt;=Org!$B$5,AL178&gt;=0),AL$4,"")</f>
        <v>34</v>
      </c>
      <c r="AM179" s="22">
        <f>IF(AND(AM$4&lt;=Org!$B$5,AM178&gt;=0),AM$4,"")</f>
        <v>35</v>
      </c>
      <c r="AN179" s="22">
        <f>IF(AND(AN$4&lt;=Org!$B$5,AN178&gt;=0),AN$4,"")</f>
        <v>36</v>
      </c>
      <c r="AO179" s="22" t="str">
        <f>IF(AND(AO$4&lt;=Org!$B$5,AO178&gt;=0),AO$4,"")</f>
        <v/>
      </c>
      <c r="AP179" s="22" t="str">
        <f>IF(AND(AP$4&lt;=Org!$B$5,AP178&gt;=0),AP$4,"")</f>
        <v/>
      </c>
      <c r="AQ179" s="22" t="str">
        <f>IF(AND(AQ$4&lt;=Org!$B$5,AQ178&gt;=0),AQ$4,"")</f>
        <v/>
      </c>
      <c r="AR179" s="22" t="str">
        <f>IF(AND(AR$4&lt;=Org!$B$5,AR178&gt;=0),AR$4,"")</f>
        <v/>
      </c>
      <c r="AS179" s="22" t="str">
        <f>IF(AND(AS$4&lt;=Org!$B$5,AS178&gt;=0),AS$4,"")</f>
        <v/>
      </c>
      <c r="AT179" s="22" t="str">
        <f>IF(AND(AT$4&lt;=Org!$B$5,AT178&gt;=0),AT$4,"")</f>
        <v/>
      </c>
      <c r="AU179" s="22" t="str">
        <f>IF(AND(AU$4&lt;=Org!$B$5,AU178&gt;=0),AU$4,"")</f>
        <v/>
      </c>
      <c r="AV179" s="22" t="str">
        <f>IF(AND(AV$4&lt;=Org!$B$5,AV178&gt;=0),AV$4,"")</f>
        <v/>
      </c>
      <c r="AW179" s="22" t="str">
        <f>IF(AND(AW$4&lt;=Org!$B$5,AW178&gt;=0),AW$4,"")</f>
        <v/>
      </c>
      <c r="AX179" s="22" t="str">
        <f>IF(AND(AX$4&lt;=Org!$B$5,AX178&gt;=0),AX$4,"")</f>
        <v/>
      </c>
      <c r="AY179" s="22" t="str">
        <f>IF(AND(AY$4&lt;=Org!$B$5,AY178&gt;=0),AY$4,"")</f>
        <v/>
      </c>
      <c r="AZ179" s="22" t="str">
        <f>IF(AND(AZ$4&lt;=Org!$B$5,AZ178&gt;=0),AZ$4,"")</f>
        <v/>
      </c>
      <c r="BA179" s="22" t="str">
        <f>IF(AND(BA$4&lt;=Org!$B$5,BA178&gt;=0),BA$4,"")</f>
        <v/>
      </c>
      <c r="BB179" s="22" t="str">
        <f>IF(AND(BB$4&lt;=Org!$B$5,BB178&gt;=0),BB$4,"")</f>
        <v/>
      </c>
      <c r="BC179" s="22" t="str">
        <f>IF(AND(BC$4&lt;=Org!$B$5,BC178&gt;=0),BC$4,"")</f>
        <v/>
      </c>
      <c r="BD179" s="22" t="str">
        <f>IF(AND(BD$4&lt;=Org!$B$5,BD178&gt;=0),BD$4,"")</f>
        <v/>
      </c>
      <c r="BE179" s="22" t="str">
        <f>IF(AND(BE$4&lt;=Org!$B$5,BE178&gt;=0),BE$4,"")</f>
        <v/>
      </c>
      <c r="BF179" s="22" t="str">
        <f>IF(AND(BF$4&lt;=Org!$B$5,BF178&gt;=0),BF$4,"")</f>
        <v/>
      </c>
      <c r="BG179" s="22" t="str">
        <f>IF(AND(BG$4&lt;=Org!$B$5,BG178&gt;=0),BG$4,"")</f>
        <v/>
      </c>
      <c r="BH179" s="22" t="str">
        <f>IF(AND(BH$4&lt;=Org!$B$5,BH178&gt;=0),BH$4,"")</f>
        <v/>
      </c>
      <c r="BI179" s="22" t="str">
        <f>IF(AND(BI$4&lt;=Org!$B$5,BI178&gt;=0),BI$4,"")</f>
        <v/>
      </c>
      <c r="BJ179" s="22" t="str">
        <f>IF(AND(BJ$4&lt;=Org!$B$5,BJ178&gt;=0),BJ$4,"")</f>
        <v/>
      </c>
      <c r="BK179" s="22" t="str">
        <f>IF(AND(BK$4&lt;=Org!$B$5,BK178&gt;=0),BK$4,"")</f>
        <v/>
      </c>
      <c r="BL179" s="22" t="str">
        <f>IF(AND(BL$4&lt;=Org!$B$5,BL178&gt;=0),BL$4,"")</f>
        <v/>
      </c>
    </row>
    <row r="180" spans="1:64" x14ac:dyDescent="0.3">
      <c r="A180" s="8" t="s">
        <v>706</v>
      </c>
      <c r="C180" s="44">
        <f>INDEX(E175:BL175,Org!$B$5)+INDEX(E176:BL176,Org!$B$5)</f>
        <v>296482.37915366667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18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outlineLevelCol="1" x14ac:dyDescent="0.3"/>
  <cols>
    <col min="1" max="1" width="58" customWidth="1"/>
    <col min="2" max="2" width="22" customWidth="1"/>
    <col min="3" max="3" width="16" customWidth="1"/>
    <col min="5" max="64" width="13" customWidth="1" outlineLevel="1"/>
  </cols>
  <sheetData>
    <row r="1" spans="1:64" ht="17.399999999999999" x14ac:dyDescent="0.3">
      <c r="A1" s="5" t="s">
        <v>1041</v>
      </c>
    </row>
    <row r="2" spans="1:64" x14ac:dyDescent="0.3">
      <c r="A2" s="18" t="s">
        <v>1006</v>
      </c>
    </row>
    <row r="4" spans="1:64" x14ac:dyDescent="0.3">
      <c r="A4" s="19" t="s">
        <v>988</v>
      </c>
      <c r="B4" s="19" t="s">
        <v>1007</v>
      </c>
      <c r="C4" s="19" t="s">
        <v>758</v>
      </c>
      <c r="D4" s="19">
        <v>0</v>
      </c>
      <c r="E4" s="19">
        <f t="shared" ref="E4:AJ4" si="0">D4+1</f>
        <v>1</v>
      </c>
      <c r="F4" s="19">
        <f t="shared" si="0"/>
        <v>2</v>
      </c>
      <c r="G4" s="19">
        <f t="shared" si="0"/>
        <v>3</v>
      </c>
      <c r="H4" s="19">
        <f t="shared" si="0"/>
        <v>4</v>
      </c>
      <c r="I4" s="19">
        <f t="shared" si="0"/>
        <v>5</v>
      </c>
      <c r="J4" s="19">
        <f t="shared" si="0"/>
        <v>6</v>
      </c>
      <c r="K4" s="19">
        <f t="shared" si="0"/>
        <v>7</v>
      </c>
      <c r="L4" s="19">
        <f t="shared" si="0"/>
        <v>8</v>
      </c>
      <c r="M4" s="19">
        <f t="shared" si="0"/>
        <v>9</v>
      </c>
      <c r="N4" s="19">
        <f t="shared" si="0"/>
        <v>10</v>
      </c>
      <c r="O4" s="19">
        <f t="shared" si="0"/>
        <v>11</v>
      </c>
      <c r="P4" s="19">
        <f t="shared" si="0"/>
        <v>12</v>
      </c>
      <c r="Q4" s="19">
        <f t="shared" si="0"/>
        <v>13</v>
      </c>
      <c r="R4" s="19">
        <f t="shared" si="0"/>
        <v>14</v>
      </c>
      <c r="S4" s="19">
        <f t="shared" si="0"/>
        <v>15</v>
      </c>
      <c r="T4" s="19">
        <f t="shared" si="0"/>
        <v>16</v>
      </c>
      <c r="U4" s="19">
        <f t="shared" si="0"/>
        <v>17</v>
      </c>
      <c r="V4" s="19">
        <f t="shared" si="0"/>
        <v>18</v>
      </c>
      <c r="W4" s="19">
        <f t="shared" si="0"/>
        <v>19</v>
      </c>
      <c r="X4" s="19">
        <f t="shared" si="0"/>
        <v>20</v>
      </c>
      <c r="Y4" s="19">
        <f t="shared" si="0"/>
        <v>21</v>
      </c>
      <c r="Z4" s="19">
        <f t="shared" si="0"/>
        <v>22</v>
      </c>
      <c r="AA4" s="19">
        <f t="shared" si="0"/>
        <v>23</v>
      </c>
      <c r="AB4" s="19">
        <f t="shared" si="0"/>
        <v>24</v>
      </c>
      <c r="AC4" s="19">
        <f t="shared" si="0"/>
        <v>25</v>
      </c>
      <c r="AD4" s="19">
        <f t="shared" si="0"/>
        <v>26</v>
      </c>
      <c r="AE4" s="19">
        <f t="shared" si="0"/>
        <v>27</v>
      </c>
      <c r="AF4" s="19">
        <f t="shared" si="0"/>
        <v>28</v>
      </c>
      <c r="AG4" s="19">
        <f t="shared" si="0"/>
        <v>29</v>
      </c>
      <c r="AH4" s="19">
        <f t="shared" si="0"/>
        <v>30</v>
      </c>
      <c r="AI4" s="19">
        <f t="shared" si="0"/>
        <v>31</v>
      </c>
      <c r="AJ4" s="19">
        <f t="shared" si="0"/>
        <v>32</v>
      </c>
      <c r="AK4" s="19">
        <f t="shared" ref="AK4:BL4" si="1">AJ4+1</f>
        <v>33</v>
      </c>
      <c r="AL4" s="19">
        <f t="shared" si="1"/>
        <v>34</v>
      </c>
      <c r="AM4" s="19">
        <f t="shared" si="1"/>
        <v>35</v>
      </c>
      <c r="AN4" s="19">
        <f t="shared" si="1"/>
        <v>36</v>
      </c>
      <c r="AO4" s="19">
        <f t="shared" si="1"/>
        <v>37</v>
      </c>
      <c r="AP4" s="19">
        <f t="shared" si="1"/>
        <v>38</v>
      </c>
      <c r="AQ4" s="19">
        <f t="shared" si="1"/>
        <v>39</v>
      </c>
      <c r="AR4" s="19">
        <f t="shared" si="1"/>
        <v>40</v>
      </c>
      <c r="AS4" s="19">
        <f t="shared" si="1"/>
        <v>41</v>
      </c>
      <c r="AT4" s="19">
        <f t="shared" si="1"/>
        <v>42</v>
      </c>
      <c r="AU4" s="19">
        <f t="shared" si="1"/>
        <v>43</v>
      </c>
      <c r="AV4" s="19">
        <f t="shared" si="1"/>
        <v>44</v>
      </c>
      <c r="AW4" s="19">
        <f t="shared" si="1"/>
        <v>45</v>
      </c>
      <c r="AX4" s="19">
        <f t="shared" si="1"/>
        <v>46</v>
      </c>
      <c r="AY4" s="19">
        <f t="shared" si="1"/>
        <v>47</v>
      </c>
      <c r="AZ4" s="19">
        <f t="shared" si="1"/>
        <v>48</v>
      </c>
      <c r="BA4" s="19">
        <f t="shared" si="1"/>
        <v>49</v>
      </c>
      <c r="BB4" s="19">
        <f t="shared" si="1"/>
        <v>50</v>
      </c>
      <c r="BC4" s="19">
        <f t="shared" si="1"/>
        <v>51</v>
      </c>
      <c r="BD4" s="19">
        <f t="shared" si="1"/>
        <v>52</v>
      </c>
      <c r="BE4" s="19">
        <f t="shared" si="1"/>
        <v>53</v>
      </c>
      <c r="BF4" s="19">
        <f t="shared" si="1"/>
        <v>54</v>
      </c>
      <c r="BG4" s="19">
        <f t="shared" si="1"/>
        <v>55</v>
      </c>
      <c r="BH4" s="19">
        <f t="shared" si="1"/>
        <v>56</v>
      </c>
      <c r="BI4" s="19">
        <f t="shared" si="1"/>
        <v>57</v>
      </c>
      <c r="BJ4" s="19">
        <f t="shared" si="1"/>
        <v>58</v>
      </c>
      <c r="BK4" s="19">
        <f t="shared" si="1"/>
        <v>59</v>
      </c>
      <c r="BL4" s="19">
        <f t="shared" si="1"/>
        <v>60</v>
      </c>
    </row>
    <row r="5" spans="1:64" x14ac:dyDescent="0.3">
      <c r="A5" s="8" t="s">
        <v>1008</v>
      </c>
      <c r="E5" s="22">
        <f>IF(E$4&lt;=Org!$B$5,1,0)</f>
        <v>1</v>
      </c>
      <c r="F5" s="22">
        <f>IF(F$4&lt;=Org!$B$5,1,0)</f>
        <v>1</v>
      </c>
      <c r="G5" s="22">
        <f>IF(G$4&lt;=Org!$B$5,1,0)</f>
        <v>1</v>
      </c>
      <c r="H5" s="22">
        <f>IF(H$4&lt;=Org!$B$5,1,0)</f>
        <v>1</v>
      </c>
      <c r="I5" s="22">
        <f>IF(I$4&lt;=Org!$B$5,1,0)</f>
        <v>1</v>
      </c>
      <c r="J5" s="22">
        <f>IF(J$4&lt;=Org!$B$5,1,0)</f>
        <v>1</v>
      </c>
      <c r="K5" s="22">
        <f>IF(K$4&lt;=Org!$B$5,1,0)</f>
        <v>1</v>
      </c>
      <c r="L5" s="22">
        <f>IF(L$4&lt;=Org!$B$5,1,0)</f>
        <v>1</v>
      </c>
      <c r="M5" s="22">
        <f>IF(M$4&lt;=Org!$B$5,1,0)</f>
        <v>1</v>
      </c>
      <c r="N5" s="22">
        <f>IF(N$4&lt;=Org!$B$5,1,0)</f>
        <v>1</v>
      </c>
      <c r="O5" s="22">
        <f>IF(O$4&lt;=Org!$B$5,1,0)</f>
        <v>1</v>
      </c>
      <c r="P5" s="22">
        <f>IF(P$4&lt;=Org!$B$5,1,0)</f>
        <v>1</v>
      </c>
      <c r="Q5" s="22">
        <f>IF(Q$4&lt;=Org!$B$5,1,0)</f>
        <v>1</v>
      </c>
      <c r="R5" s="22">
        <f>IF(R$4&lt;=Org!$B$5,1,0)</f>
        <v>1</v>
      </c>
      <c r="S5" s="22">
        <f>IF(S$4&lt;=Org!$B$5,1,0)</f>
        <v>1</v>
      </c>
      <c r="T5" s="22">
        <f>IF(T$4&lt;=Org!$B$5,1,0)</f>
        <v>1</v>
      </c>
      <c r="U5" s="22">
        <f>IF(U$4&lt;=Org!$B$5,1,0)</f>
        <v>1</v>
      </c>
      <c r="V5" s="22">
        <f>IF(V$4&lt;=Org!$B$5,1,0)</f>
        <v>1</v>
      </c>
      <c r="W5" s="22">
        <f>IF(W$4&lt;=Org!$B$5,1,0)</f>
        <v>1</v>
      </c>
      <c r="X5" s="22">
        <f>IF(X$4&lt;=Org!$B$5,1,0)</f>
        <v>1</v>
      </c>
      <c r="Y5" s="22">
        <f>IF(Y$4&lt;=Org!$B$5,1,0)</f>
        <v>1</v>
      </c>
      <c r="Z5" s="22">
        <f>IF(Z$4&lt;=Org!$B$5,1,0)</f>
        <v>1</v>
      </c>
      <c r="AA5" s="22">
        <f>IF(AA$4&lt;=Org!$B$5,1,0)</f>
        <v>1</v>
      </c>
      <c r="AB5" s="22">
        <f>IF(AB$4&lt;=Org!$B$5,1,0)</f>
        <v>1</v>
      </c>
      <c r="AC5" s="22">
        <f>IF(AC$4&lt;=Org!$B$5,1,0)</f>
        <v>1</v>
      </c>
      <c r="AD5" s="22">
        <f>IF(AD$4&lt;=Org!$B$5,1,0)</f>
        <v>1</v>
      </c>
      <c r="AE5" s="22">
        <f>IF(AE$4&lt;=Org!$B$5,1,0)</f>
        <v>1</v>
      </c>
      <c r="AF5" s="22">
        <f>IF(AF$4&lt;=Org!$B$5,1,0)</f>
        <v>1</v>
      </c>
      <c r="AG5" s="22">
        <f>IF(AG$4&lt;=Org!$B$5,1,0)</f>
        <v>1</v>
      </c>
      <c r="AH5" s="22">
        <f>IF(AH$4&lt;=Org!$B$5,1,0)</f>
        <v>1</v>
      </c>
      <c r="AI5" s="22">
        <f>IF(AI$4&lt;=Org!$B$5,1,0)</f>
        <v>1</v>
      </c>
      <c r="AJ5" s="22">
        <f>IF(AJ$4&lt;=Org!$B$5,1,0)</f>
        <v>1</v>
      </c>
      <c r="AK5" s="22">
        <f>IF(AK$4&lt;=Org!$B$5,1,0)</f>
        <v>1</v>
      </c>
      <c r="AL5" s="22">
        <f>IF(AL$4&lt;=Org!$B$5,1,0)</f>
        <v>1</v>
      </c>
      <c r="AM5" s="22">
        <f>IF(AM$4&lt;=Org!$B$5,1,0)</f>
        <v>1</v>
      </c>
      <c r="AN5" s="22">
        <f>IF(AN$4&lt;=Org!$B$5,1,0)</f>
        <v>1</v>
      </c>
      <c r="AO5" s="22">
        <f>IF(AO$4&lt;=Org!$B$5,1,0)</f>
        <v>0</v>
      </c>
      <c r="AP5" s="22">
        <f>IF(AP$4&lt;=Org!$B$5,1,0)</f>
        <v>0</v>
      </c>
      <c r="AQ5" s="22">
        <f>IF(AQ$4&lt;=Org!$B$5,1,0)</f>
        <v>0</v>
      </c>
      <c r="AR5" s="22">
        <f>IF(AR$4&lt;=Org!$B$5,1,0)</f>
        <v>0</v>
      </c>
      <c r="AS5" s="22">
        <f>IF(AS$4&lt;=Org!$B$5,1,0)</f>
        <v>0</v>
      </c>
      <c r="AT5" s="22">
        <f>IF(AT$4&lt;=Org!$B$5,1,0)</f>
        <v>0</v>
      </c>
      <c r="AU5" s="22">
        <f>IF(AU$4&lt;=Org!$B$5,1,0)</f>
        <v>0</v>
      </c>
      <c r="AV5" s="22">
        <f>IF(AV$4&lt;=Org!$B$5,1,0)</f>
        <v>0</v>
      </c>
      <c r="AW5" s="22">
        <f>IF(AW$4&lt;=Org!$B$5,1,0)</f>
        <v>0</v>
      </c>
      <c r="AX5" s="22">
        <f>IF(AX$4&lt;=Org!$B$5,1,0)</f>
        <v>0</v>
      </c>
      <c r="AY5" s="22">
        <f>IF(AY$4&lt;=Org!$B$5,1,0)</f>
        <v>0</v>
      </c>
      <c r="AZ5" s="22">
        <f>IF(AZ$4&lt;=Org!$B$5,1,0)</f>
        <v>0</v>
      </c>
      <c r="BA5" s="22">
        <f>IF(BA$4&lt;=Org!$B$5,1,0)</f>
        <v>0</v>
      </c>
      <c r="BB5" s="22">
        <f>IF(BB$4&lt;=Org!$B$5,1,0)</f>
        <v>0</v>
      </c>
      <c r="BC5" s="22">
        <f>IF(BC$4&lt;=Org!$B$5,1,0)</f>
        <v>0</v>
      </c>
      <c r="BD5" s="22">
        <f>IF(BD$4&lt;=Org!$B$5,1,0)</f>
        <v>0</v>
      </c>
      <c r="BE5" s="22">
        <f>IF(BE$4&lt;=Org!$B$5,1,0)</f>
        <v>0</v>
      </c>
      <c r="BF5" s="22">
        <f>IF(BF$4&lt;=Org!$B$5,1,0)</f>
        <v>0</v>
      </c>
      <c r="BG5" s="22">
        <f>IF(BG$4&lt;=Org!$B$5,1,0)</f>
        <v>0</v>
      </c>
      <c r="BH5" s="22">
        <f>IF(BH$4&lt;=Org!$B$5,1,0)</f>
        <v>0</v>
      </c>
      <c r="BI5" s="22">
        <f>IF(BI$4&lt;=Org!$B$5,1,0)</f>
        <v>0</v>
      </c>
      <c r="BJ5" s="22">
        <f>IF(BJ$4&lt;=Org!$B$5,1,0)</f>
        <v>0</v>
      </c>
      <c r="BK5" s="22">
        <f>IF(BK$4&lt;=Org!$B$5,1,0)</f>
        <v>0</v>
      </c>
      <c r="BL5" s="22">
        <f>IF(BL$4&lt;=Org!$B$5,1,0)</f>
        <v>0</v>
      </c>
    </row>
    <row r="8" spans="1:64" x14ac:dyDescent="0.3">
      <c r="A8" s="17" t="str">
        <f>Teams!$C$4</f>
        <v>Corporate knowledge assistant (conservative calibration)</v>
      </c>
      <c r="B8" s="18" t="s">
        <v>1009</v>
      </c>
      <c r="C8" s="50">
        <f>(Teams!$C$29*(1-Teams!$C$31)*Params!$E$39*Params!$E$21*IF(Teams!$C$36="Yes",Params!$E$22,1)*Teams!$C$68*Teams!$C$70+Teams!$C$30*(1-Teams!$C$31)*Params!$E$39*Params!$E$21*IF(Teams!$C$36="Yes",Params!$E$22,1)*Teams!$C$69)/1000000*Teams!$C$71*Teams!$C$35</f>
        <v>9.1655E-3</v>
      </c>
    </row>
    <row r="9" spans="1:64" x14ac:dyDescent="0.3">
      <c r="A9" s="8" t="s">
        <v>1010</v>
      </c>
      <c r="E9" s="26">
        <f>IF(E$4&lt;Teams!$C$80,0,IF(Teams!$C$22="S",MIN(1,(E$4-Teams!$C$80+1)/Teams!$C$21)^2*(3-2*MIN(1,(E$4-Teams!$C$80+1)/Teams!$C$21)),MIN(1,(E$4-Teams!$C$80+1)/Teams!$C$21)))</f>
        <v>7.407407407407407E-2</v>
      </c>
      <c r="F9" s="26">
        <f>IF(F$4&lt;Teams!$C$80,0,IF(Teams!$C$22="S",MIN(1,(F$4-Teams!$C$80+1)/Teams!$C$21)^2*(3-2*MIN(1,(F$4-Teams!$C$80+1)/Teams!$C$21)),MIN(1,(F$4-Teams!$C$80+1)/Teams!$C$21)))</f>
        <v>0.25925925925925924</v>
      </c>
      <c r="G9" s="26">
        <f>IF(G$4&lt;Teams!$C$80,0,IF(Teams!$C$22="S",MIN(1,(G$4-Teams!$C$80+1)/Teams!$C$21)^2*(3-2*MIN(1,(G$4-Teams!$C$80+1)/Teams!$C$21)),MIN(1,(G$4-Teams!$C$80+1)/Teams!$C$21)))</f>
        <v>0.5</v>
      </c>
      <c r="H9" s="26">
        <f>IF(H$4&lt;Teams!$C$80,0,IF(Teams!$C$22="S",MIN(1,(H$4-Teams!$C$80+1)/Teams!$C$21)^2*(3-2*MIN(1,(H$4-Teams!$C$80+1)/Teams!$C$21)),MIN(1,(H$4-Teams!$C$80+1)/Teams!$C$21)))</f>
        <v>0.7407407407407407</v>
      </c>
      <c r="I9" s="26">
        <f>IF(I$4&lt;Teams!$C$80,0,IF(Teams!$C$22="S",MIN(1,(I$4-Teams!$C$80+1)/Teams!$C$21)^2*(3-2*MIN(1,(I$4-Teams!$C$80+1)/Teams!$C$21)),MIN(1,(I$4-Teams!$C$80+1)/Teams!$C$21)))</f>
        <v>0.92592592592592604</v>
      </c>
      <c r="J9" s="26">
        <f>IF(J$4&lt;Teams!$C$80,0,IF(Teams!$C$22="S",MIN(1,(J$4-Teams!$C$80+1)/Teams!$C$21)^2*(3-2*MIN(1,(J$4-Teams!$C$80+1)/Teams!$C$21)),MIN(1,(J$4-Teams!$C$80+1)/Teams!$C$21)))</f>
        <v>1</v>
      </c>
      <c r="K9" s="26">
        <f>IF(K$4&lt;Teams!$C$80,0,IF(Teams!$C$22="S",MIN(1,(K$4-Teams!$C$80+1)/Teams!$C$21)^2*(3-2*MIN(1,(K$4-Teams!$C$80+1)/Teams!$C$21)),MIN(1,(K$4-Teams!$C$80+1)/Teams!$C$21)))</f>
        <v>1</v>
      </c>
      <c r="L9" s="26">
        <f>IF(L$4&lt;Teams!$C$80,0,IF(Teams!$C$22="S",MIN(1,(L$4-Teams!$C$80+1)/Teams!$C$21)^2*(3-2*MIN(1,(L$4-Teams!$C$80+1)/Teams!$C$21)),MIN(1,(L$4-Teams!$C$80+1)/Teams!$C$21)))</f>
        <v>1</v>
      </c>
      <c r="M9" s="26">
        <f>IF(M$4&lt;Teams!$C$80,0,IF(Teams!$C$22="S",MIN(1,(M$4-Teams!$C$80+1)/Teams!$C$21)^2*(3-2*MIN(1,(M$4-Teams!$C$80+1)/Teams!$C$21)),MIN(1,(M$4-Teams!$C$80+1)/Teams!$C$21)))</f>
        <v>1</v>
      </c>
      <c r="N9" s="26">
        <f>IF(N$4&lt;Teams!$C$80,0,IF(Teams!$C$22="S",MIN(1,(N$4-Teams!$C$80+1)/Teams!$C$21)^2*(3-2*MIN(1,(N$4-Teams!$C$80+1)/Teams!$C$21)),MIN(1,(N$4-Teams!$C$80+1)/Teams!$C$21)))</f>
        <v>1</v>
      </c>
      <c r="O9" s="26">
        <f>IF(O$4&lt;Teams!$C$80,0,IF(Teams!$C$22="S",MIN(1,(O$4-Teams!$C$80+1)/Teams!$C$21)^2*(3-2*MIN(1,(O$4-Teams!$C$80+1)/Teams!$C$21)),MIN(1,(O$4-Teams!$C$80+1)/Teams!$C$21)))</f>
        <v>1</v>
      </c>
      <c r="P9" s="26">
        <f>IF(P$4&lt;Teams!$C$80,0,IF(Teams!$C$22="S",MIN(1,(P$4-Teams!$C$80+1)/Teams!$C$21)^2*(3-2*MIN(1,(P$4-Teams!$C$80+1)/Teams!$C$21)),MIN(1,(P$4-Teams!$C$80+1)/Teams!$C$21)))</f>
        <v>1</v>
      </c>
      <c r="Q9" s="26">
        <f>IF(Q$4&lt;Teams!$C$80,0,IF(Teams!$C$22="S",MIN(1,(Q$4-Teams!$C$80+1)/Teams!$C$21)^2*(3-2*MIN(1,(Q$4-Teams!$C$80+1)/Teams!$C$21)),MIN(1,(Q$4-Teams!$C$80+1)/Teams!$C$21)))</f>
        <v>1</v>
      </c>
      <c r="R9" s="26">
        <f>IF(R$4&lt;Teams!$C$80,0,IF(Teams!$C$22="S",MIN(1,(R$4-Teams!$C$80+1)/Teams!$C$21)^2*(3-2*MIN(1,(R$4-Teams!$C$80+1)/Teams!$C$21)),MIN(1,(R$4-Teams!$C$80+1)/Teams!$C$21)))</f>
        <v>1</v>
      </c>
      <c r="S9" s="26">
        <f>IF(S$4&lt;Teams!$C$80,0,IF(Teams!$C$22="S",MIN(1,(S$4-Teams!$C$80+1)/Teams!$C$21)^2*(3-2*MIN(1,(S$4-Teams!$C$80+1)/Teams!$C$21)),MIN(1,(S$4-Teams!$C$80+1)/Teams!$C$21)))</f>
        <v>1</v>
      </c>
      <c r="T9" s="26">
        <f>IF(T$4&lt;Teams!$C$80,0,IF(Teams!$C$22="S",MIN(1,(T$4-Teams!$C$80+1)/Teams!$C$21)^2*(3-2*MIN(1,(T$4-Teams!$C$80+1)/Teams!$C$21)),MIN(1,(T$4-Teams!$C$80+1)/Teams!$C$21)))</f>
        <v>1</v>
      </c>
      <c r="U9" s="26">
        <f>IF(U$4&lt;Teams!$C$80,0,IF(Teams!$C$22="S",MIN(1,(U$4-Teams!$C$80+1)/Teams!$C$21)^2*(3-2*MIN(1,(U$4-Teams!$C$80+1)/Teams!$C$21)),MIN(1,(U$4-Teams!$C$80+1)/Teams!$C$21)))</f>
        <v>1</v>
      </c>
      <c r="V9" s="26">
        <f>IF(V$4&lt;Teams!$C$80,0,IF(Teams!$C$22="S",MIN(1,(V$4-Teams!$C$80+1)/Teams!$C$21)^2*(3-2*MIN(1,(V$4-Teams!$C$80+1)/Teams!$C$21)),MIN(1,(V$4-Teams!$C$80+1)/Teams!$C$21)))</f>
        <v>1</v>
      </c>
      <c r="W9" s="26">
        <f>IF(W$4&lt;Teams!$C$80,0,IF(Teams!$C$22="S",MIN(1,(W$4-Teams!$C$80+1)/Teams!$C$21)^2*(3-2*MIN(1,(W$4-Teams!$C$80+1)/Teams!$C$21)),MIN(1,(W$4-Teams!$C$80+1)/Teams!$C$21)))</f>
        <v>1</v>
      </c>
      <c r="X9" s="26">
        <f>IF(X$4&lt;Teams!$C$80,0,IF(Teams!$C$22="S",MIN(1,(X$4-Teams!$C$80+1)/Teams!$C$21)^2*(3-2*MIN(1,(X$4-Teams!$C$80+1)/Teams!$C$21)),MIN(1,(X$4-Teams!$C$80+1)/Teams!$C$21)))</f>
        <v>1</v>
      </c>
      <c r="Y9" s="26">
        <f>IF(Y$4&lt;Teams!$C$80,0,IF(Teams!$C$22="S",MIN(1,(Y$4-Teams!$C$80+1)/Teams!$C$21)^2*(3-2*MIN(1,(Y$4-Teams!$C$80+1)/Teams!$C$21)),MIN(1,(Y$4-Teams!$C$80+1)/Teams!$C$21)))</f>
        <v>1</v>
      </c>
      <c r="Z9" s="26">
        <f>IF(Z$4&lt;Teams!$C$80,0,IF(Teams!$C$22="S",MIN(1,(Z$4-Teams!$C$80+1)/Teams!$C$21)^2*(3-2*MIN(1,(Z$4-Teams!$C$80+1)/Teams!$C$21)),MIN(1,(Z$4-Teams!$C$80+1)/Teams!$C$21)))</f>
        <v>1</v>
      </c>
      <c r="AA9" s="26">
        <f>IF(AA$4&lt;Teams!$C$80,0,IF(Teams!$C$22="S",MIN(1,(AA$4-Teams!$C$80+1)/Teams!$C$21)^2*(3-2*MIN(1,(AA$4-Teams!$C$80+1)/Teams!$C$21)),MIN(1,(AA$4-Teams!$C$80+1)/Teams!$C$21)))</f>
        <v>1</v>
      </c>
      <c r="AB9" s="26">
        <f>IF(AB$4&lt;Teams!$C$80,0,IF(Teams!$C$22="S",MIN(1,(AB$4-Teams!$C$80+1)/Teams!$C$21)^2*(3-2*MIN(1,(AB$4-Teams!$C$80+1)/Teams!$C$21)),MIN(1,(AB$4-Teams!$C$80+1)/Teams!$C$21)))</f>
        <v>1</v>
      </c>
      <c r="AC9" s="26">
        <f>IF(AC$4&lt;Teams!$C$80,0,IF(Teams!$C$22="S",MIN(1,(AC$4-Teams!$C$80+1)/Teams!$C$21)^2*(3-2*MIN(1,(AC$4-Teams!$C$80+1)/Teams!$C$21)),MIN(1,(AC$4-Teams!$C$80+1)/Teams!$C$21)))</f>
        <v>1</v>
      </c>
      <c r="AD9" s="26">
        <f>IF(AD$4&lt;Teams!$C$80,0,IF(Teams!$C$22="S",MIN(1,(AD$4-Teams!$C$80+1)/Teams!$C$21)^2*(3-2*MIN(1,(AD$4-Teams!$C$80+1)/Teams!$C$21)),MIN(1,(AD$4-Teams!$C$80+1)/Teams!$C$21)))</f>
        <v>1</v>
      </c>
      <c r="AE9" s="26">
        <f>IF(AE$4&lt;Teams!$C$80,0,IF(Teams!$C$22="S",MIN(1,(AE$4-Teams!$C$80+1)/Teams!$C$21)^2*(3-2*MIN(1,(AE$4-Teams!$C$80+1)/Teams!$C$21)),MIN(1,(AE$4-Teams!$C$80+1)/Teams!$C$21)))</f>
        <v>1</v>
      </c>
      <c r="AF9" s="26">
        <f>IF(AF$4&lt;Teams!$C$80,0,IF(Teams!$C$22="S",MIN(1,(AF$4-Teams!$C$80+1)/Teams!$C$21)^2*(3-2*MIN(1,(AF$4-Teams!$C$80+1)/Teams!$C$21)),MIN(1,(AF$4-Teams!$C$80+1)/Teams!$C$21)))</f>
        <v>1</v>
      </c>
      <c r="AG9" s="26">
        <f>IF(AG$4&lt;Teams!$C$80,0,IF(Teams!$C$22="S",MIN(1,(AG$4-Teams!$C$80+1)/Teams!$C$21)^2*(3-2*MIN(1,(AG$4-Teams!$C$80+1)/Teams!$C$21)),MIN(1,(AG$4-Teams!$C$80+1)/Teams!$C$21)))</f>
        <v>1</v>
      </c>
      <c r="AH9" s="26">
        <f>IF(AH$4&lt;Teams!$C$80,0,IF(Teams!$C$22="S",MIN(1,(AH$4-Teams!$C$80+1)/Teams!$C$21)^2*(3-2*MIN(1,(AH$4-Teams!$C$80+1)/Teams!$C$21)),MIN(1,(AH$4-Teams!$C$80+1)/Teams!$C$21)))</f>
        <v>1</v>
      </c>
      <c r="AI9" s="26">
        <f>IF(AI$4&lt;Teams!$C$80,0,IF(Teams!$C$22="S",MIN(1,(AI$4-Teams!$C$80+1)/Teams!$C$21)^2*(3-2*MIN(1,(AI$4-Teams!$C$80+1)/Teams!$C$21)),MIN(1,(AI$4-Teams!$C$80+1)/Teams!$C$21)))</f>
        <v>1</v>
      </c>
      <c r="AJ9" s="26">
        <f>IF(AJ$4&lt;Teams!$C$80,0,IF(Teams!$C$22="S",MIN(1,(AJ$4-Teams!$C$80+1)/Teams!$C$21)^2*(3-2*MIN(1,(AJ$4-Teams!$C$80+1)/Teams!$C$21)),MIN(1,(AJ$4-Teams!$C$80+1)/Teams!$C$21)))</f>
        <v>1</v>
      </c>
      <c r="AK9" s="26">
        <f>IF(AK$4&lt;Teams!$C$80,0,IF(Teams!$C$22="S",MIN(1,(AK$4-Teams!$C$80+1)/Teams!$C$21)^2*(3-2*MIN(1,(AK$4-Teams!$C$80+1)/Teams!$C$21)),MIN(1,(AK$4-Teams!$C$80+1)/Teams!$C$21)))</f>
        <v>1</v>
      </c>
      <c r="AL9" s="26">
        <f>IF(AL$4&lt;Teams!$C$80,0,IF(Teams!$C$22="S",MIN(1,(AL$4-Teams!$C$80+1)/Teams!$C$21)^2*(3-2*MIN(1,(AL$4-Teams!$C$80+1)/Teams!$C$21)),MIN(1,(AL$4-Teams!$C$80+1)/Teams!$C$21)))</f>
        <v>1</v>
      </c>
      <c r="AM9" s="26">
        <f>IF(AM$4&lt;Teams!$C$80,0,IF(Teams!$C$22="S",MIN(1,(AM$4-Teams!$C$80+1)/Teams!$C$21)^2*(3-2*MIN(1,(AM$4-Teams!$C$80+1)/Teams!$C$21)),MIN(1,(AM$4-Teams!$C$80+1)/Teams!$C$21)))</f>
        <v>1</v>
      </c>
      <c r="AN9" s="26">
        <f>IF(AN$4&lt;Teams!$C$80,0,IF(Teams!$C$22="S",MIN(1,(AN$4-Teams!$C$80+1)/Teams!$C$21)^2*(3-2*MIN(1,(AN$4-Teams!$C$80+1)/Teams!$C$21)),MIN(1,(AN$4-Teams!$C$80+1)/Teams!$C$21)))</f>
        <v>1</v>
      </c>
      <c r="AO9" s="26">
        <f>IF(AO$4&lt;Teams!$C$80,0,IF(Teams!$C$22="S",MIN(1,(AO$4-Teams!$C$80+1)/Teams!$C$21)^2*(3-2*MIN(1,(AO$4-Teams!$C$80+1)/Teams!$C$21)),MIN(1,(AO$4-Teams!$C$80+1)/Teams!$C$21)))</f>
        <v>1</v>
      </c>
      <c r="AP9" s="26">
        <f>IF(AP$4&lt;Teams!$C$80,0,IF(Teams!$C$22="S",MIN(1,(AP$4-Teams!$C$80+1)/Teams!$C$21)^2*(3-2*MIN(1,(AP$4-Teams!$C$80+1)/Teams!$C$21)),MIN(1,(AP$4-Teams!$C$80+1)/Teams!$C$21)))</f>
        <v>1</v>
      </c>
      <c r="AQ9" s="26">
        <f>IF(AQ$4&lt;Teams!$C$80,0,IF(Teams!$C$22="S",MIN(1,(AQ$4-Teams!$C$80+1)/Teams!$C$21)^2*(3-2*MIN(1,(AQ$4-Teams!$C$80+1)/Teams!$C$21)),MIN(1,(AQ$4-Teams!$C$80+1)/Teams!$C$21)))</f>
        <v>1</v>
      </c>
      <c r="AR9" s="26">
        <f>IF(AR$4&lt;Teams!$C$80,0,IF(Teams!$C$22="S",MIN(1,(AR$4-Teams!$C$80+1)/Teams!$C$21)^2*(3-2*MIN(1,(AR$4-Teams!$C$80+1)/Teams!$C$21)),MIN(1,(AR$4-Teams!$C$80+1)/Teams!$C$21)))</f>
        <v>1</v>
      </c>
      <c r="AS9" s="26">
        <f>IF(AS$4&lt;Teams!$C$80,0,IF(Teams!$C$22="S",MIN(1,(AS$4-Teams!$C$80+1)/Teams!$C$21)^2*(3-2*MIN(1,(AS$4-Teams!$C$80+1)/Teams!$C$21)),MIN(1,(AS$4-Teams!$C$80+1)/Teams!$C$21)))</f>
        <v>1</v>
      </c>
      <c r="AT9" s="26">
        <f>IF(AT$4&lt;Teams!$C$80,0,IF(Teams!$C$22="S",MIN(1,(AT$4-Teams!$C$80+1)/Teams!$C$21)^2*(3-2*MIN(1,(AT$4-Teams!$C$80+1)/Teams!$C$21)),MIN(1,(AT$4-Teams!$C$80+1)/Teams!$C$21)))</f>
        <v>1</v>
      </c>
      <c r="AU9" s="26">
        <f>IF(AU$4&lt;Teams!$C$80,0,IF(Teams!$C$22="S",MIN(1,(AU$4-Teams!$C$80+1)/Teams!$C$21)^2*(3-2*MIN(1,(AU$4-Teams!$C$80+1)/Teams!$C$21)),MIN(1,(AU$4-Teams!$C$80+1)/Teams!$C$21)))</f>
        <v>1</v>
      </c>
      <c r="AV9" s="26">
        <f>IF(AV$4&lt;Teams!$C$80,0,IF(Teams!$C$22="S",MIN(1,(AV$4-Teams!$C$80+1)/Teams!$C$21)^2*(3-2*MIN(1,(AV$4-Teams!$C$80+1)/Teams!$C$21)),MIN(1,(AV$4-Teams!$C$80+1)/Teams!$C$21)))</f>
        <v>1</v>
      </c>
      <c r="AW9" s="26">
        <f>IF(AW$4&lt;Teams!$C$80,0,IF(Teams!$C$22="S",MIN(1,(AW$4-Teams!$C$80+1)/Teams!$C$21)^2*(3-2*MIN(1,(AW$4-Teams!$C$80+1)/Teams!$C$21)),MIN(1,(AW$4-Teams!$C$80+1)/Teams!$C$21)))</f>
        <v>1</v>
      </c>
      <c r="AX9" s="26">
        <f>IF(AX$4&lt;Teams!$C$80,0,IF(Teams!$C$22="S",MIN(1,(AX$4-Teams!$C$80+1)/Teams!$C$21)^2*(3-2*MIN(1,(AX$4-Teams!$C$80+1)/Teams!$C$21)),MIN(1,(AX$4-Teams!$C$80+1)/Teams!$C$21)))</f>
        <v>1</v>
      </c>
      <c r="AY9" s="26">
        <f>IF(AY$4&lt;Teams!$C$80,0,IF(Teams!$C$22="S",MIN(1,(AY$4-Teams!$C$80+1)/Teams!$C$21)^2*(3-2*MIN(1,(AY$4-Teams!$C$80+1)/Teams!$C$21)),MIN(1,(AY$4-Teams!$C$80+1)/Teams!$C$21)))</f>
        <v>1</v>
      </c>
      <c r="AZ9" s="26">
        <f>IF(AZ$4&lt;Teams!$C$80,0,IF(Teams!$C$22="S",MIN(1,(AZ$4-Teams!$C$80+1)/Teams!$C$21)^2*(3-2*MIN(1,(AZ$4-Teams!$C$80+1)/Teams!$C$21)),MIN(1,(AZ$4-Teams!$C$80+1)/Teams!$C$21)))</f>
        <v>1</v>
      </c>
      <c r="BA9" s="26">
        <f>IF(BA$4&lt;Teams!$C$80,0,IF(Teams!$C$22="S",MIN(1,(BA$4-Teams!$C$80+1)/Teams!$C$21)^2*(3-2*MIN(1,(BA$4-Teams!$C$80+1)/Teams!$C$21)),MIN(1,(BA$4-Teams!$C$80+1)/Teams!$C$21)))</f>
        <v>1</v>
      </c>
      <c r="BB9" s="26">
        <f>IF(BB$4&lt;Teams!$C$80,0,IF(Teams!$C$22="S",MIN(1,(BB$4-Teams!$C$80+1)/Teams!$C$21)^2*(3-2*MIN(1,(BB$4-Teams!$C$80+1)/Teams!$C$21)),MIN(1,(BB$4-Teams!$C$80+1)/Teams!$C$21)))</f>
        <v>1</v>
      </c>
      <c r="BC9" s="26">
        <f>IF(BC$4&lt;Teams!$C$80,0,IF(Teams!$C$22="S",MIN(1,(BC$4-Teams!$C$80+1)/Teams!$C$21)^2*(3-2*MIN(1,(BC$4-Teams!$C$80+1)/Teams!$C$21)),MIN(1,(BC$4-Teams!$C$80+1)/Teams!$C$21)))</f>
        <v>1</v>
      </c>
      <c r="BD9" s="26">
        <f>IF(BD$4&lt;Teams!$C$80,0,IF(Teams!$C$22="S",MIN(1,(BD$4-Teams!$C$80+1)/Teams!$C$21)^2*(3-2*MIN(1,(BD$4-Teams!$C$80+1)/Teams!$C$21)),MIN(1,(BD$4-Teams!$C$80+1)/Teams!$C$21)))</f>
        <v>1</v>
      </c>
      <c r="BE9" s="26">
        <f>IF(BE$4&lt;Teams!$C$80,0,IF(Teams!$C$22="S",MIN(1,(BE$4-Teams!$C$80+1)/Teams!$C$21)^2*(3-2*MIN(1,(BE$4-Teams!$C$80+1)/Teams!$C$21)),MIN(1,(BE$4-Teams!$C$80+1)/Teams!$C$21)))</f>
        <v>1</v>
      </c>
      <c r="BF9" s="26">
        <f>IF(BF$4&lt;Teams!$C$80,0,IF(Teams!$C$22="S",MIN(1,(BF$4-Teams!$C$80+1)/Teams!$C$21)^2*(3-2*MIN(1,(BF$4-Teams!$C$80+1)/Teams!$C$21)),MIN(1,(BF$4-Teams!$C$80+1)/Teams!$C$21)))</f>
        <v>1</v>
      </c>
      <c r="BG9" s="26">
        <f>IF(BG$4&lt;Teams!$C$80,0,IF(Teams!$C$22="S",MIN(1,(BG$4-Teams!$C$80+1)/Teams!$C$21)^2*(3-2*MIN(1,(BG$4-Teams!$C$80+1)/Teams!$C$21)),MIN(1,(BG$4-Teams!$C$80+1)/Teams!$C$21)))</f>
        <v>1</v>
      </c>
      <c r="BH9" s="26">
        <f>IF(BH$4&lt;Teams!$C$80,0,IF(Teams!$C$22="S",MIN(1,(BH$4-Teams!$C$80+1)/Teams!$C$21)^2*(3-2*MIN(1,(BH$4-Teams!$C$80+1)/Teams!$C$21)),MIN(1,(BH$4-Teams!$C$80+1)/Teams!$C$21)))</f>
        <v>1</v>
      </c>
      <c r="BI9" s="26">
        <f>IF(BI$4&lt;Teams!$C$80,0,IF(Teams!$C$22="S",MIN(1,(BI$4-Teams!$C$80+1)/Teams!$C$21)^2*(3-2*MIN(1,(BI$4-Teams!$C$80+1)/Teams!$C$21)),MIN(1,(BI$4-Teams!$C$80+1)/Teams!$C$21)))</f>
        <v>1</v>
      </c>
      <c r="BJ9" s="26">
        <f>IF(BJ$4&lt;Teams!$C$80,0,IF(Teams!$C$22="S",MIN(1,(BJ$4-Teams!$C$80+1)/Teams!$C$21)^2*(3-2*MIN(1,(BJ$4-Teams!$C$80+1)/Teams!$C$21)),MIN(1,(BJ$4-Teams!$C$80+1)/Teams!$C$21)))</f>
        <v>1</v>
      </c>
      <c r="BK9" s="26">
        <f>IF(BK$4&lt;Teams!$C$80,0,IF(Teams!$C$22="S",MIN(1,(BK$4-Teams!$C$80+1)/Teams!$C$21)^2*(3-2*MIN(1,(BK$4-Teams!$C$80+1)/Teams!$C$21)),MIN(1,(BK$4-Teams!$C$80+1)/Teams!$C$21)))</f>
        <v>1</v>
      </c>
      <c r="BL9" s="26">
        <f>IF(BL$4&lt;Teams!$C$80,0,IF(Teams!$C$22="S",MIN(1,(BL$4-Teams!$C$80+1)/Teams!$C$21)^2*(3-2*MIN(1,(BL$4-Teams!$C$80+1)/Teams!$C$21)),MIN(1,(BL$4-Teams!$C$80+1)/Teams!$C$21)))</f>
        <v>1</v>
      </c>
    </row>
    <row r="10" spans="1:64" x14ac:dyDescent="0.3">
      <c r="A10" s="8" t="s">
        <v>160</v>
      </c>
      <c r="E10" s="22">
        <f>IF(E$4&gt;=Teams!$C$80,Teams!$C$18,0)</f>
        <v>3000</v>
      </c>
      <c r="F10" s="22">
        <f>IF(F$4&gt;=Teams!$C$80,Teams!$C$18,0)</f>
        <v>3000</v>
      </c>
      <c r="G10" s="22">
        <f>IF(G$4&gt;=Teams!$C$80,Teams!$C$18,0)</f>
        <v>3000</v>
      </c>
      <c r="H10" s="22">
        <f>IF(H$4&gt;=Teams!$C$80,Teams!$C$18,0)</f>
        <v>3000</v>
      </c>
      <c r="I10" s="22">
        <f>IF(I$4&gt;=Teams!$C$80,Teams!$C$18,0)</f>
        <v>3000</v>
      </c>
      <c r="J10" s="22">
        <f>IF(J$4&gt;=Teams!$C$80,Teams!$C$18,0)</f>
        <v>3000</v>
      </c>
      <c r="K10" s="22">
        <f>IF(K$4&gt;=Teams!$C$80,Teams!$C$18,0)</f>
        <v>3000</v>
      </c>
      <c r="L10" s="22">
        <f>IF(L$4&gt;=Teams!$C$80,Teams!$C$18,0)</f>
        <v>3000</v>
      </c>
      <c r="M10" s="22">
        <f>IF(M$4&gt;=Teams!$C$80,Teams!$C$18,0)</f>
        <v>3000</v>
      </c>
      <c r="N10" s="22">
        <f>IF(N$4&gt;=Teams!$C$80,Teams!$C$18,0)</f>
        <v>3000</v>
      </c>
      <c r="O10" s="22">
        <f>IF(O$4&gt;=Teams!$C$80,Teams!$C$18,0)</f>
        <v>3000</v>
      </c>
      <c r="P10" s="22">
        <f>IF(P$4&gt;=Teams!$C$80,Teams!$C$18,0)</f>
        <v>3000</v>
      </c>
      <c r="Q10" s="22">
        <f>IF(Q$4&gt;=Teams!$C$80,Teams!$C$18,0)</f>
        <v>3000</v>
      </c>
      <c r="R10" s="22">
        <f>IF(R$4&gt;=Teams!$C$80,Teams!$C$18,0)</f>
        <v>3000</v>
      </c>
      <c r="S10" s="22">
        <f>IF(S$4&gt;=Teams!$C$80,Teams!$C$18,0)</f>
        <v>3000</v>
      </c>
      <c r="T10" s="22">
        <f>IF(T$4&gt;=Teams!$C$80,Teams!$C$18,0)</f>
        <v>3000</v>
      </c>
      <c r="U10" s="22">
        <f>IF(U$4&gt;=Teams!$C$80,Teams!$C$18,0)</f>
        <v>3000</v>
      </c>
      <c r="V10" s="22">
        <f>IF(V$4&gt;=Teams!$C$80,Teams!$C$18,0)</f>
        <v>3000</v>
      </c>
      <c r="W10" s="22">
        <f>IF(W$4&gt;=Teams!$C$80,Teams!$C$18,0)</f>
        <v>3000</v>
      </c>
      <c r="X10" s="22">
        <f>IF(X$4&gt;=Teams!$C$80,Teams!$C$18,0)</f>
        <v>3000</v>
      </c>
      <c r="Y10" s="22">
        <f>IF(Y$4&gt;=Teams!$C$80,Teams!$C$18,0)</f>
        <v>3000</v>
      </c>
      <c r="Z10" s="22">
        <f>IF(Z$4&gt;=Teams!$C$80,Teams!$C$18,0)</f>
        <v>3000</v>
      </c>
      <c r="AA10" s="22">
        <f>IF(AA$4&gt;=Teams!$C$80,Teams!$C$18,0)</f>
        <v>3000</v>
      </c>
      <c r="AB10" s="22">
        <f>IF(AB$4&gt;=Teams!$C$80,Teams!$C$18,0)</f>
        <v>3000</v>
      </c>
      <c r="AC10" s="22">
        <f>IF(AC$4&gt;=Teams!$C$80,Teams!$C$18,0)</f>
        <v>3000</v>
      </c>
      <c r="AD10" s="22">
        <f>IF(AD$4&gt;=Teams!$C$80,Teams!$C$18,0)</f>
        <v>3000</v>
      </c>
      <c r="AE10" s="22">
        <f>IF(AE$4&gt;=Teams!$C$80,Teams!$C$18,0)</f>
        <v>3000</v>
      </c>
      <c r="AF10" s="22">
        <f>IF(AF$4&gt;=Teams!$C$80,Teams!$C$18,0)</f>
        <v>3000</v>
      </c>
      <c r="AG10" s="22">
        <f>IF(AG$4&gt;=Teams!$C$80,Teams!$C$18,0)</f>
        <v>3000</v>
      </c>
      <c r="AH10" s="22">
        <f>IF(AH$4&gt;=Teams!$C$80,Teams!$C$18,0)</f>
        <v>3000</v>
      </c>
      <c r="AI10" s="22">
        <f>IF(AI$4&gt;=Teams!$C$80,Teams!$C$18,0)</f>
        <v>3000</v>
      </c>
      <c r="AJ10" s="22">
        <f>IF(AJ$4&gt;=Teams!$C$80,Teams!$C$18,0)</f>
        <v>3000</v>
      </c>
      <c r="AK10" s="22">
        <f>IF(AK$4&gt;=Teams!$C$80,Teams!$C$18,0)</f>
        <v>3000</v>
      </c>
      <c r="AL10" s="22">
        <f>IF(AL$4&gt;=Teams!$C$80,Teams!$C$18,0)</f>
        <v>3000</v>
      </c>
      <c r="AM10" s="22">
        <f>IF(AM$4&gt;=Teams!$C$80,Teams!$C$18,0)</f>
        <v>3000</v>
      </c>
      <c r="AN10" s="22">
        <f>IF(AN$4&gt;=Teams!$C$80,Teams!$C$18,0)</f>
        <v>3000</v>
      </c>
      <c r="AO10" s="22">
        <f>IF(AO$4&gt;=Teams!$C$80,Teams!$C$18,0)</f>
        <v>3000</v>
      </c>
      <c r="AP10" s="22">
        <f>IF(AP$4&gt;=Teams!$C$80,Teams!$C$18,0)</f>
        <v>3000</v>
      </c>
      <c r="AQ10" s="22">
        <f>IF(AQ$4&gt;=Teams!$C$80,Teams!$C$18,0)</f>
        <v>3000</v>
      </c>
      <c r="AR10" s="22">
        <f>IF(AR$4&gt;=Teams!$C$80,Teams!$C$18,0)</f>
        <v>3000</v>
      </c>
      <c r="AS10" s="22">
        <f>IF(AS$4&gt;=Teams!$C$80,Teams!$C$18,0)</f>
        <v>3000</v>
      </c>
      <c r="AT10" s="22">
        <f>IF(AT$4&gt;=Teams!$C$80,Teams!$C$18,0)</f>
        <v>3000</v>
      </c>
      <c r="AU10" s="22">
        <f>IF(AU$4&gt;=Teams!$C$80,Teams!$C$18,0)</f>
        <v>3000</v>
      </c>
      <c r="AV10" s="22">
        <f>IF(AV$4&gt;=Teams!$C$80,Teams!$C$18,0)</f>
        <v>3000</v>
      </c>
      <c r="AW10" s="22">
        <f>IF(AW$4&gt;=Teams!$C$80,Teams!$C$18,0)</f>
        <v>3000</v>
      </c>
      <c r="AX10" s="22">
        <f>IF(AX$4&gt;=Teams!$C$80,Teams!$C$18,0)</f>
        <v>3000</v>
      </c>
      <c r="AY10" s="22">
        <f>IF(AY$4&gt;=Teams!$C$80,Teams!$C$18,0)</f>
        <v>3000</v>
      </c>
      <c r="AZ10" s="22">
        <f>IF(AZ$4&gt;=Teams!$C$80,Teams!$C$18,0)</f>
        <v>3000</v>
      </c>
      <c r="BA10" s="22">
        <f>IF(BA$4&gt;=Teams!$C$80,Teams!$C$18,0)</f>
        <v>3000</v>
      </c>
      <c r="BB10" s="22">
        <f>IF(BB$4&gt;=Teams!$C$80,Teams!$C$18,0)</f>
        <v>3000</v>
      </c>
      <c r="BC10" s="22">
        <f>IF(BC$4&gt;=Teams!$C$80,Teams!$C$18,0)</f>
        <v>3000</v>
      </c>
      <c r="BD10" s="22">
        <f>IF(BD$4&gt;=Teams!$C$80,Teams!$C$18,0)</f>
        <v>3000</v>
      </c>
      <c r="BE10" s="22">
        <f>IF(BE$4&gt;=Teams!$C$80,Teams!$C$18,0)</f>
        <v>3000</v>
      </c>
      <c r="BF10" s="22">
        <f>IF(BF$4&gt;=Teams!$C$80,Teams!$C$18,0)</f>
        <v>3000</v>
      </c>
      <c r="BG10" s="22">
        <f>IF(BG$4&gt;=Teams!$C$80,Teams!$C$18,0)</f>
        <v>3000</v>
      </c>
      <c r="BH10" s="22">
        <f>IF(BH$4&gt;=Teams!$C$80,Teams!$C$18,0)</f>
        <v>3000</v>
      </c>
      <c r="BI10" s="22">
        <f>IF(BI$4&gt;=Teams!$C$80,Teams!$C$18,0)</f>
        <v>3000</v>
      </c>
      <c r="BJ10" s="22">
        <f>IF(BJ$4&gt;=Teams!$C$80,Teams!$C$18,0)</f>
        <v>3000</v>
      </c>
      <c r="BK10" s="22">
        <f>IF(BK$4&gt;=Teams!$C$80,Teams!$C$18,0)</f>
        <v>3000</v>
      </c>
      <c r="BL10" s="22">
        <f>IF(BL$4&gt;=Teams!$C$80,Teams!$C$18,0)</f>
        <v>3000</v>
      </c>
    </row>
    <row r="11" spans="1:64" x14ac:dyDescent="0.3">
      <c r="A11" s="8" t="s">
        <v>1011</v>
      </c>
      <c r="C11" s="22">
        <f>SUMPRODUCT(E11:BL11,E$5:BL$5)</f>
        <v>60300</v>
      </c>
      <c r="E11" s="22">
        <f>E10*Teams!$C$19*E9</f>
        <v>133.33333333333331</v>
      </c>
      <c r="F11" s="22">
        <f>F10*Teams!$C$19*F9</f>
        <v>466.66666666666663</v>
      </c>
      <c r="G11" s="22">
        <f>G10*Teams!$C$19*G9</f>
        <v>900</v>
      </c>
      <c r="H11" s="22">
        <f>H10*Teams!$C$19*H9</f>
        <v>1333.3333333333333</v>
      </c>
      <c r="I11" s="22">
        <f>I10*Teams!$C$19*I9</f>
        <v>1666.666666666667</v>
      </c>
      <c r="J11" s="22">
        <f>J10*Teams!$C$19*J9</f>
        <v>1800</v>
      </c>
      <c r="K11" s="22">
        <f>K10*Teams!$C$19*K9</f>
        <v>1800</v>
      </c>
      <c r="L11" s="22">
        <f>L10*Teams!$C$19*L9</f>
        <v>1800</v>
      </c>
      <c r="M11" s="22">
        <f>M10*Teams!$C$19*M9</f>
        <v>1800</v>
      </c>
      <c r="N11" s="22">
        <f>N10*Teams!$C$19*N9</f>
        <v>1800</v>
      </c>
      <c r="O11" s="22">
        <f>O10*Teams!$C$19*O9</f>
        <v>1800</v>
      </c>
      <c r="P11" s="22">
        <f>P10*Teams!$C$19*P9</f>
        <v>1800</v>
      </c>
      <c r="Q11" s="22">
        <f>Q10*Teams!$C$19*Q9</f>
        <v>1800</v>
      </c>
      <c r="R11" s="22">
        <f>R10*Teams!$C$19*R9</f>
        <v>1800</v>
      </c>
      <c r="S11" s="22">
        <f>S10*Teams!$C$19*S9</f>
        <v>1800</v>
      </c>
      <c r="T11" s="22">
        <f>T10*Teams!$C$19*T9</f>
        <v>1800</v>
      </c>
      <c r="U11" s="22">
        <f>U10*Teams!$C$19*U9</f>
        <v>1800</v>
      </c>
      <c r="V11" s="22">
        <f>V10*Teams!$C$19*V9</f>
        <v>1800</v>
      </c>
      <c r="W11" s="22">
        <f>W10*Teams!$C$19*W9</f>
        <v>1800</v>
      </c>
      <c r="X11" s="22">
        <f>X10*Teams!$C$19*X9</f>
        <v>1800</v>
      </c>
      <c r="Y11" s="22">
        <f>Y10*Teams!$C$19*Y9</f>
        <v>1800</v>
      </c>
      <c r="Z11" s="22">
        <f>Z10*Teams!$C$19*Z9</f>
        <v>1800</v>
      </c>
      <c r="AA11" s="22">
        <f>AA10*Teams!$C$19*AA9</f>
        <v>1800</v>
      </c>
      <c r="AB11" s="22">
        <f>AB10*Teams!$C$19*AB9</f>
        <v>1800</v>
      </c>
      <c r="AC11" s="22">
        <f>AC10*Teams!$C$19*AC9</f>
        <v>1800</v>
      </c>
      <c r="AD11" s="22">
        <f>AD10*Teams!$C$19*AD9</f>
        <v>1800</v>
      </c>
      <c r="AE11" s="22">
        <f>AE10*Teams!$C$19*AE9</f>
        <v>1800</v>
      </c>
      <c r="AF11" s="22">
        <f>AF10*Teams!$C$19*AF9</f>
        <v>1800</v>
      </c>
      <c r="AG11" s="22">
        <f>AG10*Teams!$C$19*AG9</f>
        <v>1800</v>
      </c>
      <c r="AH11" s="22">
        <f>AH10*Teams!$C$19*AH9</f>
        <v>1800</v>
      </c>
      <c r="AI11" s="22">
        <f>AI10*Teams!$C$19*AI9</f>
        <v>1800</v>
      </c>
      <c r="AJ11" s="22">
        <f>AJ10*Teams!$C$19*AJ9</f>
        <v>1800</v>
      </c>
      <c r="AK11" s="22">
        <f>AK10*Teams!$C$19*AK9</f>
        <v>1800</v>
      </c>
      <c r="AL11" s="22">
        <f>AL10*Teams!$C$19*AL9</f>
        <v>1800</v>
      </c>
      <c r="AM11" s="22">
        <f>AM10*Teams!$C$19*AM9</f>
        <v>1800</v>
      </c>
      <c r="AN11" s="22">
        <f>AN10*Teams!$C$19*AN9</f>
        <v>1800</v>
      </c>
      <c r="AO11" s="22">
        <f>AO10*Teams!$C$19*AO9</f>
        <v>1800</v>
      </c>
      <c r="AP11" s="22">
        <f>AP10*Teams!$C$19*AP9</f>
        <v>1800</v>
      </c>
      <c r="AQ11" s="22">
        <f>AQ10*Teams!$C$19*AQ9</f>
        <v>1800</v>
      </c>
      <c r="AR11" s="22">
        <f>AR10*Teams!$C$19*AR9</f>
        <v>1800</v>
      </c>
      <c r="AS11" s="22">
        <f>AS10*Teams!$C$19*AS9</f>
        <v>1800</v>
      </c>
      <c r="AT11" s="22">
        <f>AT10*Teams!$C$19*AT9</f>
        <v>1800</v>
      </c>
      <c r="AU11" s="22">
        <f>AU10*Teams!$C$19*AU9</f>
        <v>1800</v>
      </c>
      <c r="AV11" s="22">
        <f>AV10*Teams!$C$19*AV9</f>
        <v>1800</v>
      </c>
      <c r="AW11" s="22">
        <f>AW10*Teams!$C$19*AW9</f>
        <v>1800</v>
      </c>
      <c r="AX11" s="22">
        <f>AX10*Teams!$C$19*AX9</f>
        <v>1800</v>
      </c>
      <c r="AY11" s="22">
        <f>AY10*Teams!$C$19*AY9</f>
        <v>1800</v>
      </c>
      <c r="AZ11" s="22">
        <f>AZ10*Teams!$C$19*AZ9</f>
        <v>1800</v>
      </c>
      <c r="BA11" s="22">
        <f>BA10*Teams!$C$19*BA9</f>
        <v>1800</v>
      </c>
      <c r="BB11" s="22">
        <f>BB10*Teams!$C$19*BB9</f>
        <v>1800</v>
      </c>
      <c r="BC11" s="22">
        <f>BC10*Teams!$C$19*BC9</f>
        <v>1800</v>
      </c>
      <c r="BD11" s="22">
        <f>BD10*Teams!$C$19*BD9</f>
        <v>1800</v>
      </c>
      <c r="BE11" s="22">
        <f>BE10*Teams!$C$19*BE9</f>
        <v>1800</v>
      </c>
      <c r="BF11" s="22">
        <f>BF10*Teams!$C$19*BF9</f>
        <v>1800</v>
      </c>
      <c r="BG11" s="22">
        <f>BG10*Teams!$C$19*BG9</f>
        <v>1800</v>
      </c>
      <c r="BH11" s="22">
        <f>BH10*Teams!$C$19*BH9</f>
        <v>1800</v>
      </c>
      <c r="BI11" s="22">
        <f>BI10*Teams!$C$19*BI9</f>
        <v>1800</v>
      </c>
      <c r="BJ11" s="22">
        <f>BJ10*Teams!$C$19*BJ9</f>
        <v>1800</v>
      </c>
      <c r="BK11" s="22">
        <f>BK10*Teams!$C$19*BK9</f>
        <v>1800</v>
      </c>
      <c r="BL11" s="22">
        <f>BL10*Teams!$C$19*BL9</f>
        <v>1800</v>
      </c>
    </row>
    <row r="12" spans="1:64" x14ac:dyDescent="0.3">
      <c r="A12" s="8" t="s">
        <v>28</v>
      </c>
      <c r="C12" s="22">
        <f>SUMPRODUCT(E12:BL12,E$5:BL$5)</f>
        <v>3618000</v>
      </c>
      <c r="E12" s="22">
        <f>IF(Teams!$C$23="per user",E11*Teams!$C$24,Teams!$C$25*E9)</f>
        <v>7999.9999999999991</v>
      </c>
      <c r="F12" s="22">
        <f>IF(Teams!$C$23="per user",F11*Teams!$C$24,Teams!$C$25*F9)</f>
        <v>27999.999999999996</v>
      </c>
      <c r="G12" s="22">
        <f>IF(Teams!$C$23="per user",G11*Teams!$C$24,Teams!$C$25*G9)</f>
        <v>54000</v>
      </c>
      <c r="H12" s="22">
        <f>IF(Teams!$C$23="per user",H11*Teams!$C$24,Teams!$C$25*H9)</f>
        <v>80000</v>
      </c>
      <c r="I12" s="22">
        <f>IF(Teams!$C$23="per user",I11*Teams!$C$24,Teams!$C$25*I9)</f>
        <v>100000.00000000001</v>
      </c>
      <c r="J12" s="22">
        <f>IF(Teams!$C$23="per user",J11*Teams!$C$24,Teams!$C$25*J9)</f>
        <v>108000</v>
      </c>
      <c r="K12" s="22">
        <f>IF(Teams!$C$23="per user",K11*Teams!$C$24,Teams!$C$25*K9)</f>
        <v>108000</v>
      </c>
      <c r="L12" s="22">
        <f>IF(Teams!$C$23="per user",L11*Teams!$C$24,Teams!$C$25*L9)</f>
        <v>108000</v>
      </c>
      <c r="M12" s="22">
        <f>IF(Teams!$C$23="per user",M11*Teams!$C$24,Teams!$C$25*M9)</f>
        <v>108000</v>
      </c>
      <c r="N12" s="22">
        <f>IF(Teams!$C$23="per user",N11*Teams!$C$24,Teams!$C$25*N9)</f>
        <v>108000</v>
      </c>
      <c r="O12" s="22">
        <f>IF(Teams!$C$23="per user",O11*Teams!$C$24,Teams!$C$25*O9)</f>
        <v>108000</v>
      </c>
      <c r="P12" s="22">
        <f>IF(Teams!$C$23="per user",P11*Teams!$C$24,Teams!$C$25*P9)</f>
        <v>108000</v>
      </c>
      <c r="Q12" s="22">
        <f>IF(Teams!$C$23="per user",Q11*Teams!$C$24,Teams!$C$25*Q9)</f>
        <v>108000</v>
      </c>
      <c r="R12" s="22">
        <f>IF(Teams!$C$23="per user",R11*Teams!$C$24,Teams!$C$25*R9)</f>
        <v>108000</v>
      </c>
      <c r="S12" s="22">
        <f>IF(Teams!$C$23="per user",S11*Teams!$C$24,Teams!$C$25*S9)</f>
        <v>108000</v>
      </c>
      <c r="T12" s="22">
        <f>IF(Teams!$C$23="per user",T11*Teams!$C$24,Teams!$C$25*T9)</f>
        <v>108000</v>
      </c>
      <c r="U12" s="22">
        <f>IF(Teams!$C$23="per user",U11*Teams!$C$24,Teams!$C$25*U9)</f>
        <v>108000</v>
      </c>
      <c r="V12" s="22">
        <f>IF(Teams!$C$23="per user",V11*Teams!$C$24,Teams!$C$25*V9)</f>
        <v>108000</v>
      </c>
      <c r="W12" s="22">
        <f>IF(Teams!$C$23="per user",W11*Teams!$C$24,Teams!$C$25*W9)</f>
        <v>108000</v>
      </c>
      <c r="X12" s="22">
        <f>IF(Teams!$C$23="per user",X11*Teams!$C$24,Teams!$C$25*X9)</f>
        <v>108000</v>
      </c>
      <c r="Y12" s="22">
        <f>IF(Teams!$C$23="per user",Y11*Teams!$C$24,Teams!$C$25*Y9)</f>
        <v>108000</v>
      </c>
      <c r="Z12" s="22">
        <f>IF(Teams!$C$23="per user",Z11*Teams!$C$24,Teams!$C$25*Z9)</f>
        <v>108000</v>
      </c>
      <c r="AA12" s="22">
        <f>IF(Teams!$C$23="per user",AA11*Teams!$C$24,Teams!$C$25*AA9)</f>
        <v>108000</v>
      </c>
      <c r="AB12" s="22">
        <f>IF(Teams!$C$23="per user",AB11*Teams!$C$24,Teams!$C$25*AB9)</f>
        <v>108000</v>
      </c>
      <c r="AC12" s="22">
        <f>IF(Teams!$C$23="per user",AC11*Teams!$C$24,Teams!$C$25*AC9)</f>
        <v>108000</v>
      </c>
      <c r="AD12" s="22">
        <f>IF(Teams!$C$23="per user",AD11*Teams!$C$24,Teams!$C$25*AD9)</f>
        <v>108000</v>
      </c>
      <c r="AE12" s="22">
        <f>IF(Teams!$C$23="per user",AE11*Teams!$C$24,Teams!$C$25*AE9)</f>
        <v>108000</v>
      </c>
      <c r="AF12" s="22">
        <f>IF(Teams!$C$23="per user",AF11*Teams!$C$24,Teams!$C$25*AF9)</f>
        <v>108000</v>
      </c>
      <c r="AG12" s="22">
        <f>IF(Teams!$C$23="per user",AG11*Teams!$C$24,Teams!$C$25*AG9)</f>
        <v>108000</v>
      </c>
      <c r="AH12" s="22">
        <f>IF(Teams!$C$23="per user",AH11*Teams!$C$24,Teams!$C$25*AH9)</f>
        <v>108000</v>
      </c>
      <c r="AI12" s="22">
        <f>IF(Teams!$C$23="per user",AI11*Teams!$C$24,Teams!$C$25*AI9)</f>
        <v>108000</v>
      </c>
      <c r="AJ12" s="22">
        <f>IF(Teams!$C$23="per user",AJ11*Teams!$C$24,Teams!$C$25*AJ9)</f>
        <v>108000</v>
      </c>
      <c r="AK12" s="22">
        <f>IF(Teams!$C$23="per user",AK11*Teams!$C$24,Teams!$C$25*AK9)</f>
        <v>108000</v>
      </c>
      <c r="AL12" s="22">
        <f>IF(Teams!$C$23="per user",AL11*Teams!$C$24,Teams!$C$25*AL9)</f>
        <v>108000</v>
      </c>
      <c r="AM12" s="22">
        <f>IF(Teams!$C$23="per user",AM11*Teams!$C$24,Teams!$C$25*AM9)</f>
        <v>108000</v>
      </c>
      <c r="AN12" s="22">
        <f>IF(Teams!$C$23="per user",AN11*Teams!$C$24,Teams!$C$25*AN9)</f>
        <v>108000</v>
      </c>
      <c r="AO12" s="22">
        <f>IF(Teams!$C$23="per user",AO11*Teams!$C$24,Teams!$C$25*AO9)</f>
        <v>108000</v>
      </c>
      <c r="AP12" s="22">
        <f>IF(Teams!$C$23="per user",AP11*Teams!$C$24,Teams!$C$25*AP9)</f>
        <v>108000</v>
      </c>
      <c r="AQ12" s="22">
        <f>IF(Teams!$C$23="per user",AQ11*Teams!$C$24,Teams!$C$25*AQ9)</f>
        <v>108000</v>
      </c>
      <c r="AR12" s="22">
        <f>IF(Teams!$C$23="per user",AR11*Teams!$C$24,Teams!$C$25*AR9)</f>
        <v>108000</v>
      </c>
      <c r="AS12" s="22">
        <f>IF(Teams!$C$23="per user",AS11*Teams!$C$24,Teams!$C$25*AS9)</f>
        <v>108000</v>
      </c>
      <c r="AT12" s="22">
        <f>IF(Teams!$C$23="per user",AT11*Teams!$C$24,Teams!$C$25*AT9)</f>
        <v>108000</v>
      </c>
      <c r="AU12" s="22">
        <f>IF(Teams!$C$23="per user",AU11*Teams!$C$24,Teams!$C$25*AU9)</f>
        <v>108000</v>
      </c>
      <c r="AV12" s="22">
        <f>IF(Teams!$C$23="per user",AV11*Teams!$C$24,Teams!$C$25*AV9)</f>
        <v>108000</v>
      </c>
      <c r="AW12" s="22">
        <f>IF(Teams!$C$23="per user",AW11*Teams!$C$24,Teams!$C$25*AW9)</f>
        <v>108000</v>
      </c>
      <c r="AX12" s="22">
        <f>IF(Teams!$C$23="per user",AX11*Teams!$C$24,Teams!$C$25*AX9)</f>
        <v>108000</v>
      </c>
      <c r="AY12" s="22">
        <f>IF(Teams!$C$23="per user",AY11*Teams!$C$24,Teams!$C$25*AY9)</f>
        <v>108000</v>
      </c>
      <c r="AZ12" s="22">
        <f>IF(Teams!$C$23="per user",AZ11*Teams!$C$24,Teams!$C$25*AZ9)</f>
        <v>108000</v>
      </c>
      <c r="BA12" s="22">
        <f>IF(Teams!$C$23="per user",BA11*Teams!$C$24,Teams!$C$25*BA9)</f>
        <v>108000</v>
      </c>
      <c r="BB12" s="22">
        <f>IF(Teams!$C$23="per user",BB11*Teams!$C$24,Teams!$C$25*BB9)</f>
        <v>108000</v>
      </c>
      <c r="BC12" s="22">
        <f>IF(Teams!$C$23="per user",BC11*Teams!$C$24,Teams!$C$25*BC9)</f>
        <v>108000</v>
      </c>
      <c r="BD12" s="22">
        <f>IF(Teams!$C$23="per user",BD11*Teams!$C$24,Teams!$C$25*BD9)</f>
        <v>108000</v>
      </c>
      <c r="BE12" s="22">
        <f>IF(Teams!$C$23="per user",BE11*Teams!$C$24,Teams!$C$25*BE9)</f>
        <v>108000</v>
      </c>
      <c r="BF12" s="22">
        <f>IF(Teams!$C$23="per user",BF11*Teams!$C$24,Teams!$C$25*BF9)</f>
        <v>108000</v>
      </c>
      <c r="BG12" s="22">
        <f>IF(Teams!$C$23="per user",BG11*Teams!$C$24,Teams!$C$25*BG9)</f>
        <v>108000</v>
      </c>
      <c r="BH12" s="22">
        <f>IF(Teams!$C$23="per user",BH11*Teams!$C$24,Teams!$C$25*BH9)</f>
        <v>108000</v>
      </c>
      <c r="BI12" s="22">
        <f>IF(Teams!$C$23="per user",BI11*Teams!$C$24,Teams!$C$25*BI9)</f>
        <v>108000</v>
      </c>
      <c r="BJ12" s="22">
        <f>IF(Teams!$C$23="per user",BJ11*Teams!$C$24,Teams!$C$25*BJ9)</f>
        <v>108000</v>
      </c>
      <c r="BK12" s="22">
        <f>IF(Teams!$C$23="per user",BK11*Teams!$C$24,Teams!$C$25*BK9)</f>
        <v>108000</v>
      </c>
      <c r="BL12" s="22">
        <f>IF(Teams!$C$23="per user",BL11*Teams!$C$24,Teams!$C$25*BL9)</f>
        <v>108000</v>
      </c>
    </row>
    <row r="13" spans="1:64" x14ac:dyDescent="0.3">
      <c r="A13" s="8" t="s">
        <v>665</v>
      </c>
      <c r="B13" s="18" t="s">
        <v>435</v>
      </c>
      <c r="C13" s="44">
        <f t="shared" ref="C13:C31" si="2">SUM(D13:BL13)</f>
        <v>3024000</v>
      </c>
      <c r="E13" s="44">
        <f>E$5*Teams!$C$60*E10*Teams!$C$66</f>
        <v>84000</v>
      </c>
      <c r="F13" s="44">
        <f>F$5*Teams!$C$60*F10*Teams!$C$66</f>
        <v>84000</v>
      </c>
      <c r="G13" s="44">
        <f>G$5*Teams!$C$60*G10*Teams!$C$66</f>
        <v>84000</v>
      </c>
      <c r="H13" s="44">
        <f>H$5*Teams!$C$60*H10*Teams!$C$66</f>
        <v>84000</v>
      </c>
      <c r="I13" s="44">
        <f>I$5*Teams!$C$60*I10*Teams!$C$66</f>
        <v>84000</v>
      </c>
      <c r="J13" s="44">
        <f>J$5*Teams!$C$60*J10*Teams!$C$66</f>
        <v>84000</v>
      </c>
      <c r="K13" s="44">
        <f>K$5*Teams!$C$60*K10*Teams!$C$66</f>
        <v>84000</v>
      </c>
      <c r="L13" s="44">
        <f>L$5*Teams!$C$60*L10*Teams!$C$66</f>
        <v>84000</v>
      </c>
      <c r="M13" s="44">
        <f>M$5*Teams!$C$60*M10*Teams!$C$66</f>
        <v>84000</v>
      </c>
      <c r="N13" s="44">
        <f>N$5*Teams!$C$60*N10*Teams!$C$66</f>
        <v>84000</v>
      </c>
      <c r="O13" s="44">
        <f>O$5*Teams!$C$60*O10*Teams!$C$66</f>
        <v>84000</v>
      </c>
      <c r="P13" s="44">
        <f>P$5*Teams!$C$60*P10*Teams!$C$66</f>
        <v>84000</v>
      </c>
      <c r="Q13" s="44">
        <f>Q$5*Teams!$C$60*Q10*Teams!$C$66</f>
        <v>84000</v>
      </c>
      <c r="R13" s="44">
        <f>R$5*Teams!$C$60*R10*Teams!$C$66</f>
        <v>84000</v>
      </c>
      <c r="S13" s="44">
        <f>S$5*Teams!$C$60*S10*Teams!$C$66</f>
        <v>84000</v>
      </c>
      <c r="T13" s="44">
        <f>T$5*Teams!$C$60*T10*Teams!$C$66</f>
        <v>84000</v>
      </c>
      <c r="U13" s="44">
        <f>U$5*Teams!$C$60*U10*Teams!$C$66</f>
        <v>84000</v>
      </c>
      <c r="V13" s="44">
        <f>V$5*Teams!$C$60*V10*Teams!$C$66</f>
        <v>84000</v>
      </c>
      <c r="W13" s="44">
        <f>W$5*Teams!$C$60*W10*Teams!$C$66</f>
        <v>84000</v>
      </c>
      <c r="X13" s="44">
        <f>X$5*Teams!$C$60*X10*Teams!$C$66</f>
        <v>84000</v>
      </c>
      <c r="Y13" s="44">
        <f>Y$5*Teams!$C$60*Y10*Teams!$C$66</f>
        <v>84000</v>
      </c>
      <c r="Z13" s="44">
        <f>Z$5*Teams!$C$60*Z10*Teams!$C$66</f>
        <v>84000</v>
      </c>
      <c r="AA13" s="44">
        <f>AA$5*Teams!$C$60*AA10*Teams!$C$66</f>
        <v>84000</v>
      </c>
      <c r="AB13" s="44">
        <f>AB$5*Teams!$C$60*AB10*Teams!$C$66</f>
        <v>84000</v>
      </c>
      <c r="AC13" s="44">
        <f>AC$5*Teams!$C$60*AC10*Teams!$C$66</f>
        <v>84000</v>
      </c>
      <c r="AD13" s="44">
        <f>AD$5*Teams!$C$60*AD10*Teams!$C$66</f>
        <v>84000</v>
      </c>
      <c r="AE13" s="44">
        <f>AE$5*Teams!$C$60*AE10*Teams!$C$66</f>
        <v>84000</v>
      </c>
      <c r="AF13" s="44">
        <f>AF$5*Teams!$C$60*AF10*Teams!$C$66</f>
        <v>84000</v>
      </c>
      <c r="AG13" s="44">
        <f>AG$5*Teams!$C$60*AG10*Teams!$C$66</f>
        <v>84000</v>
      </c>
      <c r="AH13" s="44">
        <f>AH$5*Teams!$C$60*AH10*Teams!$C$66</f>
        <v>84000</v>
      </c>
      <c r="AI13" s="44">
        <f>AI$5*Teams!$C$60*AI10*Teams!$C$66</f>
        <v>84000</v>
      </c>
      <c r="AJ13" s="44">
        <f>AJ$5*Teams!$C$60*AJ10*Teams!$C$66</f>
        <v>84000</v>
      </c>
      <c r="AK13" s="44">
        <f>AK$5*Teams!$C$60*AK10*Teams!$C$66</f>
        <v>84000</v>
      </c>
      <c r="AL13" s="44">
        <f>AL$5*Teams!$C$60*AL10*Teams!$C$66</f>
        <v>84000</v>
      </c>
      <c r="AM13" s="44">
        <f>AM$5*Teams!$C$60*AM10*Teams!$C$66</f>
        <v>84000</v>
      </c>
      <c r="AN13" s="44">
        <f>AN$5*Teams!$C$60*AN10*Teams!$C$66</f>
        <v>84000</v>
      </c>
      <c r="AO13" s="44">
        <f>AO$5*Teams!$C$60*AO10*Teams!$C$66</f>
        <v>0</v>
      </c>
      <c r="AP13" s="44">
        <f>AP$5*Teams!$C$60*AP10*Teams!$C$66</f>
        <v>0</v>
      </c>
      <c r="AQ13" s="44">
        <f>AQ$5*Teams!$C$60*AQ10*Teams!$C$66</f>
        <v>0</v>
      </c>
      <c r="AR13" s="44">
        <f>AR$5*Teams!$C$60*AR10*Teams!$C$66</f>
        <v>0</v>
      </c>
      <c r="AS13" s="44">
        <f>AS$5*Teams!$C$60*AS10*Teams!$C$66</f>
        <v>0</v>
      </c>
      <c r="AT13" s="44">
        <f>AT$5*Teams!$C$60*AT10*Teams!$C$66</f>
        <v>0</v>
      </c>
      <c r="AU13" s="44">
        <f>AU$5*Teams!$C$60*AU10*Teams!$C$66</f>
        <v>0</v>
      </c>
      <c r="AV13" s="44">
        <f>AV$5*Teams!$C$60*AV10*Teams!$C$66</f>
        <v>0</v>
      </c>
      <c r="AW13" s="44">
        <f>AW$5*Teams!$C$60*AW10*Teams!$C$66</f>
        <v>0</v>
      </c>
      <c r="AX13" s="44">
        <f>AX$5*Teams!$C$60*AX10*Teams!$C$66</f>
        <v>0</v>
      </c>
      <c r="AY13" s="44">
        <f>AY$5*Teams!$C$60*AY10*Teams!$C$66</f>
        <v>0</v>
      </c>
      <c r="AZ13" s="44">
        <f>AZ$5*Teams!$C$60*AZ10*Teams!$C$66</f>
        <v>0</v>
      </c>
      <c r="BA13" s="44">
        <f>BA$5*Teams!$C$60*BA10*Teams!$C$66</f>
        <v>0</v>
      </c>
      <c r="BB13" s="44">
        <f>BB$5*Teams!$C$60*BB10*Teams!$C$66</f>
        <v>0</v>
      </c>
      <c r="BC13" s="44">
        <f>BC$5*Teams!$C$60*BC10*Teams!$C$66</f>
        <v>0</v>
      </c>
      <c r="BD13" s="44">
        <f>BD$5*Teams!$C$60*BD10*Teams!$C$66</f>
        <v>0</v>
      </c>
      <c r="BE13" s="44">
        <f>BE$5*Teams!$C$60*BE10*Teams!$C$66</f>
        <v>0</v>
      </c>
      <c r="BF13" s="44">
        <f>BF$5*Teams!$C$60*BF10*Teams!$C$66</f>
        <v>0</v>
      </c>
      <c r="BG13" s="44">
        <f>BG$5*Teams!$C$60*BG10*Teams!$C$66</f>
        <v>0</v>
      </c>
      <c r="BH13" s="44">
        <f>BH$5*Teams!$C$60*BH10*Teams!$C$66</f>
        <v>0</v>
      </c>
      <c r="BI13" s="44">
        <f>BI$5*Teams!$C$60*BI10*Teams!$C$66</f>
        <v>0</v>
      </c>
      <c r="BJ13" s="44">
        <f>BJ$5*Teams!$C$60*BJ10*Teams!$C$66</f>
        <v>0</v>
      </c>
      <c r="BK13" s="44">
        <f>BK$5*Teams!$C$60*BK10*Teams!$C$66</f>
        <v>0</v>
      </c>
      <c r="BL13" s="44">
        <f>BL$5*Teams!$C$60*BL10*Teams!$C$66</f>
        <v>0</v>
      </c>
    </row>
    <row r="14" spans="1:64" x14ac:dyDescent="0.3">
      <c r="A14" s="8" t="s">
        <v>666</v>
      </c>
      <c r="B14" s="18" t="s">
        <v>435</v>
      </c>
      <c r="C14" s="44">
        <f t="shared" si="2"/>
        <v>0</v>
      </c>
      <c r="E14" s="44">
        <f>E$5*IF(Teams!$C$61=1,E11*((1-Teams!$C$13)*MAX(0,Teams!$C$72*$C$8-Teams!$C$12)+Teams!$C$13*MAX(0,Teams!$C$73*$C$8-Teams!$C$12)),IF(Teams!$C$62=1,E12*$C$8,0))</f>
        <v>0</v>
      </c>
      <c r="F14" s="44">
        <f>F$5*IF(Teams!$C$61=1,F11*((1-Teams!$C$13)*MAX(0,Teams!$C$72*$C$8-Teams!$C$12)+Teams!$C$13*MAX(0,Teams!$C$73*$C$8-Teams!$C$12)),IF(Teams!$C$62=1,F12*$C$8,0))</f>
        <v>0</v>
      </c>
      <c r="G14" s="44">
        <f>G$5*IF(Teams!$C$61=1,G11*((1-Teams!$C$13)*MAX(0,Teams!$C$72*$C$8-Teams!$C$12)+Teams!$C$13*MAX(0,Teams!$C$73*$C$8-Teams!$C$12)),IF(Teams!$C$62=1,G12*$C$8,0))</f>
        <v>0</v>
      </c>
      <c r="H14" s="44">
        <f>H$5*IF(Teams!$C$61=1,H11*((1-Teams!$C$13)*MAX(0,Teams!$C$72*$C$8-Teams!$C$12)+Teams!$C$13*MAX(0,Teams!$C$73*$C$8-Teams!$C$12)),IF(Teams!$C$62=1,H12*$C$8,0))</f>
        <v>0</v>
      </c>
      <c r="I14" s="44">
        <f>I$5*IF(Teams!$C$61=1,I11*((1-Teams!$C$13)*MAX(0,Teams!$C$72*$C$8-Teams!$C$12)+Teams!$C$13*MAX(0,Teams!$C$73*$C$8-Teams!$C$12)),IF(Teams!$C$62=1,I12*$C$8,0))</f>
        <v>0</v>
      </c>
      <c r="J14" s="44">
        <f>J$5*IF(Teams!$C$61=1,J11*((1-Teams!$C$13)*MAX(0,Teams!$C$72*$C$8-Teams!$C$12)+Teams!$C$13*MAX(0,Teams!$C$73*$C$8-Teams!$C$12)),IF(Teams!$C$62=1,J12*$C$8,0))</f>
        <v>0</v>
      </c>
      <c r="K14" s="44">
        <f>K$5*IF(Teams!$C$61=1,K11*((1-Teams!$C$13)*MAX(0,Teams!$C$72*$C$8-Teams!$C$12)+Teams!$C$13*MAX(0,Teams!$C$73*$C$8-Teams!$C$12)),IF(Teams!$C$62=1,K12*$C$8,0))</f>
        <v>0</v>
      </c>
      <c r="L14" s="44">
        <f>L$5*IF(Teams!$C$61=1,L11*((1-Teams!$C$13)*MAX(0,Teams!$C$72*$C$8-Teams!$C$12)+Teams!$C$13*MAX(0,Teams!$C$73*$C$8-Teams!$C$12)),IF(Teams!$C$62=1,L12*$C$8,0))</f>
        <v>0</v>
      </c>
      <c r="M14" s="44">
        <f>M$5*IF(Teams!$C$61=1,M11*((1-Teams!$C$13)*MAX(0,Teams!$C$72*$C$8-Teams!$C$12)+Teams!$C$13*MAX(0,Teams!$C$73*$C$8-Teams!$C$12)),IF(Teams!$C$62=1,M12*$C$8,0))</f>
        <v>0</v>
      </c>
      <c r="N14" s="44">
        <f>N$5*IF(Teams!$C$61=1,N11*((1-Teams!$C$13)*MAX(0,Teams!$C$72*$C$8-Teams!$C$12)+Teams!$C$13*MAX(0,Teams!$C$73*$C$8-Teams!$C$12)),IF(Teams!$C$62=1,N12*$C$8,0))</f>
        <v>0</v>
      </c>
      <c r="O14" s="44">
        <f>O$5*IF(Teams!$C$61=1,O11*((1-Teams!$C$13)*MAX(0,Teams!$C$72*$C$8-Teams!$C$12)+Teams!$C$13*MAX(0,Teams!$C$73*$C$8-Teams!$C$12)),IF(Teams!$C$62=1,O12*$C$8,0))</f>
        <v>0</v>
      </c>
      <c r="P14" s="44">
        <f>P$5*IF(Teams!$C$61=1,P11*((1-Teams!$C$13)*MAX(0,Teams!$C$72*$C$8-Teams!$C$12)+Teams!$C$13*MAX(0,Teams!$C$73*$C$8-Teams!$C$12)),IF(Teams!$C$62=1,P12*$C$8,0))</f>
        <v>0</v>
      </c>
      <c r="Q14" s="44">
        <f>Q$5*IF(Teams!$C$61=1,Q11*((1-Teams!$C$13)*MAX(0,Teams!$C$72*$C$8-Teams!$C$12)+Teams!$C$13*MAX(0,Teams!$C$73*$C$8-Teams!$C$12)),IF(Teams!$C$62=1,Q12*$C$8,0))</f>
        <v>0</v>
      </c>
      <c r="R14" s="44">
        <f>R$5*IF(Teams!$C$61=1,R11*((1-Teams!$C$13)*MAX(0,Teams!$C$72*$C$8-Teams!$C$12)+Teams!$C$13*MAX(0,Teams!$C$73*$C$8-Teams!$C$12)),IF(Teams!$C$62=1,R12*$C$8,0))</f>
        <v>0</v>
      </c>
      <c r="S14" s="44">
        <f>S$5*IF(Teams!$C$61=1,S11*((1-Teams!$C$13)*MAX(0,Teams!$C$72*$C$8-Teams!$C$12)+Teams!$C$13*MAX(0,Teams!$C$73*$C$8-Teams!$C$12)),IF(Teams!$C$62=1,S12*$C$8,0))</f>
        <v>0</v>
      </c>
      <c r="T14" s="44">
        <f>T$5*IF(Teams!$C$61=1,T11*((1-Teams!$C$13)*MAX(0,Teams!$C$72*$C$8-Teams!$C$12)+Teams!$C$13*MAX(0,Teams!$C$73*$C$8-Teams!$C$12)),IF(Teams!$C$62=1,T12*$C$8,0))</f>
        <v>0</v>
      </c>
      <c r="U14" s="44">
        <f>U$5*IF(Teams!$C$61=1,U11*((1-Teams!$C$13)*MAX(0,Teams!$C$72*$C$8-Teams!$C$12)+Teams!$C$13*MAX(0,Teams!$C$73*$C$8-Teams!$C$12)),IF(Teams!$C$62=1,U12*$C$8,0))</f>
        <v>0</v>
      </c>
      <c r="V14" s="44">
        <f>V$5*IF(Teams!$C$61=1,V11*((1-Teams!$C$13)*MAX(0,Teams!$C$72*$C$8-Teams!$C$12)+Teams!$C$13*MAX(0,Teams!$C$73*$C$8-Teams!$C$12)),IF(Teams!$C$62=1,V12*$C$8,0))</f>
        <v>0</v>
      </c>
      <c r="W14" s="44">
        <f>W$5*IF(Teams!$C$61=1,W11*((1-Teams!$C$13)*MAX(0,Teams!$C$72*$C$8-Teams!$C$12)+Teams!$C$13*MAX(0,Teams!$C$73*$C$8-Teams!$C$12)),IF(Teams!$C$62=1,W12*$C$8,0))</f>
        <v>0</v>
      </c>
      <c r="X14" s="44">
        <f>X$5*IF(Teams!$C$61=1,X11*((1-Teams!$C$13)*MAX(0,Teams!$C$72*$C$8-Teams!$C$12)+Teams!$C$13*MAX(0,Teams!$C$73*$C$8-Teams!$C$12)),IF(Teams!$C$62=1,X12*$C$8,0))</f>
        <v>0</v>
      </c>
      <c r="Y14" s="44">
        <f>Y$5*IF(Teams!$C$61=1,Y11*((1-Teams!$C$13)*MAX(0,Teams!$C$72*$C$8-Teams!$C$12)+Teams!$C$13*MAX(0,Teams!$C$73*$C$8-Teams!$C$12)),IF(Teams!$C$62=1,Y12*$C$8,0))</f>
        <v>0</v>
      </c>
      <c r="Z14" s="44">
        <f>Z$5*IF(Teams!$C$61=1,Z11*((1-Teams!$C$13)*MAX(0,Teams!$C$72*$C$8-Teams!$C$12)+Teams!$C$13*MAX(0,Teams!$C$73*$C$8-Teams!$C$12)),IF(Teams!$C$62=1,Z12*$C$8,0))</f>
        <v>0</v>
      </c>
      <c r="AA14" s="44">
        <f>AA$5*IF(Teams!$C$61=1,AA11*((1-Teams!$C$13)*MAX(0,Teams!$C$72*$C$8-Teams!$C$12)+Teams!$C$13*MAX(0,Teams!$C$73*$C$8-Teams!$C$12)),IF(Teams!$C$62=1,AA12*$C$8,0))</f>
        <v>0</v>
      </c>
      <c r="AB14" s="44">
        <f>AB$5*IF(Teams!$C$61=1,AB11*((1-Teams!$C$13)*MAX(0,Teams!$C$72*$C$8-Teams!$C$12)+Teams!$C$13*MAX(0,Teams!$C$73*$C$8-Teams!$C$12)),IF(Teams!$C$62=1,AB12*$C$8,0))</f>
        <v>0</v>
      </c>
      <c r="AC14" s="44">
        <f>AC$5*IF(Teams!$C$61=1,AC11*((1-Teams!$C$13)*MAX(0,Teams!$C$72*$C$8-Teams!$C$12)+Teams!$C$13*MAX(0,Teams!$C$73*$C$8-Teams!$C$12)),IF(Teams!$C$62=1,AC12*$C$8,0))</f>
        <v>0</v>
      </c>
      <c r="AD14" s="44">
        <f>AD$5*IF(Teams!$C$61=1,AD11*((1-Teams!$C$13)*MAX(0,Teams!$C$72*$C$8-Teams!$C$12)+Teams!$C$13*MAX(0,Teams!$C$73*$C$8-Teams!$C$12)),IF(Teams!$C$62=1,AD12*$C$8,0))</f>
        <v>0</v>
      </c>
      <c r="AE14" s="44">
        <f>AE$5*IF(Teams!$C$61=1,AE11*((1-Teams!$C$13)*MAX(0,Teams!$C$72*$C$8-Teams!$C$12)+Teams!$C$13*MAX(0,Teams!$C$73*$C$8-Teams!$C$12)),IF(Teams!$C$62=1,AE12*$C$8,0))</f>
        <v>0</v>
      </c>
      <c r="AF14" s="44">
        <f>AF$5*IF(Teams!$C$61=1,AF11*((1-Teams!$C$13)*MAX(0,Teams!$C$72*$C$8-Teams!$C$12)+Teams!$C$13*MAX(0,Teams!$C$73*$C$8-Teams!$C$12)),IF(Teams!$C$62=1,AF12*$C$8,0))</f>
        <v>0</v>
      </c>
      <c r="AG14" s="44">
        <f>AG$5*IF(Teams!$C$61=1,AG11*((1-Teams!$C$13)*MAX(0,Teams!$C$72*$C$8-Teams!$C$12)+Teams!$C$13*MAX(0,Teams!$C$73*$C$8-Teams!$C$12)),IF(Teams!$C$62=1,AG12*$C$8,0))</f>
        <v>0</v>
      </c>
      <c r="AH14" s="44">
        <f>AH$5*IF(Teams!$C$61=1,AH11*((1-Teams!$C$13)*MAX(0,Teams!$C$72*$C$8-Teams!$C$12)+Teams!$C$13*MAX(0,Teams!$C$73*$C$8-Teams!$C$12)),IF(Teams!$C$62=1,AH12*$C$8,0))</f>
        <v>0</v>
      </c>
      <c r="AI14" s="44">
        <f>AI$5*IF(Teams!$C$61=1,AI11*((1-Teams!$C$13)*MAX(0,Teams!$C$72*$C$8-Teams!$C$12)+Teams!$C$13*MAX(0,Teams!$C$73*$C$8-Teams!$C$12)),IF(Teams!$C$62=1,AI12*$C$8,0))</f>
        <v>0</v>
      </c>
      <c r="AJ14" s="44">
        <f>AJ$5*IF(Teams!$C$61=1,AJ11*((1-Teams!$C$13)*MAX(0,Teams!$C$72*$C$8-Teams!$C$12)+Teams!$C$13*MAX(0,Teams!$C$73*$C$8-Teams!$C$12)),IF(Teams!$C$62=1,AJ12*$C$8,0))</f>
        <v>0</v>
      </c>
      <c r="AK14" s="44">
        <f>AK$5*IF(Teams!$C$61=1,AK11*((1-Teams!$C$13)*MAX(0,Teams!$C$72*$C$8-Teams!$C$12)+Teams!$C$13*MAX(0,Teams!$C$73*$C$8-Teams!$C$12)),IF(Teams!$C$62=1,AK12*$C$8,0))</f>
        <v>0</v>
      </c>
      <c r="AL14" s="44">
        <f>AL$5*IF(Teams!$C$61=1,AL11*((1-Teams!$C$13)*MAX(0,Teams!$C$72*$C$8-Teams!$C$12)+Teams!$C$13*MAX(0,Teams!$C$73*$C$8-Teams!$C$12)),IF(Teams!$C$62=1,AL12*$C$8,0))</f>
        <v>0</v>
      </c>
      <c r="AM14" s="44">
        <f>AM$5*IF(Teams!$C$61=1,AM11*((1-Teams!$C$13)*MAX(0,Teams!$C$72*$C$8-Teams!$C$12)+Teams!$C$13*MAX(0,Teams!$C$73*$C$8-Teams!$C$12)),IF(Teams!$C$62=1,AM12*$C$8,0))</f>
        <v>0</v>
      </c>
      <c r="AN14" s="44">
        <f>AN$5*IF(Teams!$C$61=1,AN11*((1-Teams!$C$13)*MAX(0,Teams!$C$72*$C$8-Teams!$C$12)+Teams!$C$13*MAX(0,Teams!$C$73*$C$8-Teams!$C$12)),IF(Teams!$C$62=1,AN12*$C$8,0))</f>
        <v>0</v>
      </c>
      <c r="AO14" s="44">
        <f>AO$5*IF(Teams!$C$61=1,AO11*((1-Teams!$C$13)*MAX(0,Teams!$C$72*$C$8-Teams!$C$12)+Teams!$C$13*MAX(0,Teams!$C$73*$C$8-Teams!$C$12)),IF(Teams!$C$62=1,AO12*$C$8,0))</f>
        <v>0</v>
      </c>
      <c r="AP14" s="44">
        <f>AP$5*IF(Teams!$C$61=1,AP11*((1-Teams!$C$13)*MAX(0,Teams!$C$72*$C$8-Teams!$C$12)+Teams!$C$13*MAX(0,Teams!$C$73*$C$8-Teams!$C$12)),IF(Teams!$C$62=1,AP12*$C$8,0))</f>
        <v>0</v>
      </c>
      <c r="AQ14" s="44">
        <f>AQ$5*IF(Teams!$C$61=1,AQ11*((1-Teams!$C$13)*MAX(0,Teams!$C$72*$C$8-Teams!$C$12)+Teams!$C$13*MAX(0,Teams!$C$73*$C$8-Teams!$C$12)),IF(Teams!$C$62=1,AQ12*$C$8,0))</f>
        <v>0</v>
      </c>
      <c r="AR14" s="44">
        <f>AR$5*IF(Teams!$C$61=1,AR11*((1-Teams!$C$13)*MAX(0,Teams!$C$72*$C$8-Teams!$C$12)+Teams!$C$13*MAX(0,Teams!$C$73*$C$8-Teams!$C$12)),IF(Teams!$C$62=1,AR12*$C$8,0))</f>
        <v>0</v>
      </c>
      <c r="AS14" s="44">
        <f>AS$5*IF(Teams!$C$61=1,AS11*((1-Teams!$C$13)*MAX(0,Teams!$C$72*$C$8-Teams!$C$12)+Teams!$C$13*MAX(0,Teams!$C$73*$C$8-Teams!$C$12)),IF(Teams!$C$62=1,AS12*$C$8,0))</f>
        <v>0</v>
      </c>
      <c r="AT14" s="44">
        <f>AT$5*IF(Teams!$C$61=1,AT11*((1-Teams!$C$13)*MAX(0,Teams!$C$72*$C$8-Teams!$C$12)+Teams!$C$13*MAX(0,Teams!$C$73*$C$8-Teams!$C$12)),IF(Teams!$C$62=1,AT12*$C$8,0))</f>
        <v>0</v>
      </c>
      <c r="AU14" s="44">
        <f>AU$5*IF(Teams!$C$61=1,AU11*((1-Teams!$C$13)*MAX(0,Teams!$C$72*$C$8-Teams!$C$12)+Teams!$C$13*MAX(0,Teams!$C$73*$C$8-Teams!$C$12)),IF(Teams!$C$62=1,AU12*$C$8,0))</f>
        <v>0</v>
      </c>
      <c r="AV14" s="44">
        <f>AV$5*IF(Teams!$C$61=1,AV11*((1-Teams!$C$13)*MAX(0,Teams!$C$72*$C$8-Teams!$C$12)+Teams!$C$13*MAX(0,Teams!$C$73*$C$8-Teams!$C$12)),IF(Teams!$C$62=1,AV12*$C$8,0))</f>
        <v>0</v>
      </c>
      <c r="AW14" s="44">
        <f>AW$5*IF(Teams!$C$61=1,AW11*((1-Teams!$C$13)*MAX(0,Teams!$C$72*$C$8-Teams!$C$12)+Teams!$C$13*MAX(0,Teams!$C$73*$C$8-Teams!$C$12)),IF(Teams!$C$62=1,AW12*$C$8,0))</f>
        <v>0</v>
      </c>
      <c r="AX14" s="44">
        <f>AX$5*IF(Teams!$C$61=1,AX11*((1-Teams!$C$13)*MAX(0,Teams!$C$72*$C$8-Teams!$C$12)+Teams!$C$13*MAX(0,Teams!$C$73*$C$8-Teams!$C$12)),IF(Teams!$C$62=1,AX12*$C$8,0))</f>
        <v>0</v>
      </c>
      <c r="AY14" s="44">
        <f>AY$5*IF(Teams!$C$61=1,AY11*((1-Teams!$C$13)*MAX(0,Teams!$C$72*$C$8-Teams!$C$12)+Teams!$C$13*MAX(0,Teams!$C$73*$C$8-Teams!$C$12)),IF(Teams!$C$62=1,AY12*$C$8,0))</f>
        <v>0</v>
      </c>
      <c r="AZ14" s="44">
        <f>AZ$5*IF(Teams!$C$61=1,AZ11*((1-Teams!$C$13)*MAX(0,Teams!$C$72*$C$8-Teams!$C$12)+Teams!$C$13*MAX(0,Teams!$C$73*$C$8-Teams!$C$12)),IF(Teams!$C$62=1,AZ12*$C$8,0))</f>
        <v>0</v>
      </c>
      <c r="BA14" s="44">
        <f>BA$5*IF(Teams!$C$61=1,BA11*((1-Teams!$C$13)*MAX(0,Teams!$C$72*$C$8-Teams!$C$12)+Teams!$C$13*MAX(0,Teams!$C$73*$C$8-Teams!$C$12)),IF(Teams!$C$62=1,BA12*$C$8,0))</f>
        <v>0</v>
      </c>
      <c r="BB14" s="44">
        <f>BB$5*IF(Teams!$C$61=1,BB11*((1-Teams!$C$13)*MAX(0,Teams!$C$72*$C$8-Teams!$C$12)+Teams!$C$13*MAX(0,Teams!$C$73*$C$8-Teams!$C$12)),IF(Teams!$C$62=1,BB12*$C$8,0))</f>
        <v>0</v>
      </c>
      <c r="BC14" s="44">
        <f>BC$5*IF(Teams!$C$61=1,BC11*((1-Teams!$C$13)*MAX(0,Teams!$C$72*$C$8-Teams!$C$12)+Teams!$C$13*MAX(0,Teams!$C$73*$C$8-Teams!$C$12)),IF(Teams!$C$62=1,BC12*$C$8,0))</f>
        <v>0</v>
      </c>
      <c r="BD14" s="44">
        <f>BD$5*IF(Teams!$C$61=1,BD11*((1-Teams!$C$13)*MAX(0,Teams!$C$72*$C$8-Teams!$C$12)+Teams!$C$13*MAX(0,Teams!$C$73*$C$8-Teams!$C$12)),IF(Teams!$C$62=1,BD12*$C$8,0))</f>
        <v>0</v>
      </c>
      <c r="BE14" s="44">
        <f>BE$5*IF(Teams!$C$61=1,BE11*((1-Teams!$C$13)*MAX(0,Teams!$C$72*$C$8-Teams!$C$12)+Teams!$C$13*MAX(0,Teams!$C$73*$C$8-Teams!$C$12)),IF(Teams!$C$62=1,BE12*$C$8,0))</f>
        <v>0</v>
      </c>
      <c r="BF14" s="44">
        <f>BF$5*IF(Teams!$C$61=1,BF11*((1-Teams!$C$13)*MAX(0,Teams!$C$72*$C$8-Teams!$C$12)+Teams!$C$13*MAX(0,Teams!$C$73*$C$8-Teams!$C$12)),IF(Teams!$C$62=1,BF12*$C$8,0))</f>
        <v>0</v>
      </c>
      <c r="BG14" s="44">
        <f>BG$5*IF(Teams!$C$61=1,BG11*((1-Teams!$C$13)*MAX(0,Teams!$C$72*$C$8-Teams!$C$12)+Teams!$C$13*MAX(0,Teams!$C$73*$C$8-Teams!$C$12)),IF(Teams!$C$62=1,BG12*$C$8,0))</f>
        <v>0</v>
      </c>
      <c r="BH14" s="44">
        <f>BH$5*IF(Teams!$C$61=1,BH11*((1-Teams!$C$13)*MAX(0,Teams!$C$72*$C$8-Teams!$C$12)+Teams!$C$13*MAX(0,Teams!$C$73*$C$8-Teams!$C$12)),IF(Teams!$C$62=1,BH12*$C$8,0))</f>
        <v>0</v>
      </c>
      <c r="BI14" s="44">
        <f>BI$5*IF(Teams!$C$61=1,BI11*((1-Teams!$C$13)*MAX(0,Teams!$C$72*$C$8-Teams!$C$12)+Teams!$C$13*MAX(0,Teams!$C$73*$C$8-Teams!$C$12)),IF(Teams!$C$62=1,BI12*$C$8,0))</f>
        <v>0</v>
      </c>
      <c r="BJ14" s="44">
        <f>BJ$5*IF(Teams!$C$61=1,BJ11*((1-Teams!$C$13)*MAX(0,Teams!$C$72*$C$8-Teams!$C$12)+Teams!$C$13*MAX(0,Teams!$C$73*$C$8-Teams!$C$12)),IF(Teams!$C$62=1,BJ12*$C$8,0))</f>
        <v>0</v>
      </c>
      <c r="BK14" s="44">
        <f>BK$5*IF(Teams!$C$61=1,BK11*((1-Teams!$C$13)*MAX(0,Teams!$C$72*$C$8-Teams!$C$12)+Teams!$C$13*MAX(0,Teams!$C$73*$C$8-Teams!$C$12)),IF(Teams!$C$62=1,BK12*$C$8,0))</f>
        <v>0</v>
      </c>
      <c r="BL14" s="44">
        <f>BL$5*IF(Teams!$C$61=1,BL11*((1-Teams!$C$13)*MAX(0,Teams!$C$72*$C$8-Teams!$C$12)+Teams!$C$13*MAX(0,Teams!$C$73*$C$8-Teams!$C$12)),IF(Teams!$C$62=1,BL12*$C$8,0))</f>
        <v>0</v>
      </c>
    </row>
    <row r="15" spans="1:64" x14ac:dyDescent="0.3">
      <c r="A15" s="8" t="s">
        <v>667</v>
      </c>
      <c r="B15" s="18" t="s">
        <v>435</v>
      </c>
      <c r="C15" s="44">
        <f t="shared" si="2"/>
        <v>0</v>
      </c>
      <c r="E15" s="44">
        <f>E$5*Teams!$C$63*E12*Teams!$C$67</f>
        <v>0</v>
      </c>
      <c r="F15" s="44">
        <f>F$5*Teams!$C$63*F12*Teams!$C$67</f>
        <v>0</v>
      </c>
      <c r="G15" s="44">
        <f>G$5*Teams!$C$63*G12*Teams!$C$67</f>
        <v>0</v>
      </c>
      <c r="H15" s="44">
        <f>H$5*Teams!$C$63*H12*Teams!$C$67</f>
        <v>0</v>
      </c>
      <c r="I15" s="44">
        <f>I$5*Teams!$C$63*I12*Teams!$C$67</f>
        <v>0</v>
      </c>
      <c r="J15" s="44">
        <f>J$5*Teams!$C$63*J12*Teams!$C$67</f>
        <v>0</v>
      </c>
      <c r="K15" s="44">
        <f>K$5*Teams!$C$63*K12*Teams!$C$67</f>
        <v>0</v>
      </c>
      <c r="L15" s="44">
        <f>L$5*Teams!$C$63*L12*Teams!$C$67</f>
        <v>0</v>
      </c>
      <c r="M15" s="44">
        <f>M$5*Teams!$C$63*M12*Teams!$C$67</f>
        <v>0</v>
      </c>
      <c r="N15" s="44">
        <f>N$5*Teams!$C$63*N12*Teams!$C$67</f>
        <v>0</v>
      </c>
      <c r="O15" s="44">
        <f>O$5*Teams!$C$63*O12*Teams!$C$67</f>
        <v>0</v>
      </c>
      <c r="P15" s="44">
        <f>P$5*Teams!$C$63*P12*Teams!$C$67</f>
        <v>0</v>
      </c>
      <c r="Q15" s="44">
        <f>Q$5*Teams!$C$63*Q12*Teams!$C$67</f>
        <v>0</v>
      </c>
      <c r="R15" s="44">
        <f>R$5*Teams!$C$63*R12*Teams!$C$67</f>
        <v>0</v>
      </c>
      <c r="S15" s="44">
        <f>S$5*Teams!$C$63*S12*Teams!$C$67</f>
        <v>0</v>
      </c>
      <c r="T15" s="44">
        <f>T$5*Teams!$C$63*T12*Teams!$C$67</f>
        <v>0</v>
      </c>
      <c r="U15" s="44">
        <f>U$5*Teams!$C$63*U12*Teams!$C$67</f>
        <v>0</v>
      </c>
      <c r="V15" s="44">
        <f>V$5*Teams!$C$63*V12*Teams!$C$67</f>
        <v>0</v>
      </c>
      <c r="W15" s="44">
        <f>W$5*Teams!$C$63*W12*Teams!$C$67</f>
        <v>0</v>
      </c>
      <c r="X15" s="44">
        <f>X$5*Teams!$C$63*X12*Teams!$C$67</f>
        <v>0</v>
      </c>
      <c r="Y15" s="44">
        <f>Y$5*Teams!$C$63*Y12*Teams!$C$67</f>
        <v>0</v>
      </c>
      <c r="Z15" s="44">
        <f>Z$5*Teams!$C$63*Z12*Teams!$C$67</f>
        <v>0</v>
      </c>
      <c r="AA15" s="44">
        <f>AA$5*Teams!$C$63*AA12*Teams!$C$67</f>
        <v>0</v>
      </c>
      <c r="AB15" s="44">
        <f>AB$5*Teams!$C$63*AB12*Teams!$C$67</f>
        <v>0</v>
      </c>
      <c r="AC15" s="44">
        <f>AC$5*Teams!$C$63*AC12*Teams!$C$67</f>
        <v>0</v>
      </c>
      <c r="AD15" s="44">
        <f>AD$5*Teams!$C$63*AD12*Teams!$C$67</f>
        <v>0</v>
      </c>
      <c r="AE15" s="44">
        <f>AE$5*Teams!$C$63*AE12*Teams!$C$67</f>
        <v>0</v>
      </c>
      <c r="AF15" s="44">
        <f>AF$5*Teams!$C$63*AF12*Teams!$C$67</f>
        <v>0</v>
      </c>
      <c r="AG15" s="44">
        <f>AG$5*Teams!$C$63*AG12*Teams!$C$67</f>
        <v>0</v>
      </c>
      <c r="AH15" s="44">
        <f>AH$5*Teams!$C$63*AH12*Teams!$C$67</f>
        <v>0</v>
      </c>
      <c r="AI15" s="44">
        <f>AI$5*Teams!$C$63*AI12*Teams!$C$67</f>
        <v>0</v>
      </c>
      <c r="AJ15" s="44">
        <f>AJ$5*Teams!$C$63*AJ12*Teams!$C$67</f>
        <v>0</v>
      </c>
      <c r="AK15" s="44">
        <f>AK$5*Teams!$C$63*AK12*Teams!$C$67</f>
        <v>0</v>
      </c>
      <c r="AL15" s="44">
        <f>AL$5*Teams!$C$63*AL12*Teams!$C$67</f>
        <v>0</v>
      </c>
      <c r="AM15" s="44">
        <f>AM$5*Teams!$C$63*AM12*Teams!$C$67</f>
        <v>0</v>
      </c>
      <c r="AN15" s="44">
        <f>AN$5*Teams!$C$63*AN12*Teams!$C$67</f>
        <v>0</v>
      </c>
      <c r="AO15" s="44">
        <f>AO$5*Teams!$C$63*AO12*Teams!$C$67</f>
        <v>0</v>
      </c>
      <c r="AP15" s="44">
        <f>AP$5*Teams!$C$63*AP12*Teams!$C$67</f>
        <v>0</v>
      </c>
      <c r="AQ15" s="44">
        <f>AQ$5*Teams!$C$63*AQ12*Teams!$C$67</f>
        <v>0</v>
      </c>
      <c r="AR15" s="44">
        <f>AR$5*Teams!$C$63*AR12*Teams!$C$67</f>
        <v>0</v>
      </c>
      <c r="AS15" s="44">
        <f>AS$5*Teams!$C$63*AS12*Teams!$C$67</f>
        <v>0</v>
      </c>
      <c r="AT15" s="44">
        <f>AT$5*Teams!$C$63*AT12*Teams!$C$67</f>
        <v>0</v>
      </c>
      <c r="AU15" s="44">
        <f>AU$5*Teams!$C$63*AU12*Teams!$C$67</f>
        <v>0</v>
      </c>
      <c r="AV15" s="44">
        <f>AV$5*Teams!$C$63*AV12*Teams!$C$67</f>
        <v>0</v>
      </c>
      <c r="AW15" s="44">
        <f>AW$5*Teams!$C$63*AW12*Teams!$C$67</f>
        <v>0</v>
      </c>
      <c r="AX15" s="44">
        <f>AX$5*Teams!$C$63*AX12*Teams!$C$67</f>
        <v>0</v>
      </c>
      <c r="AY15" s="44">
        <f>AY$5*Teams!$C$63*AY12*Teams!$C$67</f>
        <v>0</v>
      </c>
      <c r="AZ15" s="44">
        <f>AZ$5*Teams!$C$63*AZ12*Teams!$C$67</f>
        <v>0</v>
      </c>
      <c r="BA15" s="44">
        <f>BA$5*Teams!$C$63*BA12*Teams!$C$67</f>
        <v>0</v>
      </c>
      <c r="BB15" s="44">
        <f>BB$5*Teams!$C$63*BB12*Teams!$C$67</f>
        <v>0</v>
      </c>
      <c r="BC15" s="44">
        <f>BC$5*Teams!$C$63*BC12*Teams!$C$67</f>
        <v>0</v>
      </c>
      <c r="BD15" s="44">
        <f>BD$5*Teams!$C$63*BD12*Teams!$C$67</f>
        <v>0</v>
      </c>
      <c r="BE15" s="44">
        <f>BE$5*Teams!$C$63*BE12*Teams!$C$67</f>
        <v>0</v>
      </c>
      <c r="BF15" s="44">
        <f>BF$5*Teams!$C$63*BF12*Teams!$C$67</f>
        <v>0</v>
      </c>
      <c r="BG15" s="44">
        <f>BG$5*Teams!$C$63*BG12*Teams!$C$67</f>
        <v>0</v>
      </c>
      <c r="BH15" s="44">
        <f>BH$5*Teams!$C$63*BH12*Teams!$C$67</f>
        <v>0</v>
      </c>
      <c r="BI15" s="44">
        <f>BI$5*Teams!$C$63*BI12*Teams!$C$67</f>
        <v>0</v>
      </c>
      <c r="BJ15" s="44">
        <f>BJ$5*Teams!$C$63*BJ12*Teams!$C$67</f>
        <v>0</v>
      </c>
      <c r="BK15" s="44">
        <f>BK$5*Teams!$C$63*BK12*Teams!$C$67</f>
        <v>0</v>
      </c>
      <c r="BL15" s="44">
        <f>BL$5*Teams!$C$63*BL12*Teams!$C$67</f>
        <v>0</v>
      </c>
    </row>
    <row r="16" spans="1:64" x14ac:dyDescent="0.3">
      <c r="A16" s="8" t="s">
        <v>668</v>
      </c>
      <c r="B16" s="18" t="s">
        <v>435</v>
      </c>
      <c r="C16" s="44">
        <f t="shared" si="2"/>
        <v>0</v>
      </c>
      <c r="E16" s="44">
        <f>E$5*Teams!$C$65*E12*Teams!$C$74</f>
        <v>0</v>
      </c>
      <c r="F16" s="44">
        <f>F$5*Teams!$C$65*F12*Teams!$C$74</f>
        <v>0</v>
      </c>
      <c r="G16" s="44">
        <f>G$5*Teams!$C$65*G12*Teams!$C$74</f>
        <v>0</v>
      </c>
      <c r="H16" s="44">
        <f>H$5*Teams!$C$65*H12*Teams!$C$74</f>
        <v>0</v>
      </c>
      <c r="I16" s="44">
        <f>I$5*Teams!$C$65*I12*Teams!$C$74</f>
        <v>0</v>
      </c>
      <c r="J16" s="44">
        <f>J$5*Teams!$C$65*J12*Teams!$C$74</f>
        <v>0</v>
      </c>
      <c r="K16" s="44">
        <f>K$5*Teams!$C$65*K12*Teams!$C$74</f>
        <v>0</v>
      </c>
      <c r="L16" s="44">
        <f>L$5*Teams!$C$65*L12*Teams!$C$74</f>
        <v>0</v>
      </c>
      <c r="M16" s="44">
        <f>M$5*Teams!$C$65*M12*Teams!$C$74</f>
        <v>0</v>
      </c>
      <c r="N16" s="44">
        <f>N$5*Teams!$C$65*N12*Teams!$C$74</f>
        <v>0</v>
      </c>
      <c r="O16" s="44">
        <f>O$5*Teams!$C$65*O12*Teams!$C$74</f>
        <v>0</v>
      </c>
      <c r="P16" s="44">
        <f>P$5*Teams!$C$65*P12*Teams!$C$74</f>
        <v>0</v>
      </c>
      <c r="Q16" s="44">
        <f>Q$5*Teams!$C$65*Q12*Teams!$C$74</f>
        <v>0</v>
      </c>
      <c r="R16" s="44">
        <f>R$5*Teams!$C$65*R12*Teams!$C$74</f>
        <v>0</v>
      </c>
      <c r="S16" s="44">
        <f>S$5*Teams!$C$65*S12*Teams!$C$74</f>
        <v>0</v>
      </c>
      <c r="T16" s="44">
        <f>T$5*Teams!$C$65*T12*Teams!$C$74</f>
        <v>0</v>
      </c>
      <c r="U16" s="44">
        <f>U$5*Teams!$C$65*U12*Teams!$C$74</f>
        <v>0</v>
      </c>
      <c r="V16" s="44">
        <f>V$5*Teams!$C$65*V12*Teams!$C$74</f>
        <v>0</v>
      </c>
      <c r="W16" s="44">
        <f>W$5*Teams!$C$65*W12*Teams!$C$74</f>
        <v>0</v>
      </c>
      <c r="X16" s="44">
        <f>X$5*Teams!$C$65*X12*Teams!$C$74</f>
        <v>0</v>
      </c>
      <c r="Y16" s="44">
        <f>Y$5*Teams!$C$65*Y12*Teams!$C$74</f>
        <v>0</v>
      </c>
      <c r="Z16" s="44">
        <f>Z$5*Teams!$C$65*Z12*Teams!$C$74</f>
        <v>0</v>
      </c>
      <c r="AA16" s="44">
        <f>AA$5*Teams!$C$65*AA12*Teams!$C$74</f>
        <v>0</v>
      </c>
      <c r="AB16" s="44">
        <f>AB$5*Teams!$C$65*AB12*Teams!$C$74</f>
        <v>0</v>
      </c>
      <c r="AC16" s="44">
        <f>AC$5*Teams!$C$65*AC12*Teams!$C$74</f>
        <v>0</v>
      </c>
      <c r="AD16" s="44">
        <f>AD$5*Teams!$C$65*AD12*Teams!$C$74</f>
        <v>0</v>
      </c>
      <c r="AE16" s="44">
        <f>AE$5*Teams!$C$65*AE12*Teams!$C$74</f>
        <v>0</v>
      </c>
      <c r="AF16" s="44">
        <f>AF$5*Teams!$C$65*AF12*Teams!$C$74</f>
        <v>0</v>
      </c>
      <c r="AG16" s="44">
        <f>AG$5*Teams!$C$65*AG12*Teams!$C$74</f>
        <v>0</v>
      </c>
      <c r="AH16" s="44">
        <f>AH$5*Teams!$C$65*AH12*Teams!$C$74</f>
        <v>0</v>
      </c>
      <c r="AI16" s="44">
        <f>AI$5*Teams!$C$65*AI12*Teams!$C$74</f>
        <v>0</v>
      </c>
      <c r="AJ16" s="44">
        <f>AJ$5*Teams!$C$65*AJ12*Teams!$C$74</f>
        <v>0</v>
      </c>
      <c r="AK16" s="44">
        <f>AK$5*Teams!$C$65*AK12*Teams!$C$74</f>
        <v>0</v>
      </c>
      <c r="AL16" s="44">
        <f>AL$5*Teams!$C$65*AL12*Teams!$C$74</f>
        <v>0</v>
      </c>
      <c r="AM16" s="44">
        <f>AM$5*Teams!$C$65*AM12*Teams!$C$74</f>
        <v>0</v>
      </c>
      <c r="AN16" s="44">
        <f>AN$5*Teams!$C$65*AN12*Teams!$C$74</f>
        <v>0</v>
      </c>
      <c r="AO16" s="44">
        <f>AO$5*Teams!$C$65*AO12*Teams!$C$74</f>
        <v>0</v>
      </c>
      <c r="AP16" s="44">
        <f>AP$5*Teams!$C$65*AP12*Teams!$C$74</f>
        <v>0</v>
      </c>
      <c r="AQ16" s="44">
        <f>AQ$5*Teams!$C$65*AQ12*Teams!$C$74</f>
        <v>0</v>
      </c>
      <c r="AR16" s="44">
        <f>AR$5*Teams!$C$65*AR12*Teams!$C$74</f>
        <v>0</v>
      </c>
      <c r="AS16" s="44">
        <f>AS$5*Teams!$C$65*AS12*Teams!$C$74</f>
        <v>0</v>
      </c>
      <c r="AT16" s="44">
        <f>AT$5*Teams!$C$65*AT12*Teams!$C$74</f>
        <v>0</v>
      </c>
      <c r="AU16" s="44">
        <f>AU$5*Teams!$C$65*AU12*Teams!$C$74</f>
        <v>0</v>
      </c>
      <c r="AV16" s="44">
        <f>AV$5*Teams!$C$65*AV12*Teams!$C$74</f>
        <v>0</v>
      </c>
      <c r="AW16" s="44">
        <f>AW$5*Teams!$C$65*AW12*Teams!$C$74</f>
        <v>0</v>
      </c>
      <c r="AX16" s="44">
        <f>AX$5*Teams!$C$65*AX12*Teams!$C$74</f>
        <v>0</v>
      </c>
      <c r="AY16" s="44">
        <f>AY$5*Teams!$C$65*AY12*Teams!$C$74</f>
        <v>0</v>
      </c>
      <c r="AZ16" s="44">
        <f>AZ$5*Teams!$C$65*AZ12*Teams!$C$74</f>
        <v>0</v>
      </c>
      <c r="BA16" s="44">
        <f>BA$5*Teams!$C$65*BA12*Teams!$C$74</f>
        <v>0</v>
      </c>
      <c r="BB16" s="44">
        <f>BB$5*Teams!$C$65*BB12*Teams!$C$74</f>
        <v>0</v>
      </c>
      <c r="BC16" s="44">
        <f>BC$5*Teams!$C$65*BC12*Teams!$C$74</f>
        <v>0</v>
      </c>
      <c r="BD16" s="44">
        <f>BD$5*Teams!$C$65*BD12*Teams!$C$74</f>
        <v>0</v>
      </c>
      <c r="BE16" s="44">
        <f>BE$5*Teams!$C$65*BE12*Teams!$C$74</f>
        <v>0</v>
      </c>
      <c r="BF16" s="44">
        <f>BF$5*Teams!$C$65*BF12*Teams!$C$74</f>
        <v>0</v>
      </c>
      <c r="BG16" s="44">
        <f>BG$5*Teams!$C$65*BG12*Teams!$C$74</f>
        <v>0</v>
      </c>
      <c r="BH16" s="44">
        <f>BH$5*Teams!$C$65*BH12*Teams!$C$74</f>
        <v>0</v>
      </c>
      <c r="BI16" s="44">
        <f>BI$5*Teams!$C$65*BI12*Teams!$C$74</f>
        <v>0</v>
      </c>
      <c r="BJ16" s="44">
        <f>BJ$5*Teams!$C$65*BJ12*Teams!$C$74</f>
        <v>0</v>
      </c>
      <c r="BK16" s="44">
        <f>BK$5*Teams!$C$65*BK12*Teams!$C$74</f>
        <v>0</v>
      </c>
      <c r="BL16" s="44">
        <f>BL$5*Teams!$C$65*BL12*Teams!$C$74</f>
        <v>0</v>
      </c>
    </row>
    <row r="17" spans="1:64" x14ac:dyDescent="0.3">
      <c r="A17" s="8" t="s">
        <v>669</v>
      </c>
      <c r="B17" s="18" t="s">
        <v>505</v>
      </c>
      <c r="C17" s="44">
        <f t="shared" si="2"/>
        <v>0</v>
      </c>
      <c r="E17" s="44">
        <f>E$5*Teams!$C$64*Teams!$C$16*IF(E$4&gt;=Teams!$C$80,1,0)</f>
        <v>0</v>
      </c>
      <c r="F17" s="44">
        <f>F$5*Teams!$C$64*Teams!$C$16*IF(F$4&gt;=Teams!$C$80,1,0)</f>
        <v>0</v>
      </c>
      <c r="G17" s="44">
        <f>G$5*Teams!$C$64*Teams!$C$16*IF(G$4&gt;=Teams!$C$80,1,0)</f>
        <v>0</v>
      </c>
      <c r="H17" s="44">
        <f>H$5*Teams!$C$64*Teams!$C$16*IF(H$4&gt;=Teams!$C$80,1,0)</f>
        <v>0</v>
      </c>
      <c r="I17" s="44">
        <f>I$5*Teams!$C$64*Teams!$C$16*IF(I$4&gt;=Teams!$C$80,1,0)</f>
        <v>0</v>
      </c>
      <c r="J17" s="44">
        <f>J$5*Teams!$C$64*Teams!$C$16*IF(J$4&gt;=Teams!$C$80,1,0)</f>
        <v>0</v>
      </c>
      <c r="K17" s="44">
        <f>K$5*Teams!$C$64*Teams!$C$16*IF(K$4&gt;=Teams!$C$80,1,0)</f>
        <v>0</v>
      </c>
      <c r="L17" s="44">
        <f>L$5*Teams!$C$64*Teams!$C$16*IF(L$4&gt;=Teams!$C$80,1,0)</f>
        <v>0</v>
      </c>
      <c r="M17" s="44">
        <f>M$5*Teams!$C$64*Teams!$C$16*IF(M$4&gt;=Teams!$C$80,1,0)</f>
        <v>0</v>
      </c>
      <c r="N17" s="44">
        <f>N$5*Teams!$C$64*Teams!$C$16*IF(N$4&gt;=Teams!$C$80,1,0)</f>
        <v>0</v>
      </c>
      <c r="O17" s="44">
        <f>O$5*Teams!$C$64*Teams!$C$16*IF(O$4&gt;=Teams!$C$80,1,0)</f>
        <v>0</v>
      </c>
      <c r="P17" s="44">
        <f>P$5*Teams!$C$64*Teams!$C$16*IF(P$4&gt;=Teams!$C$80,1,0)</f>
        <v>0</v>
      </c>
      <c r="Q17" s="44">
        <f>Q$5*Teams!$C$64*Teams!$C$16*IF(Q$4&gt;=Teams!$C$80,1,0)</f>
        <v>0</v>
      </c>
      <c r="R17" s="44">
        <f>R$5*Teams!$C$64*Teams!$C$16*IF(R$4&gt;=Teams!$C$80,1,0)</f>
        <v>0</v>
      </c>
      <c r="S17" s="44">
        <f>S$5*Teams!$C$64*Teams!$C$16*IF(S$4&gt;=Teams!$C$80,1,0)</f>
        <v>0</v>
      </c>
      <c r="T17" s="44">
        <f>T$5*Teams!$C$64*Teams!$C$16*IF(T$4&gt;=Teams!$C$80,1,0)</f>
        <v>0</v>
      </c>
      <c r="U17" s="44">
        <f>U$5*Teams!$C$64*Teams!$C$16*IF(U$4&gt;=Teams!$C$80,1,0)</f>
        <v>0</v>
      </c>
      <c r="V17" s="44">
        <f>V$5*Teams!$C$64*Teams!$C$16*IF(V$4&gt;=Teams!$C$80,1,0)</f>
        <v>0</v>
      </c>
      <c r="W17" s="44">
        <f>W$5*Teams!$C$64*Teams!$C$16*IF(W$4&gt;=Teams!$C$80,1,0)</f>
        <v>0</v>
      </c>
      <c r="X17" s="44">
        <f>X$5*Teams!$C$64*Teams!$C$16*IF(X$4&gt;=Teams!$C$80,1,0)</f>
        <v>0</v>
      </c>
      <c r="Y17" s="44">
        <f>Y$5*Teams!$C$64*Teams!$C$16*IF(Y$4&gt;=Teams!$C$80,1,0)</f>
        <v>0</v>
      </c>
      <c r="Z17" s="44">
        <f>Z$5*Teams!$C$64*Teams!$C$16*IF(Z$4&gt;=Teams!$C$80,1,0)</f>
        <v>0</v>
      </c>
      <c r="AA17" s="44">
        <f>AA$5*Teams!$C$64*Teams!$C$16*IF(AA$4&gt;=Teams!$C$80,1,0)</f>
        <v>0</v>
      </c>
      <c r="AB17" s="44">
        <f>AB$5*Teams!$C$64*Teams!$C$16*IF(AB$4&gt;=Teams!$C$80,1,0)</f>
        <v>0</v>
      </c>
      <c r="AC17" s="44">
        <f>AC$5*Teams!$C$64*Teams!$C$16*IF(AC$4&gt;=Teams!$C$80,1,0)</f>
        <v>0</v>
      </c>
      <c r="AD17" s="44">
        <f>AD$5*Teams!$C$64*Teams!$C$16*IF(AD$4&gt;=Teams!$C$80,1,0)</f>
        <v>0</v>
      </c>
      <c r="AE17" s="44">
        <f>AE$5*Teams!$C$64*Teams!$C$16*IF(AE$4&gt;=Teams!$C$80,1,0)</f>
        <v>0</v>
      </c>
      <c r="AF17" s="44">
        <f>AF$5*Teams!$C$64*Teams!$C$16*IF(AF$4&gt;=Teams!$C$80,1,0)</f>
        <v>0</v>
      </c>
      <c r="AG17" s="44">
        <f>AG$5*Teams!$C$64*Teams!$C$16*IF(AG$4&gt;=Teams!$C$80,1,0)</f>
        <v>0</v>
      </c>
      <c r="AH17" s="44">
        <f>AH$5*Teams!$C$64*Teams!$C$16*IF(AH$4&gt;=Teams!$C$80,1,0)</f>
        <v>0</v>
      </c>
      <c r="AI17" s="44">
        <f>AI$5*Teams!$C$64*Teams!$C$16*IF(AI$4&gt;=Teams!$C$80,1,0)</f>
        <v>0</v>
      </c>
      <c r="AJ17" s="44">
        <f>AJ$5*Teams!$C$64*Teams!$C$16*IF(AJ$4&gt;=Teams!$C$80,1,0)</f>
        <v>0</v>
      </c>
      <c r="AK17" s="44">
        <f>AK$5*Teams!$C$64*Teams!$C$16*IF(AK$4&gt;=Teams!$C$80,1,0)</f>
        <v>0</v>
      </c>
      <c r="AL17" s="44">
        <f>AL$5*Teams!$C$64*Teams!$C$16*IF(AL$4&gt;=Teams!$C$80,1,0)</f>
        <v>0</v>
      </c>
      <c r="AM17" s="44">
        <f>AM$5*Teams!$C$64*Teams!$C$16*IF(AM$4&gt;=Teams!$C$80,1,0)</f>
        <v>0</v>
      </c>
      <c r="AN17" s="44">
        <f>AN$5*Teams!$C$64*Teams!$C$16*IF(AN$4&gt;=Teams!$C$80,1,0)</f>
        <v>0</v>
      </c>
      <c r="AO17" s="44">
        <f>AO$5*Teams!$C$64*Teams!$C$16*IF(AO$4&gt;=Teams!$C$80,1,0)</f>
        <v>0</v>
      </c>
      <c r="AP17" s="44">
        <f>AP$5*Teams!$C$64*Teams!$C$16*IF(AP$4&gt;=Teams!$C$80,1,0)</f>
        <v>0</v>
      </c>
      <c r="AQ17" s="44">
        <f>AQ$5*Teams!$C$64*Teams!$C$16*IF(AQ$4&gt;=Teams!$C$80,1,0)</f>
        <v>0</v>
      </c>
      <c r="AR17" s="44">
        <f>AR$5*Teams!$C$64*Teams!$C$16*IF(AR$4&gt;=Teams!$C$80,1,0)</f>
        <v>0</v>
      </c>
      <c r="AS17" s="44">
        <f>AS$5*Teams!$C$64*Teams!$C$16*IF(AS$4&gt;=Teams!$C$80,1,0)</f>
        <v>0</v>
      </c>
      <c r="AT17" s="44">
        <f>AT$5*Teams!$C$64*Teams!$C$16*IF(AT$4&gt;=Teams!$C$80,1,0)</f>
        <v>0</v>
      </c>
      <c r="AU17" s="44">
        <f>AU$5*Teams!$C$64*Teams!$C$16*IF(AU$4&gt;=Teams!$C$80,1,0)</f>
        <v>0</v>
      </c>
      <c r="AV17" s="44">
        <f>AV$5*Teams!$C$64*Teams!$C$16*IF(AV$4&gt;=Teams!$C$80,1,0)</f>
        <v>0</v>
      </c>
      <c r="AW17" s="44">
        <f>AW$5*Teams!$C$64*Teams!$C$16*IF(AW$4&gt;=Teams!$C$80,1,0)</f>
        <v>0</v>
      </c>
      <c r="AX17" s="44">
        <f>AX$5*Teams!$C$64*Teams!$C$16*IF(AX$4&gt;=Teams!$C$80,1,0)</f>
        <v>0</v>
      </c>
      <c r="AY17" s="44">
        <f>AY$5*Teams!$C$64*Teams!$C$16*IF(AY$4&gt;=Teams!$C$80,1,0)</f>
        <v>0</v>
      </c>
      <c r="AZ17" s="44">
        <f>AZ$5*Teams!$C$64*Teams!$C$16*IF(AZ$4&gt;=Teams!$C$80,1,0)</f>
        <v>0</v>
      </c>
      <c r="BA17" s="44">
        <f>BA$5*Teams!$C$64*Teams!$C$16*IF(BA$4&gt;=Teams!$C$80,1,0)</f>
        <v>0</v>
      </c>
      <c r="BB17" s="44">
        <f>BB$5*Teams!$C$64*Teams!$C$16*IF(BB$4&gt;=Teams!$C$80,1,0)</f>
        <v>0</v>
      </c>
      <c r="BC17" s="44">
        <f>BC$5*Teams!$C$64*Teams!$C$16*IF(BC$4&gt;=Teams!$C$80,1,0)</f>
        <v>0</v>
      </c>
      <c r="BD17" s="44">
        <f>BD$5*Teams!$C$64*Teams!$C$16*IF(BD$4&gt;=Teams!$C$80,1,0)</f>
        <v>0</v>
      </c>
      <c r="BE17" s="44">
        <f>BE$5*Teams!$C$64*Teams!$C$16*IF(BE$4&gt;=Teams!$C$80,1,0)</f>
        <v>0</v>
      </c>
      <c r="BF17" s="44">
        <f>BF$5*Teams!$C$64*Teams!$C$16*IF(BF$4&gt;=Teams!$C$80,1,0)</f>
        <v>0</v>
      </c>
      <c r="BG17" s="44">
        <f>BG$5*Teams!$C$64*Teams!$C$16*IF(BG$4&gt;=Teams!$C$80,1,0)</f>
        <v>0</v>
      </c>
      <c r="BH17" s="44">
        <f>BH$5*Teams!$C$64*Teams!$C$16*IF(BH$4&gt;=Teams!$C$80,1,0)</f>
        <v>0</v>
      </c>
      <c r="BI17" s="44">
        <f>BI$5*Teams!$C$64*Teams!$C$16*IF(BI$4&gt;=Teams!$C$80,1,0)</f>
        <v>0</v>
      </c>
      <c r="BJ17" s="44">
        <f>BJ$5*Teams!$C$64*Teams!$C$16*IF(BJ$4&gt;=Teams!$C$80,1,0)</f>
        <v>0</v>
      </c>
      <c r="BK17" s="44">
        <f>BK$5*Teams!$C$64*Teams!$C$16*IF(BK$4&gt;=Teams!$C$80,1,0)</f>
        <v>0</v>
      </c>
      <c r="BL17" s="44">
        <f>BL$5*Teams!$C$64*Teams!$C$16*IF(BL$4&gt;=Teams!$C$80,1,0)</f>
        <v>0</v>
      </c>
    </row>
    <row r="18" spans="1:64" x14ac:dyDescent="0.3">
      <c r="A18" s="8" t="s">
        <v>670</v>
      </c>
      <c r="B18" s="18" t="s">
        <v>435</v>
      </c>
      <c r="C18" s="44">
        <f t="shared" si="2"/>
        <v>2323.7999999999993</v>
      </c>
      <c r="E18" s="44">
        <f>E$5*IF(AND(E$4&gt;=Teams!$C$80,Teams!$C$49=1),Teams!$C$44*Params!$E$10*Teams!$C$45*Teams!$C$75+Teams!$C$44*Params!$E$10*Teams!$C$47*Teams!$C$76/1000000+Teams!$C$77+Teams!$C$50*Teams!$C$78+E12*Teams!$C$51*Teams!$C$79/1000000,0)</f>
        <v>61.59</v>
      </c>
      <c r="F18" s="44">
        <f>F$5*IF(AND(F$4&gt;=Teams!$C$80,Teams!$C$49=1),Teams!$C$44*Params!$E$10*Teams!$C$45*Teams!$C$75+Teams!$C$44*Params!$E$10*Teams!$C$47*Teams!$C$76/1000000+Teams!$C$77+Teams!$C$50*Teams!$C$78+F12*Teams!$C$51*Teams!$C$79/1000000,0)</f>
        <v>62.230000000000004</v>
      </c>
      <c r="G18" s="44">
        <f>G$5*IF(AND(G$4&gt;=Teams!$C$80,Teams!$C$49=1),Teams!$C$44*Params!$E$10*Teams!$C$45*Teams!$C$75+Teams!$C$44*Params!$E$10*Teams!$C$47*Teams!$C$76/1000000+Teams!$C$77+Teams!$C$50*Teams!$C$78+G12*Teams!$C$51*Teams!$C$79/1000000,0)</f>
        <v>63.062000000000005</v>
      </c>
      <c r="H18" s="44">
        <f>H$5*IF(AND(H$4&gt;=Teams!$C$80,Teams!$C$49=1),Teams!$C$44*Params!$E$10*Teams!$C$45*Teams!$C$75+Teams!$C$44*Params!$E$10*Teams!$C$47*Teams!$C$76/1000000+Teams!$C$77+Teams!$C$50*Teams!$C$78+H12*Teams!$C$51*Teams!$C$79/1000000,0)</f>
        <v>63.894000000000005</v>
      </c>
      <c r="I18" s="44">
        <f>I$5*IF(AND(I$4&gt;=Teams!$C$80,Teams!$C$49=1),Teams!$C$44*Params!$E$10*Teams!$C$45*Teams!$C$75+Teams!$C$44*Params!$E$10*Teams!$C$47*Teams!$C$76/1000000+Teams!$C$77+Teams!$C$50*Teams!$C$78+I12*Teams!$C$51*Teams!$C$79/1000000,0)</f>
        <v>64.534000000000006</v>
      </c>
      <c r="J18" s="44">
        <f>J$5*IF(AND(J$4&gt;=Teams!$C$80,Teams!$C$49=1),Teams!$C$44*Params!$E$10*Teams!$C$45*Teams!$C$75+Teams!$C$44*Params!$E$10*Teams!$C$47*Teams!$C$76/1000000+Teams!$C$77+Teams!$C$50*Teams!$C$78+J12*Teams!$C$51*Teams!$C$79/1000000,0)</f>
        <v>64.790000000000006</v>
      </c>
      <c r="K18" s="44">
        <f>K$5*IF(AND(K$4&gt;=Teams!$C$80,Teams!$C$49=1),Teams!$C$44*Params!$E$10*Teams!$C$45*Teams!$C$75+Teams!$C$44*Params!$E$10*Teams!$C$47*Teams!$C$76/1000000+Teams!$C$77+Teams!$C$50*Teams!$C$78+K12*Teams!$C$51*Teams!$C$79/1000000,0)</f>
        <v>64.790000000000006</v>
      </c>
      <c r="L18" s="44">
        <f>L$5*IF(AND(L$4&gt;=Teams!$C$80,Teams!$C$49=1),Teams!$C$44*Params!$E$10*Teams!$C$45*Teams!$C$75+Teams!$C$44*Params!$E$10*Teams!$C$47*Teams!$C$76/1000000+Teams!$C$77+Teams!$C$50*Teams!$C$78+L12*Teams!$C$51*Teams!$C$79/1000000,0)</f>
        <v>64.790000000000006</v>
      </c>
      <c r="M18" s="44">
        <f>M$5*IF(AND(M$4&gt;=Teams!$C$80,Teams!$C$49=1),Teams!$C$44*Params!$E$10*Teams!$C$45*Teams!$C$75+Teams!$C$44*Params!$E$10*Teams!$C$47*Teams!$C$76/1000000+Teams!$C$77+Teams!$C$50*Teams!$C$78+M12*Teams!$C$51*Teams!$C$79/1000000,0)</f>
        <v>64.790000000000006</v>
      </c>
      <c r="N18" s="44">
        <f>N$5*IF(AND(N$4&gt;=Teams!$C$80,Teams!$C$49=1),Teams!$C$44*Params!$E$10*Teams!$C$45*Teams!$C$75+Teams!$C$44*Params!$E$10*Teams!$C$47*Teams!$C$76/1000000+Teams!$C$77+Teams!$C$50*Teams!$C$78+N12*Teams!$C$51*Teams!$C$79/1000000,0)</f>
        <v>64.790000000000006</v>
      </c>
      <c r="O18" s="44">
        <f>O$5*IF(AND(O$4&gt;=Teams!$C$80,Teams!$C$49=1),Teams!$C$44*Params!$E$10*Teams!$C$45*Teams!$C$75+Teams!$C$44*Params!$E$10*Teams!$C$47*Teams!$C$76/1000000+Teams!$C$77+Teams!$C$50*Teams!$C$78+O12*Teams!$C$51*Teams!$C$79/1000000,0)</f>
        <v>64.790000000000006</v>
      </c>
      <c r="P18" s="44">
        <f>P$5*IF(AND(P$4&gt;=Teams!$C$80,Teams!$C$49=1),Teams!$C$44*Params!$E$10*Teams!$C$45*Teams!$C$75+Teams!$C$44*Params!$E$10*Teams!$C$47*Teams!$C$76/1000000+Teams!$C$77+Teams!$C$50*Teams!$C$78+P12*Teams!$C$51*Teams!$C$79/1000000,0)</f>
        <v>64.790000000000006</v>
      </c>
      <c r="Q18" s="44">
        <f>Q$5*IF(AND(Q$4&gt;=Teams!$C$80,Teams!$C$49=1),Teams!$C$44*Params!$E$10*Teams!$C$45*Teams!$C$75+Teams!$C$44*Params!$E$10*Teams!$C$47*Teams!$C$76/1000000+Teams!$C$77+Teams!$C$50*Teams!$C$78+Q12*Teams!$C$51*Teams!$C$79/1000000,0)</f>
        <v>64.790000000000006</v>
      </c>
      <c r="R18" s="44">
        <f>R$5*IF(AND(R$4&gt;=Teams!$C$80,Teams!$C$49=1),Teams!$C$44*Params!$E$10*Teams!$C$45*Teams!$C$75+Teams!$C$44*Params!$E$10*Teams!$C$47*Teams!$C$76/1000000+Teams!$C$77+Teams!$C$50*Teams!$C$78+R12*Teams!$C$51*Teams!$C$79/1000000,0)</f>
        <v>64.790000000000006</v>
      </c>
      <c r="S18" s="44">
        <f>S$5*IF(AND(S$4&gt;=Teams!$C$80,Teams!$C$49=1),Teams!$C$44*Params!$E$10*Teams!$C$45*Teams!$C$75+Teams!$C$44*Params!$E$10*Teams!$C$47*Teams!$C$76/1000000+Teams!$C$77+Teams!$C$50*Teams!$C$78+S12*Teams!$C$51*Teams!$C$79/1000000,0)</f>
        <v>64.790000000000006</v>
      </c>
      <c r="T18" s="44">
        <f>T$5*IF(AND(T$4&gt;=Teams!$C$80,Teams!$C$49=1),Teams!$C$44*Params!$E$10*Teams!$C$45*Teams!$C$75+Teams!$C$44*Params!$E$10*Teams!$C$47*Teams!$C$76/1000000+Teams!$C$77+Teams!$C$50*Teams!$C$78+T12*Teams!$C$51*Teams!$C$79/1000000,0)</f>
        <v>64.790000000000006</v>
      </c>
      <c r="U18" s="44">
        <f>U$5*IF(AND(U$4&gt;=Teams!$C$80,Teams!$C$49=1),Teams!$C$44*Params!$E$10*Teams!$C$45*Teams!$C$75+Teams!$C$44*Params!$E$10*Teams!$C$47*Teams!$C$76/1000000+Teams!$C$77+Teams!$C$50*Teams!$C$78+U12*Teams!$C$51*Teams!$C$79/1000000,0)</f>
        <v>64.790000000000006</v>
      </c>
      <c r="V18" s="44">
        <f>V$5*IF(AND(V$4&gt;=Teams!$C$80,Teams!$C$49=1),Teams!$C$44*Params!$E$10*Teams!$C$45*Teams!$C$75+Teams!$C$44*Params!$E$10*Teams!$C$47*Teams!$C$76/1000000+Teams!$C$77+Teams!$C$50*Teams!$C$78+V12*Teams!$C$51*Teams!$C$79/1000000,0)</f>
        <v>64.790000000000006</v>
      </c>
      <c r="W18" s="44">
        <f>W$5*IF(AND(W$4&gt;=Teams!$C$80,Teams!$C$49=1),Teams!$C$44*Params!$E$10*Teams!$C$45*Teams!$C$75+Teams!$C$44*Params!$E$10*Teams!$C$47*Teams!$C$76/1000000+Teams!$C$77+Teams!$C$50*Teams!$C$78+W12*Teams!$C$51*Teams!$C$79/1000000,0)</f>
        <v>64.790000000000006</v>
      </c>
      <c r="X18" s="44">
        <f>X$5*IF(AND(X$4&gt;=Teams!$C$80,Teams!$C$49=1),Teams!$C$44*Params!$E$10*Teams!$C$45*Teams!$C$75+Teams!$C$44*Params!$E$10*Teams!$C$47*Teams!$C$76/1000000+Teams!$C$77+Teams!$C$50*Teams!$C$78+X12*Teams!$C$51*Teams!$C$79/1000000,0)</f>
        <v>64.790000000000006</v>
      </c>
      <c r="Y18" s="44">
        <f>Y$5*IF(AND(Y$4&gt;=Teams!$C$80,Teams!$C$49=1),Teams!$C$44*Params!$E$10*Teams!$C$45*Teams!$C$75+Teams!$C$44*Params!$E$10*Teams!$C$47*Teams!$C$76/1000000+Teams!$C$77+Teams!$C$50*Teams!$C$78+Y12*Teams!$C$51*Teams!$C$79/1000000,0)</f>
        <v>64.790000000000006</v>
      </c>
      <c r="Z18" s="44">
        <f>Z$5*IF(AND(Z$4&gt;=Teams!$C$80,Teams!$C$49=1),Teams!$C$44*Params!$E$10*Teams!$C$45*Teams!$C$75+Teams!$C$44*Params!$E$10*Teams!$C$47*Teams!$C$76/1000000+Teams!$C$77+Teams!$C$50*Teams!$C$78+Z12*Teams!$C$51*Teams!$C$79/1000000,0)</f>
        <v>64.790000000000006</v>
      </c>
      <c r="AA18" s="44">
        <f>AA$5*IF(AND(AA$4&gt;=Teams!$C$80,Teams!$C$49=1),Teams!$C$44*Params!$E$10*Teams!$C$45*Teams!$C$75+Teams!$C$44*Params!$E$10*Teams!$C$47*Teams!$C$76/1000000+Teams!$C$77+Teams!$C$50*Teams!$C$78+AA12*Teams!$C$51*Teams!$C$79/1000000,0)</f>
        <v>64.790000000000006</v>
      </c>
      <c r="AB18" s="44">
        <f>AB$5*IF(AND(AB$4&gt;=Teams!$C$80,Teams!$C$49=1),Teams!$C$44*Params!$E$10*Teams!$C$45*Teams!$C$75+Teams!$C$44*Params!$E$10*Teams!$C$47*Teams!$C$76/1000000+Teams!$C$77+Teams!$C$50*Teams!$C$78+AB12*Teams!$C$51*Teams!$C$79/1000000,0)</f>
        <v>64.790000000000006</v>
      </c>
      <c r="AC18" s="44">
        <f>AC$5*IF(AND(AC$4&gt;=Teams!$C$80,Teams!$C$49=1),Teams!$C$44*Params!$E$10*Teams!$C$45*Teams!$C$75+Teams!$C$44*Params!$E$10*Teams!$C$47*Teams!$C$76/1000000+Teams!$C$77+Teams!$C$50*Teams!$C$78+AC12*Teams!$C$51*Teams!$C$79/1000000,0)</f>
        <v>64.790000000000006</v>
      </c>
      <c r="AD18" s="44">
        <f>AD$5*IF(AND(AD$4&gt;=Teams!$C$80,Teams!$C$49=1),Teams!$C$44*Params!$E$10*Teams!$C$45*Teams!$C$75+Teams!$C$44*Params!$E$10*Teams!$C$47*Teams!$C$76/1000000+Teams!$C$77+Teams!$C$50*Teams!$C$78+AD12*Teams!$C$51*Teams!$C$79/1000000,0)</f>
        <v>64.790000000000006</v>
      </c>
      <c r="AE18" s="44">
        <f>AE$5*IF(AND(AE$4&gt;=Teams!$C$80,Teams!$C$49=1),Teams!$C$44*Params!$E$10*Teams!$C$45*Teams!$C$75+Teams!$C$44*Params!$E$10*Teams!$C$47*Teams!$C$76/1000000+Teams!$C$77+Teams!$C$50*Teams!$C$78+AE12*Teams!$C$51*Teams!$C$79/1000000,0)</f>
        <v>64.790000000000006</v>
      </c>
      <c r="AF18" s="44">
        <f>AF$5*IF(AND(AF$4&gt;=Teams!$C$80,Teams!$C$49=1),Teams!$C$44*Params!$E$10*Teams!$C$45*Teams!$C$75+Teams!$C$44*Params!$E$10*Teams!$C$47*Teams!$C$76/1000000+Teams!$C$77+Teams!$C$50*Teams!$C$78+AF12*Teams!$C$51*Teams!$C$79/1000000,0)</f>
        <v>64.790000000000006</v>
      </c>
      <c r="AG18" s="44">
        <f>AG$5*IF(AND(AG$4&gt;=Teams!$C$80,Teams!$C$49=1),Teams!$C$44*Params!$E$10*Teams!$C$45*Teams!$C$75+Teams!$C$44*Params!$E$10*Teams!$C$47*Teams!$C$76/1000000+Teams!$C$77+Teams!$C$50*Teams!$C$78+AG12*Teams!$C$51*Teams!$C$79/1000000,0)</f>
        <v>64.790000000000006</v>
      </c>
      <c r="AH18" s="44">
        <f>AH$5*IF(AND(AH$4&gt;=Teams!$C$80,Teams!$C$49=1),Teams!$C$44*Params!$E$10*Teams!$C$45*Teams!$C$75+Teams!$C$44*Params!$E$10*Teams!$C$47*Teams!$C$76/1000000+Teams!$C$77+Teams!$C$50*Teams!$C$78+AH12*Teams!$C$51*Teams!$C$79/1000000,0)</f>
        <v>64.790000000000006</v>
      </c>
      <c r="AI18" s="44">
        <f>AI$5*IF(AND(AI$4&gt;=Teams!$C$80,Teams!$C$49=1),Teams!$C$44*Params!$E$10*Teams!$C$45*Teams!$C$75+Teams!$C$44*Params!$E$10*Teams!$C$47*Teams!$C$76/1000000+Teams!$C$77+Teams!$C$50*Teams!$C$78+AI12*Teams!$C$51*Teams!$C$79/1000000,0)</f>
        <v>64.790000000000006</v>
      </c>
      <c r="AJ18" s="44">
        <f>AJ$5*IF(AND(AJ$4&gt;=Teams!$C$80,Teams!$C$49=1),Teams!$C$44*Params!$E$10*Teams!$C$45*Teams!$C$75+Teams!$C$44*Params!$E$10*Teams!$C$47*Teams!$C$76/1000000+Teams!$C$77+Teams!$C$50*Teams!$C$78+AJ12*Teams!$C$51*Teams!$C$79/1000000,0)</f>
        <v>64.790000000000006</v>
      </c>
      <c r="AK18" s="44">
        <f>AK$5*IF(AND(AK$4&gt;=Teams!$C$80,Teams!$C$49=1),Teams!$C$44*Params!$E$10*Teams!$C$45*Teams!$C$75+Teams!$C$44*Params!$E$10*Teams!$C$47*Teams!$C$76/1000000+Teams!$C$77+Teams!$C$50*Teams!$C$78+AK12*Teams!$C$51*Teams!$C$79/1000000,0)</f>
        <v>64.790000000000006</v>
      </c>
      <c r="AL18" s="44">
        <f>AL$5*IF(AND(AL$4&gt;=Teams!$C$80,Teams!$C$49=1),Teams!$C$44*Params!$E$10*Teams!$C$45*Teams!$C$75+Teams!$C$44*Params!$E$10*Teams!$C$47*Teams!$C$76/1000000+Teams!$C$77+Teams!$C$50*Teams!$C$78+AL12*Teams!$C$51*Teams!$C$79/1000000,0)</f>
        <v>64.790000000000006</v>
      </c>
      <c r="AM18" s="44">
        <f>AM$5*IF(AND(AM$4&gt;=Teams!$C$80,Teams!$C$49=1),Teams!$C$44*Params!$E$10*Teams!$C$45*Teams!$C$75+Teams!$C$44*Params!$E$10*Teams!$C$47*Teams!$C$76/1000000+Teams!$C$77+Teams!$C$50*Teams!$C$78+AM12*Teams!$C$51*Teams!$C$79/1000000,0)</f>
        <v>64.790000000000006</v>
      </c>
      <c r="AN18" s="44">
        <f>AN$5*IF(AND(AN$4&gt;=Teams!$C$80,Teams!$C$49=1),Teams!$C$44*Params!$E$10*Teams!$C$45*Teams!$C$75+Teams!$C$44*Params!$E$10*Teams!$C$47*Teams!$C$76/1000000+Teams!$C$77+Teams!$C$50*Teams!$C$78+AN12*Teams!$C$51*Teams!$C$79/1000000,0)</f>
        <v>64.790000000000006</v>
      </c>
      <c r="AO18" s="44">
        <f>AO$5*IF(AND(AO$4&gt;=Teams!$C$80,Teams!$C$49=1),Teams!$C$44*Params!$E$10*Teams!$C$45*Teams!$C$75+Teams!$C$44*Params!$E$10*Teams!$C$47*Teams!$C$76/1000000+Teams!$C$77+Teams!$C$50*Teams!$C$78+AO12*Teams!$C$51*Teams!$C$79/1000000,0)</f>
        <v>0</v>
      </c>
      <c r="AP18" s="44">
        <f>AP$5*IF(AND(AP$4&gt;=Teams!$C$80,Teams!$C$49=1),Teams!$C$44*Params!$E$10*Teams!$C$45*Teams!$C$75+Teams!$C$44*Params!$E$10*Teams!$C$47*Teams!$C$76/1000000+Teams!$C$77+Teams!$C$50*Teams!$C$78+AP12*Teams!$C$51*Teams!$C$79/1000000,0)</f>
        <v>0</v>
      </c>
      <c r="AQ18" s="44">
        <f>AQ$5*IF(AND(AQ$4&gt;=Teams!$C$80,Teams!$C$49=1),Teams!$C$44*Params!$E$10*Teams!$C$45*Teams!$C$75+Teams!$C$44*Params!$E$10*Teams!$C$47*Teams!$C$76/1000000+Teams!$C$77+Teams!$C$50*Teams!$C$78+AQ12*Teams!$C$51*Teams!$C$79/1000000,0)</f>
        <v>0</v>
      </c>
      <c r="AR18" s="44">
        <f>AR$5*IF(AND(AR$4&gt;=Teams!$C$80,Teams!$C$49=1),Teams!$C$44*Params!$E$10*Teams!$C$45*Teams!$C$75+Teams!$C$44*Params!$E$10*Teams!$C$47*Teams!$C$76/1000000+Teams!$C$77+Teams!$C$50*Teams!$C$78+AR12*Teams!$C$51*Teams!$C$79/1000000,0)</f>
        <v>0</v>
      </c>
      <c r="AS18" s="44">
        <f>AS$5*IF(AND(AS$4&gt;=Teams!$C$80,Teams!$C$49=1),Teams!$C$44*Params!$E$10*Teams!$C$45*Teams!$C$75+Teams!$C$44*Params!$E$10*Teams!$C$47*Teams!$C$76/1000000+Teams!$C$77+Teams!$C$50*Teams!$C$78+AS12*Teams!$C$51*Teams!$C$79/1000000,0)</f>
        <v>0</v>
      </c>
      <c r="AT18" s="44">
        <f>AT$5*IF(AND(AT$4&gt;=Teams!$C$80,Teams!$C$49=1),Teams!$C$44*Params!$E$10*Teams!$C$45*Teams!$C$75+Teams!$C$44*Params!$E$10*Teams!$C$47*Teams!$C$76/1000000+Teams!$C$77+Teams!$C$50*Teams!$C$78+AT12*Teams!$C$51*Teams!$C$79/1000000,0)</f>
        <v>0</v>
      </c>
      <c r="AU18" s="44">
        <f>AU$5*IF(AND(AU$4&gt;=Teams!$C$80,Teams!$C$49=1),Teams!$C$44*Params!$E$10*Teams!$C$45*Teams!$C$75+Teams!$C$44*Params!$E$10*Teams!$C$47*Teams!$C$76/1000000+Teams!$C$77+Teams!$C$50*Teams!$C$78+AU12*Teams!$C$51*Teams!$C$79/1000000,0)</f>
        <v>0</v>
      </c>
      <c r="AV18" s="44">
        <f>AV$5*IF(AND(AV$4&gt;=Teams!$C$80,Teams!$C$49=1),Teams!$C$44*Params!$E$10*Teams!$C$45*Teams!$C$75+Teams!$C$44*Params!$E$10*Teams!$C$47*Teams!$C$76/1000000+Teams!$C$77+Teams!$C$50*Teams!$C$78+AV12*Teams!$C$51*Teams!$C$79/1000000,0)</f>
        <v>0</v>
      </c>
      <c r="AW18" s="44">
        <f>AW$5*IF(AND(AW$4&gt;=Teams!$C$80,Teams!$C$49=1),Teams!$C$44*Params!$E$10*Teams!$C$45*Teams!$C$75+Teams!$C$44*Params!$E$10*Teams!$C$47*Teams!$C$76/1000000+Teams!$C$77+Teams!$C$50*Teams!$C$78+AW12*Teams!$C$51*Teams!$C$79/1000000,0)</f>
        <v>0</v>
      </c>
      <c r="AX18" s="44">
        <f>AX$5*IF(AND(AX$4&gt;=Teams!$C$80,Teams!$C$49=1),Teams!$C$44*Params!$E$10*Teams!$C$45*Teams!$C$75+Teams!$C$44*Params!$E$10*Teams!$C$47*Teams!$C$76/1000000+Teams!$C$77+Teams!$C$50*Teams!$C$78+AX12*Teams!$C$51*Teams!$C$79/1000000,0)</f>
        <v>0</v>
      </c>
      <c r="AY18" s="44">
        <f>AY$5*IF(AND(AY$4&gt;=Teams!$C$80,Teams!$C$49=1),Teams!$C$44*Params!$E$10*Teams!$C$45*Teams!$C$75+Teams!$C$44*Params!$E$10*Teams!$C$47*Teams!$C$76/1000000+Teams!$C$77+Teams!$C$50*Teams!$C$78+AY12*Teams!$C$51*Teams!$C$79/1000000,0)</f>
        <v>0</v>
      </c>
      <c r="AZ18" s="44">
        <f>AZ$5*IF(AND(AZ$4&gt;=Teams!$C$80,Teams!$C$49=1),Teams!$C$44*Params!$E$10*Teams!$C$45*Teams!$C$75+Teams!$C$44*Params!$E$10*Teams!$C$47*Teams!$C$76/1000000+Teams!$C$77+Teams!$C$50*Teams!$C$78+AZ12*Teams!$C$51*Teams!$C$79/1000000,0)</f>
        <v>0</v>
      </c>
      <c r="BA18" s="44">
        <f>BA$5*IF(AND(BA$4&gt;=Teams!$C$80,Teams!$C$49=1),Teams!$C$44*Params!$E$10*Teams!$C$45*Teams!$C$75+Teams!$C$44*Params!$E$10*Teams!$C$47*Teams!$C$76/1000000+Teams!$C$77+Teams!$C$50*Teams!$C$78+BA12*Teams!$C$51*Teams!$C$79/1000000,0)</f>
        <v>0</v>
      </c>
      <c r="BB18" s="44">
        <f>BB$5*IF(AND(BB$4&gt;=Teams!$C$80,Teams!$C$49=1),Teams!$C$44*Params!$E$10*Teams!$C$45*Teams!$C$75+Teams!$C$44*Params!$E$10*Teams!$C$47*Teams!$C$76/1000000+Teams!$C$77+Teams!$C$50*Teams!$C$78+BB12*Teams!$C$51*Teams!$C$79/1000000,0)</f>
        <v>0</v>
      </c>
      <c r="BC18" s="44">
        <f>BC$5*IF(AND(BC$4&gt;=Teams!$C$80,Teams!$C$49=1),Teams!$C$44*Params!$E$10*Teams!$C$45*Teams!$C$75+Teams!$C$44*Params!$E$10*Teams!$C$47*Teams!$C$76/1000000+Teams!$C$77+Teams!$C$50*Teams!$C$78+BC12*Teams!$C$51*Teams!$C$79/1000000,0)</f>
        <v>0</v>
      </c>
      <c r="BD18" s="44">
        <f>BD$5*IF(AND(BD$4&gt;=Teams!$C$80,Teams!$C$49=1),Teams!$C$44*Params!$E$10*Teams!$C$45*Teams!$C$75+Teams!$C$44*Params!$E$10*Teams!$C$47*Teams!$C$76/1000000+Teams!$C$77+Teams!$C$50*Teams!$C$78+BD12*Teams!$C$51*Teams!$C$79/1000000,0)</f>
        <v>0</v>
      </c>
      <c r="BE18" s="44">
        <f>BE$5*IF(AND(BE$4&gt;=Teams!$C$80,Teams!$C$49=1),Teams!$C$44*Params!$E$10*Teams!$C$45*Teams!$C$75+Teams!$C$44*Params!$E$10*Teams!$C$47*Teams!$C$76/1000000+Teams!$C$77+Teams!$C$50*Teams!$C$78+BE12*Teams!$C$51*Teams!$C$79/1000000,0)</f>
        <v>0</v>
      </c>
      <c r="BF18" s="44">
        <f>BF$5*IF(AND(BF$4&gt;=Teams!$C$80,Teams!$C$49=1),Teams!$C$44*Params!$E$10*Teams!$C$45*Teams!$C$75+Teams!$C$44*Params!$E$10*Teams!$C$47*Teams!$C$76/1000000+Teams!$C$77+Teams!$C$50*Teams!$C$78+BF12*Teams!$C$51*Teams!$C$79/1000000,0)</f>
        <v>0</v>
      </c>
      <c r="BG18" s="44">
        <f>BG$5*IF(AND(BG$4&gt;=Teams!$C$80,Teams!$C$49=1),Teams!$C$44*Params!$E$10*Teams!$C$45*Teams!$C$75+Teams!$C$44*Params!$E$10*Teams!$C$47*Teams!$C$76/1000000+Teams!$C$77+Teams!$C$50*Teams!$C$78+BG12*Teams!$C$51*Teams!$C$79/1000000,0)</f>
        <v>0</v>
      </c>
      <c r="BH18" s="44">
        <f>BH$5*IF(AND(BH$4&gt;=Teams!$C$80,Teams!$C$49=1),Teams!$C$44*Params!$E$10*Teams!$C$45*Teams!$C$75+Teams!$C$44*Params!$E$10*Teams!$C$47*Teams!$C$76/1000000+Teams!$C$77+Teams!$C$50*Teams!$C$78+BH12*Teams!$C$51*Teams!$C$79/1000000,0)</f>
        <v>0</v>
      </c>
      <c r="BI18" s="44">
        <f>BI$5*IF(AND(BI$4&gt;=Teams!$C$80,Teams!$C$49=1),Teams!$C$44*Params!$E$10*Teams!$C$45*Teams!$C$75+Teams!$C$44*Params!$E$10*Teams!$C$47*Teams!$C$76/1000000+Teams!$C$77+Teams!$C$50*Teams!$C$78+BI12*Teams!$C$51*Teams!$C$79/1000000,0)</f>
        <v>0</v>
      </c>
      <c r="BJ18" s="44">
        <f>BJ$5*IF(AND(BJ$4&gt;=Teams!$C$80,Teams!$C$49=1),Teams!$C$44*Params!$E$10*Teams!$C$45*Teams!$C$75+Teams!$C$44*Params!$E$10*Teams!$C$47*Teams!$C$76/1000000+Teams!$C$77+Teams!$C$50*Teams!$C$78+BJ12*Teams!$C$51*Teams!$C$79/1000000,0)</f>
        <v>0</v>
      </c>
      <c r="BK18" s="44">
        <f>BK$5*IF(AND(BK$4&gt;=Teams!$C$80,Teams!$C$49=1),Teams!$C$44*Params!$E$10*Teams!$C$45*Teams!$C$75+Teams!$C$44*Params!$E$10*Teams!$C$47*Teams!$C$76/1000000+Teams!$C$77+Teams!$C$50*Teams!$C$78+BK12*Teams!$C$51*Teams!$C$79/1000000,0)</f>
        <v>0</v>
      </c>
      <c r="BL18" s="44">
        <f>BL$5*IF(AND(BL$4&gt;=Teams!$C$80,Teams!$C$49=1),Teams!$C$44*Params!$E$10*Teams!$C$45*Teams!$C$75+Teams!$C$44*Params!$E$10*Teams!$C$47*Teams!$C$76/1000000+Teams!$C$77+Teams!$C$50*Teams!$C$78+BL12*Teams!$C$51*Teams!$C$79/1000000,0)</f>
        <v>0</v>
      </c>
    </row>
    <row r="19" spans="1:64" x14ac:dyDescent="0.3">
      <c r="A19" s="8" t="s">
        <v>671</v>
      </c>
      <c r="B19" s="18" t="s">
        <v>169</v>
      </c>
      <c r="C19" s="44">
        <f t="shared" si="2"/>
        <v>10800</v>
      </c>
      <c r="E19" s="44">
        <f>E$5*IF(E$4&gt;=Teams!$C$80,Teams!$C$43*Params!$E$6*Org!$B$10*Params!$E$7/12,0)</f>
        <v>300</v>
      </c>
      <c r="F19" s="44">
        <f>F$5*IF(F$4&gt;=Teams!$C$80,Teams!$C$43*Params!$E$6*Org!$B$10*Params!$E$7/12,0)</f>
        <v>300</v>
      </c>
      <c r="G19" s="44">
        <f>G$5*IF(G$4&gt;=Teams!$C$80,Teams!$C$43*Params!$E$6*Org!$B$10*Params!$E$7/12,0)</f>
        <v>300</v>
      </c>
      <c r="H19" s="44">
        <f>H$5*IF(H$4&gt;=Teams!$C$80,Teams!$C$43*Params!$E$6*Org!$B$10*Params!$E$7/12,0)</f>
        <v>300</v>
      </c>
      <c r="I19" s="44">
        <f>I$5*IF(I$4&gt;=Teams!$C$80,Teams!$C$43*Params!$E$6*Org!$B$10*Params!$E$7/12,0)</f>
        <v>300</v>
      </c>
      <c r="J19" s="44">
        <f>J$5*IF(J$4&gt;=Teams!$C$80,Teams!$C$43*Params!$E$6*Org!$B$10*Params!$E$7/12,0)</f>
        <v>300</v>
      </c>
      <c r="K19" s="44">
        <f>K$5*IF(K$4&gt;=Teams!$C$80,Teams!$C$43*Params!$E$6*Org!$B$10*Params!$E$7/12,0)</f>
        <v>300</v>
      </c>
      <c r="L19" s="44">
        <f>L$5*IF(L$4&gt;=Teams!$C$80,Teams!$C$43*Params!$E$6*Org!$B$10*Params!$E$7/12,0)</f>
        <v>300</v>
      </c>
      <c r="M19" s="44">
        <f>M$5*IF(M$4&gt;=Teams!$C$80,Teams!$C$43*Params!$E$6*Org!$B$10*Params!$E$7/12,0)</f>
        <v>300</v>
      </c>
      <c r="N19" s="44">
        <f>N$5*IF(N$4&gt;=Teams!$C$80,Teams!$C$43*Params!$E$6*Org!$B$10*Params!$E$7/12,0)</f>
        <v>300</v>
      </c>
      <c r="O19" s="44">
        <f>O$5*IF(O$4&gt;=Teams!$C$80,Teams!$C$43*Params!$E$6*Org!$B$10*Params!$E$7/12,0)</f>
        <v>300</v>
      </c>
      <c r="P19" s="44">
        <f>P$5*IF(P$4&gt;=Teams!$C$80,Teams!$C$43*Params!$E$6*Org!$B$10*Params!$E$7/12,0)</f>
        <v>300</v>
      </c>
      <c r="Q19" s="44">
        <f>Q$5*IF(Q$4&gt;=Teams!$C$80,Teams!$C$43*Params!$E$6*Org!$B$10*Params!$E$7/12,0)</f>
        <v>300</v>
      </c>
      <c r="R19" s="44">
        <f>R$5*IF(R$4&gt;=Teams!$C$80,Teams!$C$43*Params!$E$6*Org!$B$10*Params!$E$7/12,0)</f>
        <v>300</v>
      </c>
      <c r="S19" s="44">
        <f>S$5*IF(S$4&gt;=Teams!$C$80,Teams!$C$43*Params!$E$6*Org!$B$10*Params!$E$7/12,0)</f>
        <v>300</v>
      </c>
      <c r="T19" s="44">
        <f>T$5*IF(T$4&gt;=Teams!$C$80,Teams!$C$43*Params!$E$6*Org!$B$10*Params!$E$7/12,0)</f>
        <v>300</v>
      </c>
      <c r="U19" s="44">
        <f>U$5*IF(U$4&gt;=Teams!$C$80,Teams!$C$43*Params!$E$6*Org!$B$10*Params!$E$7/12,0)</f>
        <v>300</v>
      </c>
      <c r="V19" s="44">
        <f>V$5*IF(V$4&gt;=Teams!$C$80,Teams!$C$43*Params!$E$6*Org!$B$10*Params!$E$7/12,0)</f>
        <v>300</v>
      </c>
      <c r="W19" s="44">
        <f>W$5*IF(W$4&gt;=Teams!$C$80,Teams!$C$43*Params!$E$6*Org!$B$10*Params!$E$7/12,0)</f>
        <v>300</v>
      </c>
      <c r="X19" s="44">
        <f>X$5*IF(X$4&gt;=Teams!$C$80,Teams!$C$43*Params!$E$6*Org!$B$10*Params!$E$7/12,0)</f>
        <v>300</v>
      </c>
      <c r="Y19" s="44">
        <f>Y$5*IF(Y$4&gt;=Teams!$C$80,Teams!$C$43*Params!$E$6*Org!$B$10*Params!$E$7/12,0)</f>
        <v>300</v>
      </c>
      <c r="Z19" s="44">
        <f>Z$5*IF(Z$4&gt;=Teams!$C$80,Teams!$C$43*Params!$E$6*Org!$B$10*Params!$E$7/12,0)</f>
        <v>300</v>
      </c>
      <c r="AA19" s="44">
        <f>AA$5*IF(AA$4&gt;=Teams!$C$80,Teams!$C$43*Params!$E$6*Org!$B$10*Params!$E$7/12,0)</f>
        <v>300</v>
      </c>
      <c r="AB19" s="44">
        <f>AB$5*IF(AB$4&gt;=Teams!$C$80,Teams!$C$43*Params!$E$6*Org!$B$10*Params!$E$7/12,0)</f>
        <v>300</v>
      </c>
      <c r="AC19" s="44">
        <f>AC$5*IF(AC$4&gt;=Teams!$C$80,Teams!$C$43*Params!$E$6*Org!$B$10*Params!$E$7/12,0)</f>
        <v>300</v>
      </c>
      <c r="AD19" s="44">
        <f>AD$5*IF(AD$4&gt;=Teams!$C$80,Teams!$C$43*Params!$E$6*Org!$B$10*Params!$E$7/12,0)</f>
        <v>300</v>
      </c>
      <c r="AE19" s="44">
        <f>AE$5*IF(AE$4&gt;=Teams!$C$80,Teams!$C$43*Params!$E$6*Org!$B$10*Params!$E$7/12,0)</f>
        <v>300</v>
      </c>
      <c r="AF19" s="44">
        <f>AF$5*IF(AF$4&gt;=Teams!$C$80,Teams!$C$43*Params!$E$6*Org!$B$10*Params!$E$7/12,0)</f>
        <v>300</v>
      </c>
      <c r="AG19" s="44">
        <f>AG$5*IF(AG$4&gt;=Teams!$C$80,Teams!$C$43*Params!$E$6*Org!$B$10*Params!$E$7/12,0)</f>
        <v>300</v>
      </c>
      <c r="AH19" s="44">
        <f>AH$5*IF(AH$4&gt;=Teams!$C$80,Teams!$C$43*Params!$E$6*Org!$B$10*Params!$E$7/12,0)</f>
        <v>300</v>
      </c>
      <c r="AI19" s="44">
        <f>AI$5*IF(AI$4&gt;=Teams!$C$80,Teams!$C$43*Params!$E$6*Org!$B$10*Params!$E$7/12,0)</f>
        <v>300</v>
      </c>
      <c r="AJ19" s="44">
        <f>AJ$5*IF(AJ$4&gt;=Teams!$C$80,Teams!$C$43*Params!$E$6*Org!$B$10*Params!$E$7/12,0)</f>
        <v>300</v>
      </c>
      <c r="AK19" s="44">
        <f>AK$5*IF(AK$4&gt;=Teams!$C$80,Teams!$C$43*Params!$E$6*Org!$B$10*Params!$E$7/12,0)</f>
        <v>300</v>
      </c>
      <c r="AL19" s="44">
        <f>AL$5*IF(AL$4&gt;=Teams!$C$80,Teams!$C$43*Params!$E$6*Org!$B$10*Params!$E$7/12,0)</f>
        <v>300</v>
      </c>
      <c r="AM19" s="44">
        <f>AM$5*IF(AM$4&gt;=Teams!$C$80,Teams!$C$43*Params!$E$6*Org!$B$10*Params!$E$7/12,0)</f>
        <v>300</v>
      </c>
      <c r="AN19" s="44">
        <f>AN$5*IF(AN$4&gt;=Teams!$C$80,Teams!$C$43*Params!$E$6*Org!$B$10*Params!$E$7/12,0)</f>
        <v>300</v>
      </c>
      <c r="AO19" s="44">
        <f>AO$5*IF(AO$4&gt;=Teams!$C$80,Teams!$C$43*Params!$E$6*Org!$B$10*Params!$E$7/12,0)</f>
        <v>0</v>
      </c>
      <c r="AP19" s="44">
        <f>AP$5*IF(AP$4&gt;=Teams!$C$80,Teams!$C$43*Params!$E$6*Org!$B$10*Params!$E$7/12,0)</f>
        <v>0</v>
      </c>
      <c r="AQ19" s="44">
        <f>AQ$5*IF(AQ$4&gt;=Teams!$C$80,Teams!$C$43*Params!$E$6*Org!$B$10*Params!$E$7/12,0)</f>
        <v>0</v>
      </c>
      <c r="AR19" s="44">
        <f>AR$5*IF(AR$4&gt;=Teams!$C$80,Teams!$C$43*Params!$E$6*Org!$B$10*Params!$E$7/12,0)</f>
        <v>0</v>
      </c>
      <c r="AS19" s="44">
        <f>AS$5*IF(AS$4&gt;=Teams!$C$80,Teams!$C$43*Params!$E$6*Org!$B$10*Params!$E$7/12,0)</f>
        <v>0</v>
      </c>
      <c r="AT19" s="44">
        <f>AT$5*IF(AT$4&gt;=Teams!$C$80,Teams!$C$43*Params!$E$6*Org!$B$10*Params!$E$7/12,0)</f>
        <v>0</v>
      </c>
      <c r="AU19" s="44">
        <f>AU$5*IF(AU$4&gt;=Teams!$C$80,Teams!$C$43*Params!$E$6*Org!$B$10*Params!$E$7/12,0)</f>
        <v>0</v>
      </c>
      <c r="AV19" s="44">
        <f>AV$5*IF(AV$4&gt;=Teams!$C$80,Teams!$C$43*Params!$E$6*Org!$B$10*Params!$E$7/12,0)</f>
        <v>0</v>
      </c>
      <c r="AW19" s="44">
        <f>AW$5*IF(AW$4&gt;=Teams!$C$80,Teams!$C$43*Params!$E$6*Org!$B$10*Params!$E$7/12,0)</f>
        <v>0</v>
      </c>
      <c r="AX19" s="44">
        <f>AX$5*IF(AX$4&gt;=Teams!$C$80,Teams!$C$43*Params!$E$6*Org!$B$10*Params!$E$7/12,0)</f>
        <v>0</v>
      </c>
      <c r="AY19" s="44">
        <f>AY$5*IF(AY$4&gt;=Teams!$C$80,Teams!$C$43*Params!$E$6*Org!$B$10*Params!$E$7/12,0)</f>
        <v>0</v>
      </c>
      <c r="AZ19" s="44">
        <f>AZ$5*IF(AZ$4&gt;=Teams!$C$80,Teams!$C$43*Params!$E$6*Org!$B$10*Params!$E$7/12,0)</f>
        <v>0</v>
      </c>
      <c r="BA19" s="44">
        <f>BA$5*IF(BA$4&gt;=Teams!$C$80,Teams!$C$43*Params!$E$6*Org!$B$10*Params!$E$7/12,0)</f>
        <v>0</v>
      </c>
      <c r="BB19" s="44">
        <f>BB$5*IF(BB$4&gt;=Teams!$C$80,Teams!$C$43*Params!$E$6*Org!$B$10*Params!$E$7/12,0)</f>
        <v>0</v>
      </c>
      <c r="BC19" s="44">
        <f>BC$5*IF(BC$4&gt;=Teams!$C$80,Teams!$C$43*Params!$E$6*Org!$B$10*Params!$E$7/12,0)</f>
        <v>0</v>
      </c>
      <c r="BD19" s="44">
        <f>BD$5*IF(BD$4&gt;=Teams!$C$80,Teams!$C$43*Params!$E$6*Org!$B$10*Params!$E$7/12,0)</f>
        <v>0</v>
      </c>
      <c r="BE19" s="44">
        <f>BE$5*IF(BE$4&gt;=Teams!$C$80,Teams!$C$43*Params!$E$6*Org!$B$10*Params!$E$7/12,0)</f>
        <v>0</v>
      </c>
      <c r="BF19" s="44">
        <f>BF$5*IF(BF$4&gt;=Teams!$C$80,Teams!$C$43*Params!$E$6*Org!$B$10*Params!$E$7/12,0)</f>
        <v>0</v>
      </c>
      <c r="BG19" s="44">
        <f>BG$5*IF(BG$4&gt;=Teams!$C$80,Teams!$C$43*Params!$E$6*Org!$B$10*Params!$E$7/12,0)</f>
        <v>0</v>
      </c>
      <c r="BH19" s="44">
        <f>BH$5*IF(BH$4&gt;=Teams!$C$80,Teams!$C$43*Params!$E$6*Org!$B$10*Params!$E$7/12,0)</f>
        <v>0</v>
      </c>
      <c r="BI19" s="44">
        <f>BI$5*IF(BI$4&gt;=Teams!$C$80,Teams!$C$43*Params!$E$6*Org!$B$10*Params!$E$7/12,0)</f>
        <v>0</v>
      </c>
      <c r="BJ19" s="44">
        <f>BJ$5*IF(BJ$4&gt;=Teams!$C$80,Teams!$C$43*Params!$E$6*Org!$B$10*Params!$E$7/12,0)</f>
        <v>0</v>
      </c>
      <c r="BK19" s="44">
        <f>BK$5*IF(BK$4&gt;=Teams!$C$80,Teams!$C$43*Params!$E$6*Org!$B$10*Params!$E$7/12,0)</f>
        <v>0</v>
      </c>
      <c r="BL19" s="44">
        <f>BL$5*IF(BL$4&gt;=Teams!$C$80,Teams!$C$43*Params!$E$6*Org!$B$10*Params!$E$7/12,0)</f>
        <v>0</v>
      </c>
    </row>
    <row r="20" spans="1:64" x14ac:dyDescent="0.3">
      <c r="A20" s="8" t="s">
        <v>672</v>
      </c>
      <c r="B20" s="18" t="s">
        <v>169</v>
      </c>
      <c r="C20" s="44">
        <f t="shared" si="2"/>
        <v>250200</v>
      </c>
      <c r="E20" s="44">
        <f>E$5*IF(E$4&gt;=Teams!$C$80,Params!$E$23*Params!$E$24/60*(Org!$B$10/Org!$B$11)+Params!$E$27/12*Params!$E$13*Org!$B$10+E11/1000*Params!$E$28*Params!$E$29*(Org!$B$10/Org!$B$11),0)</f>
        <v>3866.6666666666665</v>
      </c>
      <c r="F20" s="44">
        <f>F$5*IF(F$4&gt;=Teams!$C$80,Params!$E$23*Params!$E$24/60*(Org!$B$10/Org!$B$11)+Params!$E$27/12*Params!$E$13*Org!$B$10+F11/1000*Params!$E$28*Params!$E$29*(Org!$B$10/Org!$B$11),0)</f>
        <v>4533.333333333333</v>
      </c>
      <c r="G20" s="44">
        <f>G$5*IF(G$4&gt;=Teams!$C$80,Params!$E$23*Params!$E$24/60*(Org!$B$10/Org!$B$11)+Params!$E$27/12*Params!$E$13*Org!$B$10+G11/1000*Params!$E$28*Params!$E$29*(Org!$B$10/Org!$B$11),0)</f>
        <v>5400</v>
      </c>
      <c r="H20" s="44">
        <f>H$5*IF(H$4&gt;=Teams!$C$80,Params!$E$23*Params!$E$24/60*(Org!$B$10/Org!$B$11)+Params!$E$27/12*Params!$E$13*Org!$B$10+H11/1000*Params!$E$28*Params!$E$29*(Org!$B$10/Org!$B$11),0)</f>
        <v>6266.6666666666661</v>
      </c>
      <c r="I20" s="44">
        <f>I$5*IF(I$4&gt;=Teams!$C$80,Params!$E$23*Params!$E$24/60*(Org!$B$10/Org!$B$11)+Params!$E$27/12*Params!$E$13*Org!$B$10+I11/1000*Params!$E$28*Params!$E$29*(Org!$B$10/Org!$B$11),0)</f>
        <v>6933.3333333333339</v>
      </c>
      <c r="J20" s="44">
        <f>J$5*IF(J$4&gt;=Teams!$C$80,Params!$E$23*Params!$E$24/60*(Org!$B$10/Org!$B$11)+Params!$E$27/12*Params!$E$13*Org!$B$10+J11/1000*Params!$E$28*Params!$E$29*(Org!$B$10/Org!$B$11),0)</f>
        <v>7200</v>
      </c>
      <c r="K20" s="44">
        <f>K$5*IF(K$4&gt;=Teams!$C$80,Params!$E$23*Params!$E$24/60*(Org!$B$10/Org!$B$11)+Params!$E$27/12*Params!$E$13*Org!$B$10+K11/1000*Params!$E$28*Params!$E$29*(Org!$B$10/Org!$B$11),0)</f>
        <v>7200</v>
      </c>
      <c r="L20" s="44">
        <f>L$5*IF(L$4&gt;=Teams!$C$80,Params!$E$23*Params!$E$24/60*(Org!$B$10/Org!$B$11)+Params!$E$27/12*Params!$E$13*Org!$B$10+L11/1000*Params!$E$28*Params!$E$29*(Org!$B$10/Org!$B$11),0)</f>
        <v>7200</v>
      </c>
      <c r="M20" s="44">
        <f>M$5*IF(M$4&gt;=Teams!$C$80,Params!$E$23*Params!$E$24/60*(Org!$B$10/Org!$B$11)+Params!$E$27/12*Params!$E$13*Org!$B$10+M11/1000*Params!$E$28*Params!$E$29*(Org!$B$10/Org!$B$11),0)</f>
        <v>7200</v>
      </c>
      <c r="N20" s="44">
        <f>N$5*IF(N$4&gt;=Teams!$C$80,Params!$E$23*Params!$E$24/60*(Org!$B$10/Org!$B$11)+Params!$E$27/12*Params!$E$13*Org!$B$10+N11/1000*Params!$E$28*Params!$E$29*(Org!$B$10/Org!$B$11),0)</f>
        <v>7200</v>
      </c>
      <c r="O20" s="44">
        <f>O$5*IF(O$4&gt;=Teams!$C$80,Params!$E$23*Params!$E$24/60*(Org!$B$10/Org!$B$11)+Params!$E$27/12*Params!$E$13*Org!$B$10+O11/1000*Params!$E$28*Params!$E$29*(Org!$B$10/Org!$B$11),0)</f>
        <v>7200</v>
      </c>
      <c r="P20" s="44">
        <f>P$5*IF(P$4&gt;=Teams!$C$80,Params!$E$23*Params!$E$24/60*(Org!$B$10/Org!$B$11)+Params!$E$27/12*Params!$E$13*Org!$B$10+P11/1000*Params!$E$28*Params!$E$29*(Org!$B$10/Org!$B$11),0)</f>
        <v>7200</v>
      </c>
      <c r="Q20" s="44">
        <f>Q$5*IF(Q$4&gt;=Teams!$C$80,Params!$E$23*Params!$E$24/60*(Org!$B$10/Org!$B$11)+Params!$E$27/12*Params!$E$13*Org!$B$10+Q11/1000*Params!$E$28*Params!$E$29*(Org!$B$10/Org!$B$11),0)</f>
        <v>7200</v>
      </c>
      <c r="R20" s="44">
        <f>R$5*IF(R$4&gt;=Teams!$C$80,Params!$E$23*Params!$E$24/60*(Org!$B$10/Org!$B$11)+Params!$E$27/12*Params!$E$13*Org!$B$10+R11/1000*Params!$E$28*Params!$E$29*(Org!$B$10/Org!$B$11),0)</f>
        <v>7200</v>
      </c>
      <c r="S20" s="44">
        <f>S$5*IF(S$4&gt;=Teams!$C$80,Params!$E$23*Params!$E$24/60*(Org!$B$10/Org!$B$11)+Params!$E$27/12*Params!$E$13*Org!$B$10+S11/1000*Params!$E$28*Params!$E$29*(Org!$B$10/Org!$B$11),0)</f>
        <v>7200</v>
      </c>
      <c r="T20" s="44">
        <f>T$5*IF(T$4&gt;=Teams!$C$80,Params!$E$23*Params!$E$24/60*(Org!$B$10/Org!$B$11)+Params!$E$27/12*Params!$E$13*Org!$B$10+T11/1000*Params!$E$28*Params!$E$29*(Org!$B$10/Org!$B$11),0)</f>
        <v>7200</v>
      </c>
      <c r="U20" s="44">
        <f>U$5*IF(U$4&gt;=Teams!$C$80,Params!$E$23*Params!$E$24/60*(Org!$B$10/Org!$B$11)+Params!$E$27/12*Params!$E$13*Org!$B$10+U11/1000*Params!$E$28*Params!$E$29*(Org!$B$10/Org!$B$11),0)</f>
        <v>7200</v>
      </c>
      <c r="V20" s="44">
        <f>V$5*IF(V$4&gt;=Teams!$C$80,Params!$E$23*Params!$E$24/60*(Org!$B$10/Org!$B$11)+Params!$E$27/12*Params!$E$13*Org!$B$10+V11/1000*Params!$E$28*Params!$E$29*(Org!$B$10/Org!$B$11),0)</f>
        <v>7200</v>
      </c>
      <c r="W20" s="44">
        <f>W$5*IF(W$4&gt;=Teams!$C$80,Params!$E$23*Params!$E$24/60*(Org!$B$10/Org!$B$11)+Params!$E$27/12*Params!$E$13*Org!$B$10+W11/1000*Params!$E$28*Params!$E$29*(Org!$B$10/Org!$B$11),0)</f>
        <v>7200</v>
      </c>
      <c r="X20" s="44">
        <f>X$5*IF(X$4&gt;=Teams!$C$80,Params!$E$23*Params!$E$24/60*(Org!$B$10/Org!$B$11)+Params!$E$27/12*Params!$E$13*Org!$B$10+X11/1000*Params!$E$28*Params!$E$29*(Org!$B$10/Org!$B$11),0)</f>
        <v>7200</v>
      </c>
      <c r="Y20" s="44">
        <f>Y$5*IF(Y$4&gt;=Teams!$C$80,Params!$E$23*Params!$E$24/60*(Org!$B$10/Org!$B$11)+Params!$E$27/12*Params!$E$13*Org!$B$10+Y11/1000*Params!$E$28*Params!$E$29*(Org!$B$10/Org!$B$11),0)</f>
        <v>7200</v>
      </c>
      <c r="Z20" s="44">
        <f>Z$5*IF(Z$4&gt;=Teams!$C$80,Params!$E$23*Params!$E$24/60*(Org!$B$10/Org!$B$11)+Params!$E$27/12*Params!$E$13*Org!$B$10+Z11/1000*Params!$E$28*Params!$E$29*(Org!$B$10/Org!$B$11),0)</f>
        <v>7200</v>
      </c>
      <c r="AA20" s="44">
        <f>AA$5*IF(AA$4&gt;=Teams!$C$80,Params!$E$23*Params!$E$24/60*(Org!$B$10/Org!$B$11)+Params!$E$27/12*Params!$E$13*Org!$B$10+AA11/1000*Params!$E$28*Params!$E$29*(Org!$B$10/Org!$B$11),0)</f>
        <v>7200</v>
      </c>
      <c r="AB20" s="44">
        <f>AB$5*IF(AB$4&gt;=Teams!$C$80,Params!$E$23*Params!$E$24/60*(Org!$B$10/Org!$B$11)+Params!$E$27/12*Params!$E$13*Org!$B$10+AB11/1000*Params!$E$28*Params!$E$29*(Org!$B$10/Org!$B$11),0)</f>
        <v>7200</v>
      </c>
      <c r="AC20" s="44">
        <f>AC$5*IF(AC$4&gt;=Teams!$C$80,Params!$E$23*Params!$E$24/60*(Org!$B$10/Org!$B$11)+Params!$E$27/12*Params!$E$13*Org!$B$10+AC11/1000*Params!$E$28*Params!$E$29*(Org!$B$10/Org!$B$11),0)</f>
        <v>7200</v>
      </c>
      <c r="AD20" s="44">
        <f>AD$5*IF(AD$4&gt;=Teams!$C$80,Params!$E$23*Params!$E$24/60*(Org!$B$10/Org!$B$11)+Params!$E$27/12*Params!$E$13*Org!$B$10+AD11/1000*Params!$E$28*Params!$E$29*(Org!$B$10/Org!$B$11),0)</f>
        <v>7200</v>
      </c>
      <c r="AE20" s="44">
        <f>AE$5*IF(AE$4&gt;=Teams!$C$80,Params!$E$23*Params!$E$24/60*(Org!$B$10/Org!$B$11)+Params!$E$27/12*Params!$E$13*Org!$B$10+AE11/1000*Params!$E$28*Params!$E$29*(Org!$B$10/Org!$B$11),0)</f>
        <v>7200</v>
      </c>
      <c r="AF20" s="44">
        <f>AF$5*IF(AF$4&gt;=Teams!$C$80,Params!$E$23*Params!$E$24/60*(Org!$B$10/Org!$B$11)+Params!$E$27/12*Params!$E$13*Org!$B$10+AF11/1000*Params!$E$28*Params!$E$29*(Org!$B$10/Org!$B$11),0)</f>
        <v>7200</v>
      </c>
      <c r="AG20" s="44">
        <f>AG$5*IF(AG$4&gt;=Teams!$C$80,Params!$E$23*Params!$E$24/60*(Org!$B$10/Org!$B$11)+Params!$E$27/12*Params!$E$13*Org!$B$10+AG11/1000*Params!$E$28*Params!$E$29*(Org!$B$10/Org!$B$11),0)</f>
        <v>7200</v>
      </c>
      <c r="AH20" s="44">
        <f>AH$5*IF(AH$4&gt;=Teams!$C$80,Params!$E$23*Params!$E$24/60*(Org!$B$10/Org!$B$11)+Params!$E$27/12*Params!$E$13*Org!$B$10+AH11/1000*Params!$E$28*Params!$E$29*(Org!$B$10/Org!$B$11),0)</f>
        <v>7200</v>
      </c>
      <c r="AI20" s="44">
        <f>AI$5*IF(AI$4&gt;=Teams!$C$80,Params!$E$23*Params!$E$24/60*(Org!$B$10/Org!$B$11)+Params!$E$27/12*Params!$E$13*Org!$B$10+AI11/1000*Params!$E$28*Params!$E$29*(Org!$B$10/Org!$B$11),0)</f>
        <v>7200</v>
      </c>
      <c r="AJ20" s="44">
        <f>AJ$5*IF(AJ$4&gt;=Teams!$C$80,Params!$E$23*Params!$E$24/60*(Org!$B$10/Org!$B$11)+Params!$E$27/12*Params!$E$13*Org!$B$10+AJ11/1000*Params!$E$28*Params!$E$29*(Org!$B$10/Org!$B$11),0)</f>
        <v>7200</v>
      </c>
      <c r="AK20" s="44">
        <f>AK$5*IF(AK$4&gt;=Teams!$C$80,Params!$E$23*Params!$E$24/60*(Org!$B$10/Org!$B$11)+Params!$E$27/12*Params!$E$13*Org!$B$10+AK11/1000*Params!$E$28*Params!$E$29*(Org!$B$10/Org!$B$11),0)</f>
        <v>7200</v>
      </c>
      <c r="AL20" s="44">
        <f>AL$5*IF(AL$4&gt;=Teams!$C$80,Params!$E$23*Params!$E$24/60*(Org!$B$10/Org!$B$11)+Params!$E$27/12*Params!$E$13*Org!$B$10+AL11/1000*Params!$E$28*Params!$E$29*(Org!$B$10/Org!$B$11),0)</f>
        <v>7200</v>
      </c>
      <c r="AM20" s="44">
        <f>AM$5*IF(AM$4&gt;=Teams!$C$80,Params!$E$23*Params!$E$24/60*(Org!$B$10/Org!$B$11)+Params!$E$27/12*Params!$E$13*Org!$B$10+AM11/1000*Params!$E$28*Params!$E$29*(Org!$B$10/Org!$B$11),0)</f>
        <v>7200</v>
      </c>
      <c r="AN20" s="44">
        <f>AN$5*IF(AN$4&gt;=Teams!$C$80,Params!$E$23*Params!$E$24/60*(Org!$B$10/Org!$B$11)+Params!$E$27/12*Params!$E$13*Org!$B$10+AN11/1000*Params!$E$28*Params!$E$29*(Org!$B$10/Org!$B$11),0)</f>
        <v>7200</v>
      </c>
      <c r="AO20" s="44">
        <f>AO$5*IF(AO$4&gt;=Teams!$C$80,Params!$E$23*Params!$E$24/60*(Org!$B$10/Org!$B$11)+Params!$E$27/12*Params!$E$13*Org!$B$10+AO11/1000*Params!$E$28*Params!$E$29*(Org!$B$10/Org!$B$11),0)</f>
        <v>0</v>
      </c>
      <c r="AP20" s="44">
        <f>AP$5*IF(AP$4&gt;=Teams!$C$80,Params!$E$23*Params!$E$24/60*(Org!$B$10/Org!$B$11)+Params!$E$27/12*Params!$E$13*Org!$B$10+AP11/1000*Params!$E$28*Params!$E$29*(Org!$B$10/Org!$B$11),0)</f>
        <v>0</v>
      </c>
      <c r="AQ20" s="44">
        <f>AQ$5*IF(AQ$4&gt;=Teams!$C$80,Params!$E$23*Params!$E$24/60*(Org!$B$10/Org!$B$11)+Params!$E$27/12*Params!$E$13*Org!$B$10+AQ11/1000*Params!$E$28*Params!$E$29*(Org!$B$10/Org!$B$11),0)</f>
        <v>0</v>
      </c>
      <c r="AR20" s="44">
        <f>AR$5*IF(AR$4&gt;=Teams!$C$80,Params!$E$23*Params!$E$24/60*(Org!$B$10/Org!$B$11)+Params!$E$27/12*Params!$E$13*Org!$B$10+AR11/1000*Params!$E$28*Params!$E$29*(Org!$B$10/Org!$B$11),0)</f>
        <v>0</v>
      </c>
      <c r="AS20" s="44">
        <f>AS$5*IF(AS$4&gt;=Teams!$C$80,Params!$E$23*Params!$E$24/60*(Org!$B$10/Org!$B$11)+Params!$E$27/12*Params!$E$13*Org!$B$10+AS11/1000*Params!$E$28*Params!$E$29*(Org!$B$10/Org!$B$11),0)</f>
        <v>0</v>
      </c>
      <c r="AT20" s="44">
        <f>AT$5*IF(AT$4&gt;=Teams!$C$80,Params!$E$23*Params!$E$24/60*(Org!$B$10/Org!$B$11)+Params!$E$27/12*Params!$E$13*Org!$B$10+AT11/1000*Params!$E$28*Params!$E$29*(Org!$B$10/Org!$B$11),0)</f>
        <v>0</v>
      </c>
      <c r="AU20" s="44">
        <f>AU$5*IF(AU$4&gt;=Teams!$C$80,Params!$E$23*Params!$E$24/60*(Org!$B$10/Org!$B$11)+Params!$E$27/12*Params!$E$13*Org!$B$10+AU11/1000*Params!$E$28*Params!$E$29*(Org!$B$10/Org!$B$11),0)</f>
        <v>0</v>
      </c>
      <c r="AV20" s="44">
        <f>AV$5*IF(AV$4&gt;=Teams!$C$80,Params!$E$23*Params!$E$24/60*(Org!$B$10/Org!$B$11)+Params!$E$27/12*Params!$E$13*Org!$B$10+AV11/1000*Params!$E$28*Params!$E$29*(Org!$B$10/Org!$B$11),0)</f>
        <v>0</v>
      </c>
      <c r="AW20" s="44">
        <f>AW$5*IF(AW$4&gt;=Teams!$C$80,Params!$E$23*Params!$E$24/60*(Org!$B$10/Org!$B$11)+Params!$E$27/12*Params!$E$13*Org!$B$10+AW11/1000*Params!$E$28*Params!$E$29*(Org!$B$10/Org!$B$11),0)</f>
        <v>0</v>
      </c>
      <c r="AX20" s="44">
        <f>AX$5*IF(AX$4&gt;=Teams!$C$80,Params!$E$23*Params!$E$24/60*(Org!$B$10/Org!$B$11)+Params!$E$27/12*Params!$E$13*Org!$B$10+AX11/1000*Params!$E$28*Params!$E$29*(Org!$B$10/Org!$B$11),0)</f>
        <v>0</v>
      </c>
      <c r="AY20" s="44">
        <f>AY$5*IF(AY$4&gt;=Teams!$C$80,Params!$E$23*Params!$E$24/60*(Org!$B$10/Org!$B$11)+Params!$E$27/12*Params!$E$13*Org!$B$10+AY11/1000*Params!$E$28*Params!$E$29*(Org!$B$10/Org!$B$11),0)</f>
        <v>0</v>
      </c>
      <c r="AZ20" s="44">
        <f>AZ$5*IF(AZ$4&gt;=Teams!$C$80,Params!$E$23*Params!$E$24/60*(Org!$B$10/Org!$B$11)+Params!$E$27/12*Params!$E$13*Org!$B$10+AZ11/1000*Params!$E$28*Params!$E$29*(Org!$B$10/Org!$B$11),0)</f>
        <v>0</v>
      </c>
      <c r="BA20" s="44">
        <f>BA$5*IF(BA$4&gt;=Teams!$C$80,Params!$E$23*Params!$E$24/60*(Org!$B$10/Org!$B$11)+Params!$E$27/12*Params!$E$13*Org!$B$10+BA11/1000*Params!$E$28*Params!$E$29*(Org!$B$10/Org!$B$11),0)</f>
        <v>0</v>
      </c>
      <c r="BB20" s="44">
        <f>BB$5*IF(BB$4&gt;=Teams!$C$80,Params!$E$23*Params!$E$24/60*(Org!$B$10/Org!$B$11)+Params!$E$27/12*Params!$E$13*Org!$B$10+BB11/1000*Params!$E$28*Params!$E$29*(Org!$B$10/Org!$B$11),0)</f>
        <v>0</v>
      </c>
      <c r="BC20" s="44">
        <f>BC$5*IF(BC$4&gt;=Teams!$C$80,Params!$E$23*Params!$E$24/60*(Org!$B$10/Org!$B$11)+Params!$E$27/12*Params!$E$13*Org!$B$10+BC11/1000*Params!$E$28*Params!$E$29*(Org!$B$10/Org!$B$11),0)</f>
        <v>0</v>
      </c>
      <c r="BD20" s="44">
        <f>BD$5*IF(BD$4&gt;=Teams!$C$80,Params!$E$23*Params!$E$24/60*(Org!$B$10/Org!$B$11)+Params!$E$27/12*Params!$E$13*Org!$B$10+BD11/1000*Params!$E$28*Params!$E$29*(Org!$B$10/Org!$B$11),0)</f>
        <v>0</v>
      </c>
      <c r="BE20" s="44">
        <f>BE$5*IF(BE$4&gt;=Teams!$C$80,Params!$E$23*Params!$E$24/60*(Org!$B$10/Org!$B$11)+Params!$E$27/12*Params!$E$13*Org!$B$10+BE11/1000*Params!$E$28*Params!$E$29*(Org!$B$10/Org!$B$11),0)</f>
        <v>0</v>
      </c>
      <c r="BF20" s="44">
        <f>BF$5*IF(BF$4&gt;=Teams!$C$80,Params!$E$23*Params!$E$24/60*(Org!$B$10/Org!$B$11)+Params!$E$27/12*Params!$E$13*Org!$B$10+BF11/1000*Params!$E$28*Params!$E$29*(Org!$B$10/Org!$B$11),0)</f>
        <v>0</v>
      </c>
      <c r="BG20" s="44">
        <f>BG$5*IF(BG$4&gt;=Teams!$C$80,Params!$E$23*Params!$E$24/60*(Org!$B$10/Org!$B$11)+Params!$E$27/12*Params!$E$13*Org!$B$10+BG11/1000*Params!$E$28*Params!$E$29*(Org!$B$10/Org!$B$11),0)</f>
        <v>0</v>
      </c>
      <c r="BH20" s="44">
        <f>BH$5*IF(BH$4&gt;=Teams!$C$80,Params!$E$23*Params!$E$24/60*(Org!$B$10/Org!$B$11)+Params!$E$27/12*Params!$E$13*Org!$B$10+BH11/1000*Params!$E$28*Params!$E$29*(Org!$B$10/Org!$B$11),0)</f>
        <v>0</v>
      </c>
      <c r="BI20" s="44">
        <f>BI$5*IF(BI$4&gt;=Teams!$C$80,Params!$E$23*Params!$E$24/60*(Org!$B$10/Org!$B$11)+Params!$E$27/12*Params!$E$13*Org!$B$10+BI11/1000*Params!$E$28*Params!$E$29*(Org!$B$10/Org!$B$11),0)</f>
        <v>0</v>
      </c>
      <c r="BJ20" s="44">
        <f>BJ$5*IF(BJ$4&gt;=Teams!$C$80,Params!$E$23*Params!$E$24/60*(Org!$B$10/Org!$B$11)+Params!$E$27/12*Params!$E$13*Org!$B$10+BJ11/1000*Params!$E$28*Params!$E$29*(Org!$B$10/Org!$B$11),0)</f>
        <v>0</v>
      </c>
      <c r="BK20" s="44">
        <f>BK$5*IF(BK$4&gt;=Teams!$C$80,Params!$E$23*Params!$E$24/60*(Org!$B$10/Org!$B$11)+Params!$E$27/12*Params!$E$13*Org!$B$10+BK11/1000*Params!$E$28*Params!$E$29*(Org!$B$10/Org!$B$11),0)</f>
        <v>0</v>
      </c>
      <c r="BL20" s="44">
        <f>BL$5*IF(BL$4&gt;=Teams!$C$80,Params!$E$23*Params!$E$24/60*(Org!$B$10/Org!$B$11)+Params!$E$27/12*Params!$E$13*Org!$B$10+BL11/1000*Params!$E$28*Params!$E$29*(Org!$B$10/Org!$B$11),0)</f>
        <v>0</v>
      </c>
    </row>
    <row r="21" spans="1:64" x14ac:dyDescent="0.3">
      <c r="A21" s="8" t="s">
        <v>673</v>
      </c>
      <c r="B21" s="18" t="s">
        <v>604</v>
      </c>
      <c r="C21" s="44">
        <f t="shared" si="2"/>
        <v>12800</v>
      </c>
      <c r="E21" s="44">
        <f>E$5*IF(AND(E$4&gt;Teams!$C$80,MOD(E$4-Teams!$C$80,MAX(1,ROUND(Params!$E$25,0)))=0),(Params!$E$26+Params!$E$17*Params!$E$16)*Org!$B$10,0)</f>
        <v>0</v>
      </c>
      <c r="F21" s="44">
        <f>F$5*IF(AND(F$4&gt;Teams!$C$80,MOD(F$4-Teams!$C$80,MAX(1,ROUND(Params!$E$25,0)))=0),(Params!$E$26+Params!$E$17*Params!$E$16)*Org!$B$10,0)</f>
        <v>0</v>
      </c>
      <c r="G21" s="44">
        <f>G$5*IF(AND(G$4&gt;Teams!$C$80,MOD(G$4-Teams!$C$80,MAX(1,ROUND(Params!$E$25,0)))=0),(Params!$E$26+Params!$E$17*Params!$E$16)*Org!$B$10,0)</f>
        <v>0</v>
      </c>
      <c r="H21" s="44">
        <f>H$5*IF(AND(H$4&gt;Teams!$C$80,MOD(H$4-Teams!$C$80,MAX(1,ROUND(Params!$E$25,0)))=0),(Params!$E$26+Params!$E$17*Params!$E$16)*Org!$B$10,0)</f>
        <v>0</v>
      </c>
      <c r="I21" s="44">
        <f>I$5*IF(AND(I$4&gt;Teams!$C$80,MOD(I$4-Teams!$C$80,MAX(1,ROUND(Params!$E$25,0)))=0),(Params!$E$26+Params!$E$17*Params!$E$16)*Org!$B$10,0)</f>
        <v>0</v>
      </c>
      <c r="J21" s="44">
        <f>J$5*IF(AND(J$4&gt;Teams!$C$80,MOD(J$4-Teams!$C$80,MAX(1,ROUND(Params!$E$25,0)))=0),(Params!$E$26+Params!$E$17*Params!$E$16)*Org!$B$10,0)</f>
        <v>0</v>
      </c>
      <c r="K21" s="44">
        <f>K$5*IF(AND(K$4&gt;Teams!$C$80,MOD(K$4-Teams!$C$80,MAX(1,ROUND(Params!$E$25,0)))=0),(Params!$E$26+Params!$E$17*Params!$E$16)*Org!$B$10,0)</f>
        <v>0</v>
      </c>
      <c r="L21" s="44">
        <f>L$5*IF(AND(L$4&gt;Teams!$C$80,MOD(L$4-Teams!$C$80,MAX(1,ROUND(Params!$E$25,0)))=0),(Params!$E$26+Params!$E$17*Params!$E$16)*Org!$B$10,0)</f>
        <v>0</v>
      </c>
      <c r="M21" s="44">
        <f>M$5*IF(AND(M$4&gt;Teams!$C$80,MOD(M$4-Teams!$C$80,MAX(1,ROUND(Params!$E$25,0)))=0),(Params!$E$26+Params!$E$17*Params!$E$16)*Org!$B$10,0)</f>
        <v>0</v>
      </c>
      <c r="N21" s="44">
        <f>N$5*IF(AND(N$4&gt;Teams!$C$80,MOD(N$4-Teams!$C$80,MAX(1,ROUND(Params!$E$25,0)))=0),(Params!$E$26+Params!$E$17*Params!$E$16)*Org!$B$10,0)</f>
        <v>0</v>
      </c>
      <c r="O21" s="44">
        <f>O$5*IF(AND(O$4&gt;Teams!$C$80,MOD(O$4-Teams!$C$80,MAX(1,ROUND(Params!$E$25,0)))=0),(Params!$E$26+Params!$E$17*Params!$E$16)*Org!$B$10,0)</f>
        <v>0</v>
      </c>
      <c r="P21" s="44">
        <f>P$5*IF(AND(P$4&gt;Teams!$C$80,MOD(P$4-Teams!$C$80,MAX(1,ROUND(Params!$E$25,0)))=0),(Params!$E$26+Params!$E$17*Params!$E$16)*Org!$B$10,0)</f>
        <v>0</v>
      </c>
      <c r="Q21" s="44">
        <f>Q$5*IF(AND(Q$4&gt;Teams!$C$80,MOD(Q$4-Teams!$C$80,MAX(1,ROUND(Params!$E$25,0)))=0),(Params!$E$26+Params!$E$17*Params!$E$16)*Org!$B$10,0)</f>
        <v>0</v>
      </c>
      <c r="R21" s="44">
        <f>R$5*IF(AND(R$4&gt;Teams!$C$80,MOD(R$4-Teams!$C$80,MAX(1,ROUND(Params!$E$25,0)))=0),(Params!$E$26+Params!$E$17*Params!$E$16)*Org!$B$10,0)</f>
        <v>0</v>
      </c>
      <c r="S21" s="44">
        <f>S$5*IF(AND(S$4&gt;Teams!$C$80,MOD(S$4-Teams!$C$80,MAX(1,ROUND(Params!$E$25,0)))=0),(Params!$E$26+Params!$E$17*Params!$E$16)*Org!$B$10,0)</f>
        <v>0</v>
      </c>
      <c r="T21" s="44">
        <f>T$5*IF(AND(T$4&gt;Teams!$C$80,MOD(T$4-Teams!$C$80,MAX(1,ROUND(Params!$E$25,0)))=0),(Params!$E$26+Params!$E$17*Params!$E$16)*Org!$B$10,0)</f>
        <v>6400</v>
      </c>
      <c r="U21" s="44">
        <f>U$5*IF(AND(U$4&gt;Teams!$C$80,MOD(U$4-Teams!$C$80,MAX(1,ROUND(Params!$E$25,0)))=0),(Params!$E$26+Params!$E$17*Params!$E$16)*Org!$B$10,0)</f>
        <v>0</v>
      </c>
      <c r="V21" s="44">
        <f>V$5*IF(AND(V$4&gt;Teams!$C$80,MOD(V$4-Teams!$C$80,MAX(1,ROUND(Params!$E$25,0)))=0),(Params!$E$26+Params!$E$17*Params!$E$16)*Org!$B$10,0)</f>
        <v>0</v>
      </c>
      <c r="W21" s="44">
        <f>W$5*IF(AND(W$4&gt;Teams!$C$80,MOD(W$4-Teams!$C$80,MAX(1,ROUND(Params!$E$25,0)))=0),(Params!$E$26+Params!$E$17*Params!$E$16)*Org!$B$10,0)</f>
        <v>0</v>
      </c>
      <c r="X21" s="44">
        <f>X$5*IF(AND(X$4&gt;Teams!$C$80,MOD(X$4-Teams!$C$80,MAX(1,ROUND(Params!$E$25,0)))=0),(Params!$E$26+Params!$E$17*Params!$E$16)*Org!$B$10,0)</f>
        <v>0</v>
      </c>
      <c r="Y21" s="44">
        <f>Y$5*IF(AND(Y$4&gt;Teams!$C$80,MOD(Y$4-Teams!$C$80,MAX(1,ROUND(Params!$E$25,0)))=0),(Params!$E$26+Params!$E$17*Params!$E$16)*Org!$B$10,0)</f>
        <v>0</v>
      </c>
      <c r="Z21" s="44">
        <f>Z$5*IF(AND(Z$4&gt;Teams!$C$80,MOD(Z$4-Teams!$C$80,MAX(1,ROUND(Params!$E$25,0)))=0),(Params!$E$26+Params!$E$17*Params!$E$16)*Org!$B$10,0)</f>
        <v>0</v>
      </c>
      <c r="AA21" s="44">
        <f>AA$5*IF(AND(AA$4&gt;Teams!$C$80,MOD(AA$4-Teams!$C$80,MAX(1,ROUND(Params!$E$25,0)))=0),(Params!$E$26+Params!$E$17*Params!$E$16)*Org!$B$10,0)</f>
        <v>0</v>
      </c>
      <c r="AB21" s="44">
        <f>AB$5*IF(AND(AB$4&gt;Teams!$C$80,MOD(AB$4-Teams!$C$80,MAX(1,ROUND(Params!$E$25,0)))=0),(Params!$E$26+Params!$E$17*Params!$E$16)*Org!$B$10,0)</f>
        <v>0</v>
      </c>
      <c r="AC21" s="44">
        <f>AC$5*IF(AND(AC$4&gt;Teams!$C$80,MOD(AC$4-Teams!$C$80,MAX(1,ROUND(Params!$E$25,0)))=0),(Params!$E$26+Params!$E$17*Params!$E$16)*Org!$B$10,0)</f>
        <v>0</v>
      </c>
      <c r="AD21" s="44">
        <f>AD$5*IF(AND(AD$4&gt;Teams!$C$80,MOD(AD$4-Teams!$C$80,MAX(1,ROUND(Params!$E$25,0)))=0),(Params!$E$26+Params!$E$17*Params!$E$16)*Org!$B$10,0)</f>
        <v>0</v>
      </c>
      <c r="AE21" s="44">
        <f>AE$5*IF(AND(AE$4&gt;Teams!$C$80,MOD(AE$4-Teams!$C$80,MAX(1,ROUND(Params!$E$25,0)))=0),(Params!$E$26+Params!$E$17*Params!$E$16)*Org!$B$10,0)</f>
        <v>0</v>
      </c>
      <c r="AF21" s="44">
        <f>AF$5*IF(AND(AF$4&gt;Teams!$C$80,MOD(AF$4-Teams!$C$80,MAX(1,ROUND(Params!$E$25,0)))=0),(Params!$E$26+Params!$E$17*Params!$E$16)*Org!$B$10,0)</f>
        <v>0</v>
      </c>
      <c r="AG21" s="44">
        <f>AG$5*IF(AND(AG$4&gt;Teams!$C$80,MOD(AG$4-Teams!$C$80,MAX(1,ROUND(Params!$E$25,0)))=0),(Params!$E$26+Params!$E$17*Params!$E$16)*Org!$B$10,0)</f>
        <v>0</v>
      </c>
      <c r="AH21" s="44">
        <f>AH$5*IF(AND(AH$4&gt;Teams!$C$80,MOD(AH$4-Teams!$C$80,MAX(1,ROUND(Params!$E$25,0)))=0),(Params!$E$26+Params!$E$17*Params!$E$16)*Org!$B$10,0)</f>
        <v>0</v>
      </c>
      <c r="AI21" s="44">
        <f>AI$5*IF(AND(AI$4&gt;Teams!$C$80,MOD(AI$4-Teams!$C$80,MAX(1,ROUND(Params!$E$25,0)))=0),(Params!$E$26+Params!$E$17*Params!$E$16)*Org!$B$10,0)</f>
        <v>6400</v>
      </c>
      <c r="AJ21" s="44">
        <f>AJ$5*IF(AND(AJ$4&gt;Teams!$C$80,MOD(AJ$4-Teams!$C$80,MAX(1,ROUND(Params!$E$25,0)))=0),(Params!$E$26+Params!$E$17*Params!$E$16)*Org!$B$10,0)</f>
        <v>0</v>
      </c>
      <c r="AK21" s="44">
        <f>AK$5*IF(AND(AK$4&gt;Teams!$C$80,MOD(AK$4-Teams!$C$80,MAX(1,ROUND(Params!$E$25,0)))=0),(Params!$E$26+Params!$E$17*Params!$E$16)*Org!$B$10,0)</f>
        <v>0</v>
      </c>
      <c r="AL21" s="44">
        <f>AL$5*IF(AND(AL$4&gt;Teams!$C$80,MOD(AL$4-Teams!$C$80,MAX(1,ROUND(Params!$E$25,0)))=0),(Params!$E$26+Params!$E$17*Params!$E$16)*Org!$B$10,0)</f>
        <v>0</v>
      </c>
      <c r="AM21" s="44">
        <f>AM$5*IF(AND(AM$4&gt;Teams!$C$80,MOD(AM$4-Teams!$C$80,MAX(1,ROUND(Params!$E$25,0)))=0),(Params!$E$26+Params!$E$17*Params!$E$16)*Org!$B$10,0)</f>
        <v>0</v>
      </c>
      <c r="AN21" s="44">
        <f>AN$5*IF(AND(AN$4&gt;Teams!$C$80,MOD(AN$4-Teams!$C$80,MAX(1,ROUND(Params!$E$25,0)))=0),(Params!$E$26+Params!$E$17*Params!$E$16)*Org!$B$10,0)</f>
        <v>0</v>
      </c>
      <c r="AO21" s="44">
        <f>AO$5*IF(AND(AO$4&gt;Teams!$C$80,MOD(AO$4-Teams!$C$80,MAX(1,ROUND(Params!$E$25,0)))=0),(Params!$E$26+Params!$E$17*Params!$E$16)*Org!$B$10,0)</f>
        <v>0</v>
      </c>
      <c r="AP21" s="44">
        <f>AP$5*IF(AND(AP$4&gt;Teams!$C$80,MOD(AP$4-Teams!$C$80,MAX(1,ROUND(Params!$E$25,0)))=0),(Params!$E$26+Params!$E$17*Params!$E$16)*Org!$B$10,0)</f>
        <v>0</v>
      </c>
      <c r="AQ21" s="44">
        <f>AQ$5*IF(AND(AQ$4&gt;Teams!$C$80,MOD(AQ$4-Teams!$C$80,MAX(1,ROUND(Params!$E$25,0)))=0),(Params!$E$26+Params!$E$17*Params!$E$16)*Org!$B$10,0)</f>
        <v>0</v>
      </c>
      <c r="AR21" s="44">
        <f>AR$5*IF(AND(AR$4&gt;Teams!$C$80,MOD(AR$4-Teams!$C$80,MAX(1,ROUND(Params!$E$25,0)))=0),(Params!$E$26+Params!$E$17*Params!$E$16)*Org!$B$10,0)</f>
        <v>0</v>
      </c>
      <c r="AS21" s="44">
        <f>AS$5*IF(AND(AS$4&gt;Teams!$C$80,MOD(AS$4-Teams!$C$80,MAX(1,ROUND(Params!$E$25,0)))=0),(Params!$E$26+Params!$E$17*Params!$E$16)*Org!$B$10,0)</f>
        <v>0</v>
      </c>
      <c r="AT21" s="44">
        <f>AT$5*IF(AND(AT$4&gt;Teams!$C$80,MOD(AT$4-Teams!$C$80,MAX(1,ROUND(Params!$E$25,0)))=0),(Params!$E$26+Params!$E$17*Params!$E$16)*Org!$B$10,0)</f>
        <v>0</v>
      </c>
      <c r="AU21" s="44">
        <f>AU$5*IF(AND(AU$4&gt;Teams!$C$80,MOD(AU$4-Teams!$C$80,MAX(1,ROUND(Params!$E$25,0)))=0),(Params!$E$26+Params!$E$17*Params!$E$16)*Org!$B$10,0)</f>
        <v>0</v>
      </c>
      <c r="AV21" s="44">
        <f>AV$5*IF(AND(AV$4&gt;Teams!$C$80,MOD(AV$4-Teams!$C$80,MAX(1,ROUND(Params!$E$25,0)))=0),(Params!$E$26+Params!$E$17*Params!$E$16)*Org!$B$10,0)</f>
        <v>0</v>
      </c>
      <c r="AW21" s="44">
        <f>AW$5*IF(AND(AW$4&gt;Teams!$C$80,MOD(AW$4-Teams!$C$80,MAX(1,ROUND(Params!$E$25,0)))=0),(Params!$E$26+Params!$E$17*Params!$E$16)*Org!$B$10,0)</f>
        <v>0</v>
      </c>
      <c r="AX21" s="44">
        <f>AX$5*IF(AND(AX$4&gt;Teams!$C$80,MOD(AX$4-Teams!$C$80,MAX(1,ROUND(Params!$E$25,0)))=0),(Params!$E$26+Params!$E$17*Params!$E$16)*Org!$B$10,0)</f>
        <v>0</v>
      </c>
      <c r="AY21" s="44">
        <f>AY$5*IF(AND(AY$4&gt;Teams!$C$80,MOD(AY$4-Teams!$C$80,MAX(1,ROUND(Params!$E$25,0)))=0),(Params!$E$26+Params!$E$17*Params!$E$16)*Org!$B$10,0)</f>
        <v>0</v>
      </c>
      <c r="AZ21" s="44">
        <f>AZ$5*IF(AND(AZ$4&gt;Teams!$C$80,MOD(AZ$4-Teams!$C$80,MAX(1,ROUND(Params!$E$25,0)))=0),(Params!$E$26+Params!$E$17*Params!$E$16)*Org!$B$10,0)</f>
        <v>0</v>
      </c>
      <c r="BA21" s="44">
        <f>BA$5*IF(AND(BA$4&gt;Teams!$C$80,MOD(BA$4-Teams!$C$80,MAX(1,ROUND(Params!$E$25,0)))=0),(Params!$E$26+Params!$E$17*Params!$E$16)*Org!$B$10,0)</f>
        <v>0</v>
      </c>
      <c r="BB21" s="44">
        <f>BB$5*IF(AND(BB$4&gt;Teams!$C$80,MOD(BB$4-Teams!$C$80,MAX(1,ROUND(Params!$E$25,0)))=0),(Params!$E$26+Params!$E$17*Params!$E$16)*Org!$B$10,0)</f>
        <v>0</v>
      </c>
      <c r="BC21" s="44">
        <f>BC$5*IF(AND(BC$4&gt;Teams!$C$80,MOD(BC$4-Teams!$C$80,MAX(1,ROUND(Params!$E$25,0)))=0),(Params!$E$26+Params!$E$17*Params!$E$16)*Org!$B$10,0)</f>
        <v>0</v>
      </c>
      <c r="BD21" s="44">
        <f>BD$5*IF(AND(BD$4&gt;Teams!$C$80,MOD(BD$4-Teams!$C$80,MAX(1,ROUND(Params!$E$25,0)))=0),(Params!$E$26+Params!$E$17*Params!$E$16)*Org!$B$10,0)</f>
        <v>0</v>
      </c>
      <c r="BE21" s="44">
        <f>BE$5*IF(AND(BE$4&gt;Teams!$C$80,MOD(BE$4-Teams!$C$80,MAX(1,ROUND(Params!$E$25,0)))=0),(Params!$E$26+Params!$E$17*Params!$E$16)*Org!$B$10,0)</f>
        <v>0</v>
      </c>
      <c r="BF21" s="44">
        <f>BF$5*IF(AND(BF$4&gt;Teams!$C$80,MOD(BF$4-Teams!$C$80,MAX(1,ROUND(Params!$E$25,0)))=0),(Params!$E$26+Params!$E$17*Params!$E$16)*Org!$B$10,0)</f>
        <v>0</v>
      </c>
      <c r="BG21" s="44">
        <f>BG$5*IF(AND(BG$4&gt;Teams!$C$80,MOD(BG$4-Teams!$C$80,MAX(1,ROUND(Params!$E$25,0)))=0),(Params!$E$26+Params!$E$17*Params!$E$16)*Org!$B$10,0)</f>
        <v>0</v>
      </c>
      <c r="BH21" s="44">
        <f>BH$5*IF(AND(BH$4&gt;Teams!$C$80,MOD(BH$4-Teams!$C$80,MAX(1,ROUND(Params!$E$25,0)))=0),(Params!$E$26+Params!$E$17*Params!$E$16)*Org!$B$10,0)</f>
        <v>0</v>
      </c>
      <c r="BI21" s="44">
        <f>BI$5*IF(AND(BI$4&gt;Teams!$C$80,MOD(BI$4-Teams!$C$80,MAX(1,ROUND(Params!$E$25,0)))=0),(Params!$E$26+Params!$E$17*Params!$E$16)*Org!$B$10,0)</f>
        <v>0</v>
      </c>
      <c r="BJ21" s="44">
        <f>BJ$5*IF(AND(BJ$4&gt;Teams!$C$80,MOD(BJ$4-Teams!$C$80,MAX(1,ROUND(Params!$E$25,0)))=0),(Params!$E$26+Params!$E$17*Params!$E$16)*Org!$B$10,0)</f>
        <v>0</v>
      </c>
      <c r="BK21" s="44">
        <f>BK$5*IF(AND(BK$4&gt;Teams!$C$80,MOD(BK$4-Teams!$C$80,MAX(1,ROUND(Params!$E$25,0)))=0),(Params!$E$26+Params!$E$17*Params!$E$16)*Org!$B$10,0)</f>
        <v>0</v>
      </c>
      <c r="BL21" s="44">
        <f>BL$5*IF(AND(BL$4&gt;Teams!$C$80,MOD(BL$4-Teams!$C$80,MAX(1,ROUND(Params!$E$25,0)))=0),(Params!$E$26+Params!$E$17*Params!$E$16)*Org!$B$10,0)</f>
        <v>0</v>
      </c>
    </row>
    <row r="22" spans="1:64" x14ac:dyDescent="0.3">
      <c r="A22" s="8" t="s">
        <v>674</v>
      </c>
      <c r="B22" s="18" t="s">
        <v>604</v>
      </c>
      <c r="C22" s="44">
        <f t="shared" si="2"/>
        <v>424120.04999999976</v>
      </c>
      <c r="E22" s="44">
        <f>E$5*E12*MIN(1,Teams!$C$41*Params!$E$35)*Params!$E$36/60*Teams!$C$42</f>
        <v>937.8</v>
      </c>
      <c r="F22" s="44">
        <f>F$5*F12*MIN(1,Teams!$C$41*Params!$E$35)*Params!$E$36/60*Teams!$C$42</f>
        <v>3282.3</v>
      </c>
      <c r="G22" s="44">
        <f>G$5*G12*MIN(1,Teams!$C$41*Params!$E$35)*Params!$E$36/60*Teams!$C$42</f>
        <v>6330.15</v>
      </c>
      <c r="H22" s="44">
        <f>H$5*H12*MIN(1,Teams!$C$41*Params!$E$35)*Params!$E$36/60*Teams!$C$42</f>
        <v>9378</v>
      </c>
      <c r="I22" s="44">
        <f>I$5*I12*MIN(1,Teams!$C$41*Params!$E$35)*Params!$E$36/60*Teams!$C$42</f>
        <v>11722.500000000004</v>
      </c>
      <c r="J22" s="44">
        <f>J$5*J12*MIN(1,Teams!$C$41*Params!$E$35)*Params!$E$36/60*Teams!$C$42</f>
        <v>12660.3</v>
      </c>
      <c r="K22" s="44">
        <f>K$5*K12*MIN(1,Teams!$C$41*Params!$E$35)*Params!$E$36/60*Teams!$C$42</f>
        <v>12660.3</v>
      </c>
      <c r="L22" s="44">
        <f>L$5*L12*MIN(1,Teams!$C$41*Params!$E$35)*Params!$E$36/60*Teams!$C$42</f>
        <v>12660.3</v>
      </c>
      <c r="M22" s="44">
        <f>M$5*M12*MIN(1,Teams!$C$41*Params!$E$35)*Params!$E$36/60*Teams!$C$42</f>
        <v>12660.3</v>
      </c>
      <c r="N22" s="44">
        <f>N$5*N12*MIN(1,Teams!$C$41*Params!$E$35)*Params!$E$36/60*Teams!$C$42</f>
        <v>12660.3</v>
      </c>
      <c r="O22" s="44">
        <f>O$5*O12*MIN(1,Teams!$C$41*Params!$E$35)*Params!$E$36/60*Teams!$C$42</f>
        <v>12660.3</v>
      </c>
      <c r="P22" s="44">
        <f>P$5*P12*MIN(1,Teams!$C$41*Params!$E$35)*Params!$E$36/60*Teams!$C$42</f>
        <v>12660.3</v>
      </c>
      <c r="Q22" s="44">
        <f>Q$5*Q12*MIN(1,Teams!$C$41*Params!$E$35)*Params!$E$36/60*Teams!$C$42</f>
        <v>12660.3</v>
      </c>
      <c r="R22" s="44">
        <f>R$5*R12*MIN(1,Teams!$C$41*Params!$E$35)*Params!$E$36/60*Teams!$C$42</f>
        <v>12660.3</v>
      </c>
      <c r="S22" s="44">
        <f>S$5*S12*MIN(1,Teams!$C$41*Params!$E$35)*Params!$E$36/60*Teams!$C$42</f>
        <v>12660.3</v>
      </c>
      <c r="T22" s="44">
        <f>T$5*T12*MIN(1,Teams!$C$41*Params!$E$35)*Params!$E$36/60*Teams!$C$42</f>
        <v>12660.3</v>
      </c>
      <c r="U22" s="44">
        <f>U$5*U12*MIN(1,Teams!$C$41*Params!$E$35)*Params!$E$36/60*Teams!$C$42</f>
        <v>12660.3</v>
      </c>
      <c r="V22" s="44">
        <f>V$5*V12*MIN(1,Teams!$C$41*Params!$E$35)*Params!$E$36/60*Teams!$C$42</f>
        <v>12660.3</v>
      </c>
      <c r="W22" s="44">
        <f>W$5*W12*MIN(1,Teams!$C$41*Params!$E$35)*Params!$E$36/60*Teams!$C$42</f>
        <v>12660.3</v>
      </c>
      <c r="X22" s="44">
        <f>X$5*X12*MIN(1,Teams!$C$41*Params!$E$35)*Params!$E$36/60*Teams!$C$42</f>
        <v>12660.3</v>
      </c>
      <c r="Y22" s="44">
        <f>Y$5*Y12*MIN(1,Teams!$C$41*Params!$E$35)*Params!$E$36/60*Teams!$C$42</f>
        <v>12660.3</v>
      </c>
      <c r="Z22" s="44">
        <f>Z$5*Z12*MIN(1,Teams!$C$41*Params!$E$35)*Params!$E$36/60*Teams!$C$42</f>
        <v>12660.3</v>
      </c>
      <c r="AA22" s="44">
        <f>AA$5*AA12*MIN(1,Teams!$C$41*Params!$E$35)*Params!$E$36/60*Teams!$C$42</f>
        <v>12660.3</v>
      </c>
      <c r="AB22" s="44">
        <f>AB$5*AB12*MIN(1,Teams!$C$41*Params!$E$35)*Params!$E$36/60*Teams!$C$42</f>
        <v>12660.3</v>
      </c>
      <c r="AC22" s="44">
        <f>AC$5*AC12*MIN(1,Teams!$C$41*Params!$E$35)*Params!$E$36/60*Teams!$C$42</f>
        <v>12660.3</v>
      </c>
      <c r="AD22" s="44">
        <f>AD$5*AD12*MIN(1,Teams!$C$41*Params!$E$35)*Params!$E$36/60*Teams!$C$42</f>
        <v>12660.3</v>
      </c>
      <c r="AE22" s="44">
        <f>AE$5*AE12*MIN(1,Teams!$C$41*Params!$E$35)*Params!$E$36/60*Teams!$C$42</f>
        <v>12660.3</v>
      </c>
      <c r="AF22" s="44">
        <f>AF$5*AF12*MIN(1,Teams!$C$41*Params!$E$35)*Params!$E$36/60*Teams!$C$42</f>
        <v>12660.3</v>
      </c>
      <c r="AG22" s="44">
        <f>AG$5*AG12*MIN(1,Teams!$C$41*Params!$E$35)*Params!$E$36/60*Teams!$C$42</f>
        <v>12660.3</v>
      </c>
      <c r="AH22" s="44">
        <f>AH$5*AH12*MIN(1,Teams!$C$41*Params!$E$35)*Params!$E$36/60*Teams!$C$42</f>
        <v>12660.3</v>
      </c>
      <c r="AI22" s="44">
        <f>AI$5*AI12*MIN(1,Teams!$C$41*Params!$E$35)*Params!$E$36/60*Teams!$C$42</f>
        <v>12660.3</v>
      </c>
      <c r="AJ22" s="44">
        <f>AJ$5*AJ12*MIN(1,Teams!$C$41*Params!$E$35)*Params!$E$36/60*Teams!$C$42</f>
        <v>12660.3</v>
      </c>
      <c r="AK22" s="44">
        <f>AK$5*AK12*MIN(1,Teams!$C$41*Params!$E$35)*Params!$E$36/60*Teams!$C$42</f>
        <v>12660.3</v>
      </c>
      <c r="AL22" s="44">
        <f>AL$5*AL12*MIN(1,Teams!$C$41*Params!$E$35)*Params!$E$36/60*Teams!$C$42</f>
        <v>12660.3</v>
      </c>
      <c r="AM22" s="44">
        <f>AM$5*AM12*MIN(1,Teams!$C$41*Params!$E$35)*Params!$E$36/60*Teams!$C$42</f>
        <v>12660.3</v>
      </c>
      <c r="AN22" s="44">
        <f>AN$5*AN12*MIN(1,Teams!$C$41*Params!$E$35)*Params!$E$36/60*Teams!$C$42</f>
        <v>12660.3</v>
      </c>
      <c r="AO22" s="44">
        <f>AO$5*AO12*MIN(1,Teams!$C$41*Params!$E$35)*Params!$E$36/60*Teams!$C$42</f>
        <v>0</v>
      </c>
      <c r="AP22" s="44">
        <f>AP$5*AP12*MIN(1,Teams!$C$41*Params!$E$35)*Params!$E$36/60*Teams!$C$42</f>
        <v>0</v>
      </c>
      <c r="AQ22" s="44">
        <f>AQ$5*AQ12*MIN(1,Teams!$C$41*Params!$E$35)*Params!$E$36/60*Teams!$C$42</f>
        <v>0</v>
      </c>
      <c r="AR22" s="44">
        <f>AR$5*AR12*MIN(1,Teams!$C$41*Params!$E$35)*Params!$E$36/60*Teams!$C$42</f>
        <v>0</v>
      </c>
      <c r="AS22" s="44">
        <f>AS$5*AS12*MIN(1,Teams!$C$41*Params!$E$35)*Params!$E$36/60*Teams!$C$42</f>
        <v>0</v>
      </c>
      <c r="AT22" s="44">
        <f>AT$5*AT12*MIN(1,Teams!$C$41*Params!$E$35)*Params!$E$36/60*Teams!$C$42</f>
        <v>0</v>
      </c>
      <c r="AU22" s="44">
        <f>AU$5*AU12*MIN(1,Teams!$C$41*Params!$E$35)*Params!$E$36/60*Teams!$C$42</f>
        <v>0</v>
      </c>
      <c r="AV22" s="44">
        <f>AV$5*AV12*MIN(1,Teams!$C$41*Params!$E$35)*Params!$E$36/60*Teams!$C$42</f>
        <v>0</v>
      </c>
      <c r="AW22" s="44">
        <f>AW$5*AW12*MIN(1,Teams!$C$41*Params!$E$35)*Params!$E$36/60*Teams!$C$42</f>
        <v>0</v>
      </c>
      <c r="AX22" s="44">
        <f>AX$5*AX12*MIN(1,Teams!$C$41*Params!$E$35)*Params!$E$36/60*Teams!$C$42</f>
        <v>0</v>
      </c>
      <c r="AY22" s="44">
        <f>AY$5*AY12*MIN(1,Teams!$C$41*Params!$E$35)*Params!$E$36/60*Teams!$C$42</f>
        <v>0</v>
      </c>
      <c r="AZ22" s="44">
        <f>AZ$5*AZ12*MIN(1,Teams!$C$41*Params!$E$35)*Params!$E$36/60*Teams!$C$42</f>
        <v>0</v>
      </c>
      <c r="BA22" s="44">
        <f>BA$5*BA12*MIN(1,Teams!$C$41*Params!$E$35)*Params!$E$36/60*Teams!$C$42</f>
        <v>0</v>
      </c>
      <c r="BB22" s="44">
        <f>BB$5*BB12*MIN(1,Teams!$C$41*Params!$E$35)*Params!$E$36/60*Teams!$C$42</f>
        <v>0</v>
      </c>
      <c r="BC22" s="44">
        <f>BC$5*BC12*MIN(1,Teams!$C$41*Params!$E$35)*Params!$E$36/60*Teams!$C$42</f>
        <v>0</v>
      </c>
      <c r="BD22" s="44">
        <f>BD$5*BD12*MIN(1,Teams!$C$41*Params!$E$35)*Params!$E$36/60*Teams!$C$42</f>
        <v>0</v>
      </c>
      <c r="BE22" s="44">
        <f>BE$5*BE12*MIN(1,Teams!$C$41*Params!$E$35)*Params!$E$36/60*Teams!$C$42</f>
        <v>0</v>
      </c>
      <c r="BF22" s="44">
        <f>BF$5*BF12*MIN(1,Teams!$C$41*Params!$E$35)*Params!$E$36/60*Teams!$C$42</f>
        <v>0</v>
      </c>
      <c r="BG22" s="44">
        <f>BG$5*BG12*MIN(1,Teams!$C$41*Params!$E$35)*Params!$E$36/60*Teams!$C$42</f>
        <v>0</v>
      </c>
      <c r="BH22" s="44">
        <f>BH$5*BH12*MIN(1,Teams!$C$41*Params!$E$35)*Params!$E$36/60*Teams!$C$42</f>
        <v>0</v>
      </c>
      <c r="BI22" s="44">
        <f>BI$5*BI12*MIN(1,Teams!$C$41*Params!$E$35)*Params!$E$36/60*Teams!$C$42</f>
        <v>0</v>
      </c>
      <c r="BJ22" s="44">
        <f>BJ$5*BJ12*MIN(1,Teams!$C$41*Params!$E$35)*Params!$E$36/60*Teams!$C$42</f>
        <v>0</v>
      </c>
      <c r="BK22" s="44">
        <f>BK$5*BK12*MIN(1,Teams!$C$41*Params!$E$35)*Params!$E$36/60*Teams!$C$42</f>
        <v>0</v>
      </c>
      <c r="BL22" s="44">
        <f>BL$5*BL12*MIN(1,Teams!$C$41*Params!$E$35)*Params!$E$36/60*Teams!$C$42</f>
        <v>0</v>
      </c>
    </row>
    <row r="23" spans="1:64" x14ac:dyDescent="0.3">
      <c r="A23" s="8" t="s">
        <v>675</v>
      </c>
      <c r="B23" s="18" t="s">
        <v>169</v>
      </c>
      <c r="C23" s="44">
        <f t="shared" si="2"/>
        <v>264000</v>
      </c>
      <c r="E23" s="44">
        <f>E$5*IF(E$4&gt;=Teams!$C$80,E10/1000*IF(E$4-Teams!$C$80&lt;6,Params!$E$37,Params!$E$38)*Org!$B$10*Org!$B$12/12,0)</f>
        <v>22000</v>
      </c>
      <c r="F23" s="44">
        <f>F$5*IF(F$4&gt;=Teams!$C$80,F10/1000*IF(F$4-Teams!$C$80&lt;6,Params!$E$37,Params!$E$38)*Org!$B$10*Org!$B$12/12,0)</f>
        <v>22000</v>
      </c>
      <c r="G23" s="44">
        <f>G$5*IF(G$4&gt;=Teams!$C$80,G10/1000*IF(G$4-Teams!$C$80&lt;6,Params!$E$37,Params!$E$38)*Org!$B$10*Org!$B$12/12,0)</f>
        <v>22000</v>
      </c>
      <c r="H23" s="44">
        <f>H$5*IF(H$4&gt;=Teams!$C$80,H10/1000*IF(H$4-Teams!$C$80&lt;6,Params!$E$37,Params!$E$38)*Org!$B$10*Org!$B$12/12,0)</f>
        <v>22000</v>
      </c>
      <c r="I23" s="44">
        <f>I$5*IF(I$4&gt;=Teams!$C$80,I10/1000*IF(I$4-Teams!$C$80&lt;6,Params!$E$37,Params!$E$38)*Org!$B$10*Org!$B$12/12,0)</f>
        <v>22000</v>
      </c>
      <c r="J23" s="44">
        <f>J$5*IF(J$4&gt;=Teams!$C$80,J10/1000*IF(J$4-Teams!$C$80&lt;6,Params!$E$37,Params!$E$38)*Org!$B$10*Org!$B$12/12,0)</f>
        <v>22000</v>
      </c>
      <c r="K23" s="44">
        <f>K$5*IF(K$4&gt;=Teams!$C$80,K10/1000*IF(K$4-Teams!$C$80&lt;6,Params!$E$37,Params!$E$38)*Org!$B$10*Org!$B$12/12,0)</f>
        <v>4400.0000000000009</v>
      </c>
      <c r="L23" s="44">
        <f>L$5*IF(L$4&gt;=Teams!$C$80,L10/1000*IF(L$4-Teams!$C$80&lt;6,Params!$E$37,Params!$E$38)*Org!$B$10*Org!$B$12/12,0)</f>
        <v>4400.0000000000009</v>
      </c>
      <c r="M23" s="44">
        <f>M$5*IF(M$4&gt;=Teams!$C$80,M10/1000*IF(M$4-Teams!$C$80&lt;6,Params!$E$37,Params!$E$38)*Org!$B$10*Org!$B$12/12,0)</f>
        <v>4400.0000000000009</v>
      </c>
      <c r="N23" s="44">
        <f>N$5*IF(N$4&gt;=Teams!$C$80,N10/1000*IF(N$4-Teams!$C$80&lt;6,Params!$E$37,Params!$E$38)*Org!$B$10*Org!$B$12/12,0)</f>
        <v>4400.0000000000009</v>
      </c>
      <c r="O23" s="44">
        <f>O$5*IF(O$4&gt;=Teams!$C$80,O10/1000*IF(O$4-Teams!$C$80&lt;6,Params!$E$37,Params!$E$38)*Org!$B$10*Org!$B$12/12,0)</f>
        <v>4400.0000000000009</v>
      </c>
      <c r="P23" s="44">
        <f>P$5*IF(P$4&gt;=Teams!$C$80,P10/1000*IF(P$4-Teams!$C$80&lt;6,Params!$E$37,Params!$E$38)*Org!$B$10*Org!$B$12/12,0)</f>
        <v>4400.0000000000009</v>
      </c>
      <c r="Q23" s="44">
        <f>Q$5*IF(Q$4&gt;=Teams!$C$80,Q10/1000*IF(Q$4-Teams!$C$80&lt;6,Params!$E$37,Params!$E$38)*Org!$B$10*Org!$B$12/12,0)</f>
        <v>4400.0000000000009</v>
      </c>
      <c r="R23" s="44">
        <f>R$5*IF(R$4&gt;=Teams!$C$80,R10/1000*IF(R$4-Teams!$C$80&lt;6,Params!$E$37,Params!$E$38)*Org!$B$10*Org!$B$12/12,0)</f>
        <v>4400.0000000000009</v>
      </c>
      <c r="S23" s="44">
        <f>S$5*IF(S$4&gt;=Teams!$C$80,S10/1000*IF(S$4-Teams!$C$80&lt;6,Params!$E$37,Params!$E$38)*Org!$B$10*Org!$B$12/12,0)</f>
        <v>4400.0000000000009</v>
      </c>
      <c r="T23" s="44">
        <f>T$5*IF(T$4&gt;=Teams!$C$80,T10/1000*IF(T$4-Teams!$C$80&lt;6,Params!$E$37,Params!$E$38)*Org!$B$10*Org!$B$12/12,0)</f>
        <v>4400.0000000000009</v>
      </c>
      <c r="U23" s="44">
        <f>U$5*IF(U$4&gt;=Teams!$C$80,U10/1000*IF(U$4-Teams!$C$80&lt;6,Params!$E$37,Params!$E$38)*Org!$B$10*Org!$B$12/12,0)</f>
        <v>4400.0000000000009</v>
      </c>
      <c r="V23" s="44">
        <f>V$5*IF(V$4&gt;=Teams!$C$80,V10/1000*IF(V$4-Teams!$C$80&lt;6,Params!$E$37,Params!$E$38)*Org!$B$10*Org!$B$12/12,0)</f>
        <v>4400.0000000000009</v>
      </c>
      <c r="W23" s="44">
        <f>W$5*IF(W$4&gt;=Teams!$C$80,W10/1000*IF(W$4-Teams!$C$80&lt;6,Params!$E$37,Params!$E$38)*Org!$B$10*Org!$B$12/12,0)</f>
        <v>4400.0000000000009</v>
      </c>
      <c r="X23" s="44">
        <f>X$5*IF(X$4&gt;=Teams!$C$80,X10/1000*IF(X$4-Teams!$C$80&lt;6,Params!$E$37,Params!$E$38)*Org!$B$10*Org!$B$12/12,0)</f>
        <v>4400.0000000000009</v>
      </c>
      <c r="Y23" s="44">
        <f>Y$5*IF(Y$4&gt;=Teams!$C$80,Y10/1000*IF(Y$4-Teams!$C$80&lt;6,Params!$E$37,Params!$E$38)*Org!$B$10*Org!$B$12/12,0)</f>
        <v>4400.0000000000009</v>
      </c>
      <c r="Z23" s="44">
        <f>Z$5*IF(Z$4&gt;=Teams!$C$80,Z10/1000*IF(Z$4-Teams!$C$80&lt;6,Params!$E$37,Params!$E$38)*Org!$B$10*Org!$B$12/12,0)</f>
        <v>4400.0000000000009</v>
      </c>
      <c r="AA23" s="44">
        <f>AA$5*IF(AA$4&gt;=Teams!$C$80,AA10/1000*IF(AA$4-Teams!$C$80&lt;6,Params!$E$37,Params!$E$38)*Org!$B$10*Org!$B$12/12,0)</f>
        <v>4400.0000000000009</v>
      </c>
      <c r="AB23" s="44">
        <f>AB$5*IF(AB$4&gt;=Teams!$C$80,AB10/1000*IF(AB$4-Teams!$C$80&lt;6,Params!$E$37,Params!$E$38)*Org!$B$10*Org!$B$12/12,0)</f>
        <v>4400.0000000000009</v>
      </c>
      <c r="AC23" s="44">
        <f>AC$5*IF(AC$4&gt;=Teams!$C$80,AC10/1000*IF(AC$4-Teams!$C$80&lt;6,Params!$E$37,Params!$E$38)*Org!$B$10*Org!$B$12/12,0)</f>
        <v>4400.0000000000009</v>
      </c>
      <c r="AD23" s="44">
        <f>AD$5*IF(AD$4&gt;=Teams!$C$80,AD10/1000*IF(AD$4-Teams!$C$80&lt;6,Params!$E$37,Params!$E$38)*Org!$B$10*Org!$B$12/12,0)</f>
        <v>4400.0000000000009</v>
      </c>
      <c r="AE23" s="44">
        <f>AE$5*IF(AE$4&gt;=Teams!$C$80,AE10/1000*IF(AE$4-Teams!$C$80&lt;6,Params!$E$37,Params!$E$38)*Org!$B$10*Org!$B$12/12,0)</f>
        <v>4400.0000000000009</v>
      </c>
      <c r="AF23" s="44">
        <f>AF$5*IF(AF$4&gt;=Teams!$C$80,AF10/1000*IF(AF$4-Teams!$C$80&lt;6,Params!$E$37,Params!$E$38)*Org!$B$10*Org!$B$12/12,0)</f>
        <v>4400.0000000000009</v>
      </c>
      <c r="AG23" s="44">
        <f>AG$5*IF(AG$4&gt;=Teams!$C$80,AG10/1000*IF(AG$4-Teams!$C$80&lt;6,Params!$E$37,Params!$E$38)*Org!$B$10*Org!$B$12/12,0)</f>
        <v>4400.0000000000009</v>
      </c>
      <c r="AH23" s="44">
        <f>AH$5*IF(AH$4&gt;=Teams!$C$80,AH10/1000*IF(AH$4-Teams!$C$80&lt;6,Params!$E$37,Params!$E$38)*Org!$B$10*Org!$B$12/12,0)</f>
        <v>4400.0000000000009</v>
      </c>
      <c r="AI23" s="44">
        <f>AI$5*IF(AI$4&gt;=Teams!$C$80,AI10/1000*IF(AI$4-Teams!$C$80&lt;6,Params!$E$37,Params!$E$38)*Org!$B$10*Org!$B$12/12,0)</f>
        <v>4400.0000000000009</v>
      </c>
      <c r="AJ23" s="44">
        <f>AJ$5*IF(AJ$4&gt;=Teams!$C$80,AJ10/1000*IF(AJ$4-Teams!$C$80&lt;6,Params!$E$37,Params!$E$38)*Org!$B$10*Org!$B$12/12,0)</f>
        <v>4400.0000000000009</v>
      </c>
      <c r="AK23" s="44">
        <f>AK$5*IF(AK$4&gt;=Teams!$C$80,AK10/1000*IF(AK$4-Teams!$C$80&lt;6,Params!$E$37,Params!$E$38)*Org!$B$10*Org!$B$12/12,0)</f>
        <v>4400.0000000000009</v>
      </c>
      <c r="AL23" s="44">
        <f>AL$5*IF(AL$4&gt;=Teams!$C$80,AL10/1000*IF(AL$4-Teams!$C$80&lt;6,Params!$E$37,Params!$E$38)*Org!$B$10*Org!$B$12/12,0)</f>
        <v>4400.0000000000009</v>
      </c>
      <c r="AM23" s="44">
        <f>AM$5*IF(AM$4&gt;=Teams!$C$80,AM10/1000*IF(AM$4-Teams!$C$80&lt;6,Params!$E$37,Params!$E$38)*Org!$B$10*Org!$B$12/12,0)</f>
        <v>4400.0000000000009</v>
      </c>
      <c r="AN23" s="44">
        <f>AN$5*IF(AN$4&gt;=Teams!$C$80,AN10/1000*IF(AN$4-Teams!$C$80&lt;6,Params!$E$37,Params!$E$38)*Org!$B$10*Org!$B$12/12,0)</f>
        <v>4400.0000000000009</v>
      </c>
      <c r="AO23" s="44">
        <f>AO$5*IF(AO$4&gt;=Teams!$C$80,AO10/1000*IF(AO$4-Teams!$C$80&lt;6,Params!$E$37,Params!$E$38)*Org!$B$10*Org!$B$12/12,0)</f>
        <v>0</v>
      </c>
      <c r="AP23" s="44">
        <f>AP$5*IF(AP$4&gt;=Teams!$C$80,AP10/1000*IF(AP$4-Teams!$C$80&lt;6,Params!$E$37,Params!$E$38)*Org!$B$10*Org!$B$12/12,0)</f>
        <v>0</v>
      </c>
      <c r="AQ23" s="44">
        <f>AQ$5*IF(AQ$4&gt;=Teams!$C$80,AQ10/1000*IF(AQ$4-Teams!$C$80&lt;6,Params!$E$37,Params!$E$38)*Org!$B$10*Org!$B$12/12,0)</f>
        <v>0</v>
      </c>
      <c r="AR23" s="44">
        <f>AR$5*IF(AR$4&gt;=Teams!$C$80,AR10/1000*IF(AR$4-Teams!$C$80&lt;6,Params!$E$37,Params!$E$38)*Org!$B$10*Org!$B$12/12,0)</f>
        <v>0</v>
      </c>
      <c r="AS23" s="44">
        <f>AS$5*IF(AS$4&gt;=Teams!$C$80,AS10/1000*IF(AS$4-Teams!$C$80&lt;6,Params!$E$37,Params!$E$38)*Org!$B$10*Org!$B$12/12,0)</f>
        <v>0</v>
      </c>
      <c r="AT23" s="44">
        <f>AT$5*IF(AT$4&gt;=Teams!$C$80,AT10/1000*IF(AT$4-Teams!$C$80&lt;6,Params!$E$37,Params!$E$38)*Org!$B$10*Org!$B$12/12,0)</f>
        <v>0</v>
      </c>
      <c r="AU23" s="44">
        <f>AU$5*IF(AU$4&gt;=Teams!$C$80,AU10/1000*IF(AU$4-Teams!$C$80&lt;6,Params!$E$37,Params!$E$38)*Org!$B$10*Org!$B$12/12,0)</f>
        <v>0</v>
      </c>
      <c r="AV23" s="44">
        <f>AV$5*IF(AV$4&gt;=Teams!$C$80,AV10/1000*IF(AV$4-Teams!$C$80&lt;6,Params!$E$37,Params!$E$38)*Org!$B$10*Org!$B$12/12,0)</f>
        <v>0</v>
      </c>
      <c r="AW23" s="44">
        <f>AW$5*IF(AW$4&gt;=Teams!$C$80,AW10/1000*IF(AW$4-Teams!$C$80&lt;6,Params!$E$37,Params!$E$38)*Org!$B$10*Org!$B$12/12,0)</f>
        <v>0</v>
      </c>
      <c r="AX23" s="44">
        <f>AX$5*IF(AX$4&gt;=Teams!$C$80,AX10/1000*IF(AX$4-Teams!$C$80&lt;6,Params!$E$37,Params!$E$38)*Org!$B$10*Org!$B$12/12,0)</f>
        <v>0</v>
      </c>
      <c r="AY23" s="44">
        <f>AY$5*IF(AY$4&gt;=Teams!$C$80,AY10/1000*IF(AY$4-Teams!$C$80&lt;6,Params!$E$37,Params!$E$38)*Org!$B$10*Org!$B$12/12,0)</f>
        <v>0</v>
      </c>
      <c r="AZ23" s="44">
        <f>AZ$5*IF(AZ$4&gt;=Teams!$C$80,AZ10/1000*IF(AZ$4-Teams!$C$80&lt;6,Params!$E$37,Params!$E$38)*Org!$B$10*Org!$B$12/12,0)</f>
        <v>0</v>
      </c>
      <c r="BA23" s="44">
        <f>BA$5*IF(BA$4&gt;=Teams!$C$80,BA10/1000*IF(BA$4-Teams!$C$80&lt;6,Params!$E$37,Params!$E$38)*Org!$B$10*Org!$B$12/12,0)</f>
        <v>0</v>
      </c>
      <c r="BB23" s="44">
        <f>BB$5*IF(BB$4&gt;=Teams!$C$80,BB10/1000*IF(BB$4-Teams!$C$80&lt;6,Params!$E$37,Params!$E$38)*Org!$B$10*Org!$B$12/12,0)</f>
        <v>0</v>
      </c>
      <c r="BC23" s="44">
        <f>BC$5*IF(BC$4&gt;=Teams!$C$80,BC10/1000*IF(BC$4-Teams!$C$80&lt;6,Params!$E$37,Params!$E$38)*Org!$B$10*Org!$B$12/12,0)</f>
        <v>0</v>
      </c>
      <c r="BD23" s="44">
        <f>BD$5*IF(BD$4&gt;=Teams!$C$80,BD10/1000*IF(BD$4-Teams!$C$80&lt;6,Params!$E$37,Params!$E$38)*Org!$B$10*Org!$B$12/12,0)</f>
        <v>0</v>
      </c>
      <c r="BE23" s="44">
        <f>BE$5*IF(BE$4&gt;=Teams!$C$80,BE10/1000*IF(BE$4-Teams!$C$80&lt;6,Params!$E$37,Params!$E$38)*Org!$B$10*Org!$B$12/12,0)</f>
        <v>0</v>
      </c>
      <c r="BF23" s="44">
        <f>BF$5*IF(BF$4&gt;=Teams!$C$80,BF10/1000*IF(BF$4-Teams!$C$80&lt;6,Params!$E$37,Params!$E$38)*Org!$B$10*Org!$B$12/12,0)</f>
        <v>0</v>
      </c>
      <c r="BG23" s="44">
        <f>BG$5*IF(BG$4&gt;=Teams!$C$80,BG10/1000*IF(BG$4-Teams!$C$80&lt;6,Params!$E$37,Params!$E$38)*Org!$B$10*Org!$B$12/12,0)</f>
        <v>0</v>
      </c>
      <c r="BH23" s="44">
        <f>BH$5*IF(BH$4&gt;=Teams!$C$80,BH10/1000*IF(BH$4-Teams!$C$80&lt;6,Params!$E$37,Params!$E$38)*Org!$B$10*Org!$B$12/12,0)</f>
        <v>0</v>
      </c>
      <c r="BI23" s="44">
        <f>BI$5*IF(BI$4&gt;=Teams!$C$80,BI10/1000*IF(BI$4-Teams!$C$80&lt;6,Params!$E$37,Params!$E$38)*Org!$B$10*Org!$B$12/12,0)</f>
        <v>0</v>
      </c>
      <c r="BJ23" s="44">
        <f>BJ$5*IF(BJ$4&gt;=Teams!$C$80,BJ10/1000*IF(BJ$4-Teams!$C$80&lt;6,Params!$E$37,Params!$E$38)*Org!$B$10*Org!$B$12/12,0)</f>
        <v>0</v>
      </c>
      <c r="BK23" s="44">
        <f>BK$5*IF(BK$4&gt;=Teams!$C$80,BK10/1000*IF(BK$4-Teams!$C$80&lt;6,Params!$E$37,Params!$E$38)*Org!$B$10*Org!$B$12/12,0)</f>
        <v>0</v>
      </c>
      <c r="BL23" s="44">
        <f>BL$5*IF(BL$4&gt;=Teams!$C$80,BL10/1000*IF(BL$4-Teams!$C$80&lt;6,Params!$E$37,Params!$E$38)*Org!$B$10*Org!$B$12/12,0)</f>
        <v>0</v>
      </c>
    </row>
    <row r="24" spans="1:64" x14ac:dyDescent="0.3">
      <c r="A24" s="8" t="s">
        <v>676</v>
      </c>
      <c r="B24" s="18" t="s">
        <v>169</v>
      </c>
      <c r="C24" s="44">
        <f t="shared" si="2"/>
        <v>34400</v>
      </c>
      <c r="D24" s="44">
        <f>Teams!$C$5*((Teams!$C$43*Params!$E$4+Teams!$C$44/100000*Params!$E$5+Teams!$C$43*Params!$E$6)*Org!$B$10)</f>
        <v>34400</v>
      </c>
    </row>
    <row r="25" spans="1:64" x14ac:dyDescent="0.3">
      <c r="A25" s="8" t="s">
        <v>677</v>
      </c>
      <c r="B25" s="18" t="s">
        <v>435</v>
      </c>
      <c r="C25" s="44">
        <f t="shared" si="2"/>
        <v>157.80000000000001</v>
      </c>
      <c r="D25" s="44">
        <f>Teams!$C$5*(Teams!$C$49*(Teams!$C$44*Teams!$C$45*Teams!$C$75+Teams!$C$44*Teams!$C$47*Teams!$C$76/1000000))</f>
        <v>157.80000000000001</v>
      </c>
    </row>
    <row r="26" spans="1:64" x14ac:dyDescent="0.3">
      <c r="A26" s="8" t="s">
        <v>678</v>
      </c>
      <c r="B26" s="18" t="s">
        <v>169</v>
      </c>
      <c r="C26" s="44">
        <f t="shared" si="2"/>
        <v>48000</v>
      </c>
      <c r="D26" s="44">
        <f>Teams!$C$5*((Params!$E$13+Params!$E$16)*Org!$B$10)</f>
        <v>48000</v>
      </c>
    </row>
    <row r="27" spans="1:64" x14ac:dyDescent="0.3">
      <c r="A27" s="8" t="s">
        <v>679</v>
      </c>
      <c r="B27" s="18" t="s">
        <v>169</v>
      </c>
      <c r="C27" s="44">
        <f t="shared" si="2"/>
        <v>720000</v>
      </c>
      <c r="D27" s="44">
        <f>Teams!$C$5*(Teams!$C$18*Teams!$C$19*Params!$E$34*(Org!$B$10/Org!$B$11))</f>
        <v>720000</v>
      </c>
    </row>
    <row r="28" spans="1:64" x14ac:dyDescent="0.3">
      <c r="A28" s="8" t="s">
        <v>11</v>
      </c>
      <c r="C28" s="44">
        <f t="shared" si="2"/>
        <v>2544720.2999999998</v>
      </c>
      <c r="E28" s="44">
        <f>E$5*E12*Teams!$C$55/60*Teams!$C$56*INDEX(Params!$D$41:$F$41,Org!$B$17)*Teams!$C$57</f>
        <v>5626.7999999999993</v>
      </c>
      <c r="F28" s="44">
        <f>F$5*F12*Teams!$C$55/60*Teams!$C$56*INDEX(Params!$D$41:$F$41,Org!$B$17)*Teams!$C$57</f>
        <v>19693.8</v>
      </c>
      <c r="G28" s="44">
        <f>G$5*G12*Teams!$C$55/60*Teams!$C$56*INDEX(Params!$D$41:$F$41,Org!$B$17)*Teams!$C$57</f>
        <v>37980.9</v>
      </c>
      <c r="H28" s="44">
        <f>H$5*H12*Teams!$C$55/60*Teams!$C$56*INDEX(Params!$D$41:$F$41,Org!$B$17)*Teams!$C$57</f>
        <v>56268</v>
      </c>
      <c r="I28" s="44">
        <f>I$5*I12*Teams!$C$55/60*Teams!$C$56*INDEX(Params!$D$41:$F$41,Org!$B$17)*Teams!$C$57</f>
        <v>70335.000000000015</v>
      </c>
      <c r="J28" s="44">
        <f>J$5*J12*Teams!$C$55/60*Teams!$C$56*INDEX(Params!$D$41:$F$41,Org!$B$17)*Teams!$C$57</f>
        <v>75961.8</v>
      </c>
      <c r="K28" s="44">
        <f>K$5*K12*Teams!$C$55/60*Teams!$C$56*INDEX(Params!$D$41:$F$41,Org!$B$17)*Teams!$C$57</f>
        <v>75961.8</v>
      </c>
      <c r="L28" s="44">
        <f>L$5*L12*Teams!$C$55/60*Teams!$C$56*INDEX(Params!$D$41:$F$41,Org!$B$17)*Teams!$C$57</f>
        <v>75961.8</v>
      </c>
      <c r="M28" s="44">
        <f>M$5*M12*Teams!$C$55/60*Teams!$C$56*INDEX(Params!$D$41:$F$41,Org!$B$17)*Teams!$C$57</f>
        <v>75961.8</v>
      </c>
      <c r="N28" s="44">
        <f>N$5*N12*Teams!$C$55/60*Teams!$C$56*INDEX(Params!$D$41:$F$41,Org!$B$17)*Teams!$C$57</f>
        <v>75961.8</v>
      </c>
      <c r="O28" s="44">
        <f>O$5*O12*Teams!$C$55/60*Teams!$C$56*INDEX(Params!$D$41:$F$41,Org!$B$17)*Teams!$C$57</f>
        <v>75961.8</v>
      </c>
      <c r="P28" s="44">
        <f>P$5*P12*Teams!$C$55/60*Teams!$C$56*INDEX(Params!$D$41:$F$41,Org!$B$17)*Teams!$C$57</f>
        <v>75961.8</v>
      </c>
      <c r="Q28" s="44">
        <f>Q$5*Q12*Teams!$C$55/60*Teams!$C$56*INDEX(Params!$D$41:$F$41,Org!$B$17)*Teams!$C$57</f>
        <v>75961.8</v>
      </c>
      <c r="R28" s="44">
        <f>R$5*R12*Teams!$C$55/60*Teams!$C$56*INDEX(Params!$D$41:$F$41,Org!$B$17)*Teams!$C$57</f>
        <v>75961.8</v>
      </c>
      <c r="S28" s="44">
        <f>S$5*S12*Teams!$C$55/60*Teams!$C$56*INDEX(Params!$D$41:$F$41,Org!$B$17)*Teams!$C$57</f>
        <v>75961.8</v>
      </c>
      <c r="T28" s="44">
        <f>T$5*T12*Teams!$C$55/60*Teams!$C$56*INDEX(Params!$D$41:$F$41,Org!$B$17)*Teams!$C$57</f>
        <v>75961.8</v>
      </c>
      <c r="U28" s="44">
        <f>U$5*U12*Teams!$C$55/60*Teams!$C$56*INDEX(Params!$D$41:$F$41,Org!$B$17)*Teams!$C$57</f>
        <v>75961.8</v>
      </c>
      <c r="V28" s="44">
        <f>V$5*V12*Teams!$C$55/60*Teams!$C$56*INDEX(Params!$D$41:$F$41,Org!$B$17)*Teams!$C$57</f>
        <v>75961.8</v>
      </c>
      <c r="W28" s="44">
        <f>W$5*W12*Teams!$C$55/60*Teams!$C$56*INDEX(Params!$D$41:$F$41,Org!$B$17)*Teams!$C$57</f>
        <v>75961.8</v>
      </c>
      <c r="X28" s="44">
        <f>X$5*X12*Teams!$C$55/60*Teams!$C$56*INDEX(Params!$D$41:$F$41,Org!$B$17)*Teams!$C$57</f>
        <v>75961.8</v>
      </c>
      <c r="Y28" s="44">
        <f>Y$5*Y12*Teams!$C$55/60*Teams!$C$56*INDEX(Params!$D$41:$F$41,Org!$B$17)*Teams!$C$57</f>
        <v>75961.8</v>
      </c>
      <c r="Z28" s="44">
        <f>Z$5*Z12*Teams!$C$55/60*Teams!$C$56*INDEX(Params!$D$41:$F$41,Org!$B$17)*Teams!$C$57</f>
        <v>75961.8</v>
      </c>
      <c r="AA28" s="44">
        <f>AA$5*AA12*Teams!$C$55/60*Teams!$C$56*INDEX(Params!$D$41:$F$41,Org!$B$17)*Teams!$C$57</f>
        <v>75961.8</v>
      </c>
      <c r="AB28" s="44">
        <f>AB$5*AB12*Teams!$C$55/60*Teams!$C$56*INDEX(Params!$D$41:$F$41,Org!$B$17)*Teams!$C$57</f>
        <v>75961.8</v>
      </c>
      <c r="AC28" s="44">
        <f>AC$5*AC12*Teams!$C$55/60*Teams!$C$56*INDEX(Params!$D$41:$F$41,Org!$B$17)*Teams!$C$57</f>
        <v>75961.8</v>
      </c>
      <c r="AD28" s="44">
        <f>AD$5*AD12*Teams!$C$55/60*Teams!$C$56*INDEX(Params!$D$41:$F$41,Org!$B$17)*Teams!$C$57</f>
        <v>75961.8</v>
      </c>
      <c r="AE28" s="44">
        <f>AE$5*AE12*Teams!$C$55/60*Teams!$C$56*INDEX(Params!$D$41:$F$41,Org!$B$17)*Teams!$C$57</f>
        <v>75961.8</v>
      </c>
      <c r="AF28" s="44">
        <f>AF$5*AF12*Teams!$C$55/60*Teams!$C$56*INDEX(Params!$D$41:$F$41,Org!$B$17)*Teams!$C$57</f>
        <v>75961.8</v>
      </c>
      <c r="AG28" s="44">
        <f>AG$5*AG12*Teams!$C$55/60*Teams!$C$56*INDEX(Params!$D$41:$F$41,Org!$B$17)*Teams!$C$57</f>
        <v>75961.8</v>
      </c>
      <c r="AH28" s="44">
        <f>AH$5*AH12*Teams!$C$55/60*Teams!$C$56*INDEX(Params!$D$41:$F$41,Org!$B$17)*Teams!$C$57</f>
        <v>75961.8</v>
      </c>
      <c r="AI28" s="44">
        <f>AI$5*AI12*Teams!$C$55/60*Teams!$C$56*INDEX(Params!$D$41:$F$41,Org!$B$17)*Teams!$C$57</f>
        <v>75961.8</v>
      </c>
      <c r="AJ28" s="44">
        <f>AJ$5*AJ12*Teams!$C$55/60*Teams!$C$56*INDEX(Params!$D$41:$F$41,Org!$B$17)*Teams!$C$57</f>
        <v>75961.8</v>
      </c>
      <c r="AK28" s="44">
        <f>AK$5*AK12*Teams!$C$55/60*Teams!$C$56*INDEX(Params!$D$41:$F$41,Org!$B$17)*Teams!$C$57</f>
        <v>75961.8</v>
      </c>
      <c r="AL28" s="44">
        <f>AL$5*AL12*Teams!$C$55/60*Teams!$C$56*INDEX(Params!$D$41:$F$41,Org!$B$17)*Teams!$C$57</f>
        <v>75961.8</v>
      </c>
      <c r="AM28" s="44">
        <f>AM$5*AM12*Teams!$C$55/60*Teams!$C$56*INDEX(Params!$D$41:$F$41,Org!$B$17)*Teams!$C$57</f>
        <v>75961.8</v>
      </c>
      <c r="AN28" s="44">
        <f>AN$5*AN12*Teams!$C$55/60*Teams!$C$56*INDEX(Params!$D$41:$F$41,Org!$B$17)*Teams!$C$57</f>
        <v>75961.8</v>
      </c>
      <c r="AO28" s="44">
        <f>AO$5*AO12*Teams!$C$55/60*Teams!$C$56*INDEX(Params!$D$41:$F$41,Org!$B$17)*Teams!$C$57</f>
        <v>0</v>
      </c>
      <c r="AP28" s="44">
        <f>AP$5*AP12*Teams!$C$55/60*Teams!$C$56*INDEX(Params!$D$41:$F$41,Org!$B$17)*Teams!$C$57</f>
        <v>0</v>
      </c>
      <c r="AQ28" s="44">
        <f>AQ$5*AQ12*Teams!$C$55/60*Teams!$C$56*INDEX(Params!$D$41:$F$41,Org!$B$17)*Teams!$C$57</f>
        <v>0</v>
      </c>
      <c r="AR28" s="44">
        <f>AR$5*AR12*Teams!$C$55/60*Teams!$C$56*INDEX(Params!$D$41:$F$41,Org!$B$17)*Teams!$C$57</f>
        <v>0</v>
      </c>
      <c r="AS28" s="44">
        <f>AS$5*AS12*Teams!$C$55/60*Teams!$C$56*INDEX(Params!$D$41:$F$41,Org!$B$17)*Teams!$C$57</f>
        <v>0</v>
      </c>
      <c r="AT28" s="44">
        <f>AT$5*AT12*Teams!$C$55/60*Teams!$C$56*INDEX(Params!$D$41:$F$41,Org!$B$17)*Teams!$C$57</f>
        <v>0</v>
      </c>
      <c r="AU28" s="44">
        <f>AU$5*AU12*Teams!$C$55/60*Teams!$C$56*INDEX(Params!$D$41:$F$41,Org!$B$17)*Teams!$C$57</f>
        <v>0</v>
      </c>
      <c r="AV28" s="44">
        <f>AV$5*AV12*Teams!$C$55/60*Teams!$C$56*INDEX(Params!$D$41:$F$41,Org!$B$17)*Teams!$C$57</f>
        <v>0</v>
      </c>
      <c r="AW28" s="44">
        <f>AW$5*AW12*Teams!$C$55/60*Teams!$C$56*INDEX(Params!$D$41:$F$41,Org!$B$17)*Teams!$C$57</f>
        <v>0</v>
      </c>
      <c r="AX28" s="44">
        <f>AX$5*AX12*Teams!$C$55/60*Teams!$C$56*INDEX(Params!$D$41:$F$41,Org!$B$17)*Teams!$C$57</f>
        <v>0</v>
      </c>
      <c r="AY28" s="44">
        <f>AY$5*AY12*Teams!$C$55/60*Teams!$C$56*INDEX(Params!$D$41:$F$41,Org!$B$17)*Teams!$C$57</f>
        <v>0</v>
      </c>
      <c r="AZ28" s="44">
        <f>AZ$5*AZ12*Teams!$C$55/60*Teams!$C$56*INDEX(Params!$D$41:$F$41,Org!$B$17)*Teams!$C$57</f>
        <v>0</v>
      </c>
      <c r="BA28" s="44">
        <f>BA$5*BA12*Teams!$C$55/60*Teams!$C$56*INDEX(Params!$D$41:$F$41,Org!$B$17)*Teams!$C$57</f>
        <v>0</v>
      </c>
      <c r="BB28" s="44">
        <f>BB$5*BB12*Teams!$C$55/60*Teams!$C$56*INDEX(Params!$D$41:$F$41,Org!$B$17)*Teams!$C$57</f>
        <v>0</v>
      </c>
      <c r="BC28" s="44">
        <f>BC$5*BC12*Teams!$C$55/60*Teams!$C$56*INDEX(Params!$D$41:$F$41,Org!$B$17)*Teams!$C$57</f>
        <v>0</v>
      </c>
      <c r="BD28" s="44">
        <f>BD$5*BD12*Teams!$C$55/60*Teams!$C$56*INDEX(Params!$D$41:$F$41,Org!$B$17)*Teams!$C$57</f>
        <v>0</v>
      </c>
      <c r="BE28" s="44">
        <f>BE$5*BE12*Teams!$C$55/60*Teams!$C$56*INDEX(Params!$D$41:$F$41,Org!$B$17)*Teams!$C$57</f>
        <v>0</v>
      </c>
      <c r="BF28" s="44">
        <f>BF$5*BF12*Teams!$C$55/60*Teams!$C$56*INDEX(Params!$D$41:$F$41,Org!$B$17)*Teams!$C$57</f>
        <v>0</v>
      </c>
      <c r="BG28" s="44">
        <f>BG$5*BG12*Teams!$C$55/60*Teams!$C$56*INDEX(Params!$D$41:$F$41,Org!$B$17)*Teams!$C$57</f>
        <v>0</v>
      </c>
      <c r="BH28" s="44">
        <f>BH$5*BH12*Teams!$C$55/60*Teams!$C$56*INDEX(Params!$D$41:$F$41,Org!$B$17)*Teams!$C$57</f>
        <v>0</v>
      </c>
      <c r="BI28" s="44">
        <f>BI$5*BI12*Teams!$C$55/60*Teams!$C$56*INDEX(Params!$D$41:$F$41,Org!$B$17)*Teams!$C$57</f>
        <v>0</v>
      </c>
      <c r="BJ28" s="44">
        <f>BJ$5*BJ12*Teams!$C$55/60*Teams!$C$56*INDEX(Params!$D$41:$F$41,Org!$B$17)*Teams!$C$57</f>
        <v>0</v>
      </c>
      <c r="BK28" s="44">
        <f>BK$5*BK12*Teams!$C$55/60*Teams!$C$56*INDEX(Params!$D$41:$F$41,Org!$B$17)*Teams!$C$57</f>
        <v>0</v>
      </c>
      <c r="BL28" s="44">
        <f>BL$5*BL12*Teams!$C$55/60*Teams!$C$56*INDEX(Params!$D$41:$F$41,Org!$B$17)*Teams!$C$57</f>
        <v>0</v>
      </c>
    </row>
    <row r="29" spans="1:64" x14ac:dyDescent="0.3">
      <c r="A29" s="8" t="s">
        <v>701</v>
      </c>
      <c r="C29" s="44">
        <f t="shared" si="2"/>
        <v>4790801.6499999966</v>
      </c>
      <c r="D29" s="44">
        <f t="shared" ref="D29:AI29" si="3">SUM(D13:D27)</f>
        <v>802557.8</v>
      </c>
      <c r="E29" s="44">
        <f t="shared" si="3"/>
        <v>111166.05666666667</v>
      </c>
      <c r="F29" s="44">
        <f t="shared" si="3"/>
        <v>114177.86333333333</v>
      </c>
      <c r="G29" s="44">
        <f t="shared" si="3"/>
        <v>118093.212</v>
      </c>
      <c r="H29" s="44">
        <f t="shared" si="3"/>
        <v>122008.56066666667</v>
      </c>
      <c r="I29" s="44">
        <f t="shared" si="3"/>
        <v>125020.36733333333</v>
      </c>
      <c r="J29" s="44">
        <f t="shared" si="3"/>
        <v>126225.09</v>
      </c>
      <c r="K29" s="44">
        <f t="shared" si="3"/>
        <v>108625.09</v>
      </c>
      <c r="L29" s="44">
        <f t="shared" si="3"/>
        <v>108625.09</v>
      </c>
      <c r="M29" s="44">
        <f t="shared" si="3"/>
        <v>108625.09</v>
      </c>
      <c r="N29" s="44">
        <f t="shared" si="3"/>
        <v>108625.09</v>
      </c>
      <c r="O29" s="44">
        <f t="shared" si="3"/>
        <v>108625.09</v>
      </c>
      <c r="P29" s="44">
        <f t="shared" si="3"/>
        <v>108625.09</v>
      </c>
      <c r="Q29" s="44">
        <f t="shared" si="3"/>
        <v>108625.09</v>
      </c>
      <c r="R29" s="44">
        <f t="shared" si="3"/>
        <v>108625.09</v>
      </c>
      <c r="S29" s="44">
        <f t="shared" si="3"/>
        <v>108625.09</v>
      </c>
      <c r="T29" s="44">
        <f t="shared" si="3"/>
        <v>115025.09</v>
      </c>
      <c r="U29" s="44">
        <f t="shared" si="3"/>
        <v>108625.09</v>
      </c>
      <c r="V29" s="44">
        <f t="shared" si="3"/>
        <v>108625.09</v>
      </c>
      <c r="W29" s="44">
        <f t="shared" si="3"/>
        <v>108625.09</v>
      </c>
      <c r="X29" s="44">
        <f t="shared" si="3"/>
        <v>108625.09</v>
      </c>
      <c r="Y29" s="44">
        <f t="shared" si="3"/>
        <v>108625.09</v>
      </c>
      <c r="Z29" s="44">
        <f t="shared" si="3"/>
        <v>108625.09</v>
      </c>
      <c r="AA29" s="44">
        <f t="shared" si="3"/>
        <v>108625.09</v>
      </c>
      <c r="AB29" s="44">
        <f t="shared" si="3"/>
        <v>108625.09</v>
      </c>
      <c r="AC29" s="44">
        <f t="shared" si="3"/>
        <v>108625.09</v>
      </c>
      <c r="AD29" s="44">
        <f t="shared" si="3"/>
        <v>108625.09</v>
      </c>
      <c r="AE29" s="44">
        <f t="shared" si="3"/>
        <v>108625.09</v>
      </c>
      <c r="AF29" s="44">
        <f t="shared" si="3"/>
        <v>108625.09</v>
      </c>
      <c r="AG29" s="44">
        <f t="shared" si="3"/>
        <v>108625.09</v>
      </c>
      <c r="AH29" s="44">
        <f t="shared" si="3"/>
        <v>108625.09</v>
      </c>
      <c r="AI29" s="44">
        <f t="shared" si="3"/>
        <v>115025.09</v>
      </c>
      <c r="AJ29" s="44">
        <f t="shared" ref="AJ29:BL29" si="4">SUM(AJ13:AJ27)</f>
        <v>108625.09</v>
      </c>
      <c r="AK29" s="44">
        <f t="shared" si="4"/>
        <v>108625.09</v>
      </c>
      <c r="AL29" s="44">
        <f t="shared" si="4"/>
        <v>108625.09</v>
      </c>
      <c r="AM29" s="44">
        <f t="shared" si="4"/>
        <v>108625.09</v>
      </c>
      <c r="AN29" s="44">
        <f t="shared" si="4"/>
        <v>108625.09</v>
      </c>
      <c r="AO29" s="44">
        <f t="shared" si="4"/>
        <v>0</v>
      </c>
      <c r="AP29" s="44">
        <f t="shared" si="4"/>
        <v>0</v>
      </c>
      <c r="AQ29" s="44">
        <f t="shared" si="4"/>
        <v>0</v>
      </c>
      <c r="AR29" s="44">
        <f t="shared" si="4"/>
        <v>0</v>
      </c>
      <c r="AS29" s="44">
        <f t="shared" si="4"/>
        <v>0</v>
      </c>
      <c r="AT29" s="44">
        <f t="shared" si="4"/>
        <v>0</v>
      </c>
      <c r="AU29" s="44">
        <f t="shared" si="4"/>
        <v>0</v>
      </c>
      <c r="AV29" s="44">
        <f t="shared" si="4"/>
        <v>0</v>
      </c>
      <c r="AW29" s="44">
        <f t="shared" si="4"/>
        <v>0</v>
      </c>
      <c r="AX29" s="44">
        <f t="shared" si="4"/>
        <v>0</v>
      </c>
      <c r="AY29" s="44">
        <f t="shared" si="4"/>
        <v>0</v>
      </c>
      <c r="AZ29" s="44">
        <f t="shared" si="4"/>
        <v>0</v>
      </c>
      <c r="BA29" s="44">
        <f t="shared" si="4"/>
        <v>0</v>
      </c>
      <c r="BB29" s="44">
        <f t="shared" si="4"/>
        <v>0</v>
      </c>
      <c r="BC29" s="44">
        <f t="shared" si="4"/>
        <v>0</v>
      </c>
      <c r="BD29" s="44">
        <f t="shared" si="4"/>
        <v>0</v>
      </c>
      <c r="BE29" s="44">
        <f t="shared" si="4"/>
        <v>0</v>
      </c>
      <c r="BF29" s="44">
        <f t="shared" si="4"/>
        <v>0</v>
      </c>
      <c r="BG29" s="44">
        <f t="shared" si="4"/>
        <v>0</v>
      </c>
      <c r="BH29" s="44">
        <f t="shared" si="4"/>
        <v>0</v>
      </c>
      <c r="BI29" s="44">
        <f t="shared" si="4"/>
        <v>0</v>
      </c>
      <c r="BJ29" s="44">
        <f t="shared" si="4"/>
        <v>0</v>
      </c>
      <c r="BK29" s="44">
        <f t="shared" si="4"/>
        <v>0</v>
      </c>
      <c r="BL29" s="44">
        <f t="shared" si="4"/>
        <v>0</v>
      </c>
    </row>
    <row r="30" spans="1:64" x14ac:dyDescent="0.3">
      <c r="A30" s="8" t="s">
        <v>702</v>
      </c>
      <c r="C30" s="44">
        <f t="shared" si="2"/>
        <v>1052885.1949297083</v>
      </c>
      <c r="D30" s="44">
        <f t="shared" ref="D30:AI30" si="5">$B$169*D158</f>
        <v>70518.420965989528</v>
      </c>
      <c r="E30" s="44">
        <f t="shared" si="5"/>
        <v>27253.166002699767</v>
      </c>
      <c r="F30" s="44">
        <f t="shared" si="5"/>
        <v>27261.301386099494</v>
      </c>
      <c r="G30" s="44">
        <f t="shared" si="5"/>
        <v>27271.313470095149</v>
      </c>
      <c r="H30" s="44">
        <f t="shared" si="5"/>
        <v>27281.806392308958</v>
      </c>
      <c r="I30" s="44">
        <f t="shared" si="5"/>
        <v>27287.3683615843</v>
      </c>
      <c r="J30" s="44">
        <f t="shared" si="5"/>
        <v>27290.211199841964</v>
      </c>
      <c r="K30" s="44">
        <f t="shared" si="5"/>
        <v>27290.720238369602</v>
      </c>
      <c r="L30" s="44">
        <f t="shared" si="5"/>
        <v>27290.720238369602</v>
      </c>
      <c r="M30" s="44">
        <f t="shared" si="5"/>
        <v>27290.720238369602</v>
      </c>
      <c r="N30" s="44">
        <f t="shared" si="5"/>
        <v>27290.720238369602</v>
      </c>
      <c r="O30" s="44">
        <f t="shared" si="5"/>
        <v>27290.720238369602</v>
      </c>
      <c r="P30" s="44">
        <f t="shared" si="5"/>
        <v>27290.720238369602</v>
      </c>
      <c r="Q30" s="44">
        <f t="shared" si="5"/>
        <v>27290.720238369602</v>
      </c>
      <c r="R30" s="44">
        <f t="shared" si="5"/>
        <v>27290.720238369602</v>
      </c>
      <c r="S30" s="44">
        <f t="shared" si="5"/>
        <v>27290.720238369602</v>
      </c>
      <c r="T30" s="44">
        <f t="shared" si="5"/>
        <v>27290.720238369602</v>
      </c>
      <c r="U30" s="44">
        <f t="shared" si="5"/>
        <v>27290.720238369602</v>
      </c>
      <c r="V30" s="44">
        <f t="shared" si="5"/>
        <v>27290.720238369602</v>
      </c>
      <c r="W30" s="44">
        <f t="shared" si="5"/>
        <v>27290.720238369602</v>
      </c>
      <c r="X30" s="44">
        <f t="shared" si="5"/>
        <v>27290.720238369602</v>
      </c>
      <c r="Y30" s="44">
        <f t="shared" si="5"/>
        <v>27290.720238369602</v>
      </c>
      <c r="Z30" s="44">
        <f t="shared" si="5"/>
        <v>27290.720238369602</v>
      </c>
      <c r="AA30" s="44">
        <f t="shared" si="5"/>
        <v>27290.720238369602</v>
      </c>
      <c r="AB30" s="44">
        <f t="shared" si="5"/>
        <v>27290.720238369602</v>
      </c>
      <c r="AC30" s="44">
        <f t="shared" si="5"/>
        <v>27290.720238369602</v>
      </c>
      <c r="AD30" s="44">
        <f t="shared" si="5"/>
        <v>27290.720238369602</v>
      </c>
      <c r="AE30" s="44">
        <f t="shared" si="5"/>
        <v>27290.720238369602</v>
      </c>
      <c r="AF30" s="44">
        <f t="shared" si="5"/>
        <v>27290.720238369602</v>
      </c>
      <c r="AG30" s="44">
        <f t="shared" si="5"/>
        <v>27290.720238369602</v>
      </c>
      <c r="AH30" s="44">
        <f t="shared" si="5"/>
        <v>27290.720238369602</v>
      </c>
      <c r="AI30" s="44">
        <f t="shared" si="5"/>
        <v>27290.720238369602</v>
      </c>
      <c r="AJ30" s="44">
        <f t="shared" ref="AJ30:BL30" si="6">$B$169*AJ158</f>
        <v>27290.720238369602</v>
      </c>
      <c r="AK30" s="44">
        <f t="shared" si="6"/>
        <v>27290.720238369602</v>
      </c>
      <c r="AL30" s="44">
        <f t="shared" si="6"/>
        <v>27290.720238369602</v>
      </c>
      <c r="AM30" s="44">
        <f t="shared" si="6"/>
        <v>27290.720238369602</v>
      </c>
      <c r="AN30" s="44">
        <f t="shared" si="6"/>
        <v>27290.720238369602</v>
      </c>
      <c r="AO30" s="44">
        <f t="shared" si="6"/>
        <v>0</v>
      </c>
      <c r="AP30" s="44">
        <f t="shared" si="6"/>
        <v>0</v>
      </c>
      <c r="AQ30" s="44">
        <f t="shared" si="6"/>
        <v>0</v>
      </c>
      <c r="AR30" s="44">
        <f t="shared" si="6"/>
        <v>0</v>
      </c>
      <c r="AS30" s="44">
        <f t="shared" si="6"/>
        <v>0</v>
      </c>
      <c r="AT30" s="44">
        <f t="shared" si="6"/>
        <v>0</v>
      </c>
      <c r="AU30" s="44">
        <f t="shared" si="6"/>
        <v>0</v>
      </c>
      <c r="AV30" s="44">
        <f t="shared" si="6"/>
        <v>0</v>
      </c>
      <c r="AW30" s="44">
        <f t="shared" si="6"/>
        <v>0</v>
      </c>
      <c r="AX30" s="44">
        <f t="shared" si="6"/>
        <v>0</v>
      </c>
      <c r="AY30" s="44">
        <f t="shared" si="6"/>
        <v>0</v>
      </c>
      <c r="AZ30" s="44">
        <f t="shared" si="6"/>
        <v>0</v>
      </c>
      <c r="BA30" s="44">
        <f t="shared" si="6"/>
        <v>0</v>
      </c>
      <c r="BB30" s="44">
        <f t="shared" si="6"/>
        <v>0</v>
      </c>
      <c r="BC30" s="44">
        <f t="shared" si="6"/>
        <v>0</v>
      </c>
      <c r="BD30" s="44">
        <f t="shared" si="6"/>
        <v>0</v>
      </c>
      <c r="BE30" s="44">
        <f t="shared" si="6"/>
        <v>0</v>
      </c>
      <c r="BF30" s="44">
        <f t="shared" si="6"/>
        <v>0</v>
      </c>
      <c r="BG30" s="44">
        <f t="shared" si="6"/>
        <v>0</v>
      </c>
      <c r="BH30" s="44">
        <f t="shared" si="6"/>
        <v>0</v>
      </c>
      <c r="BI30" s="44">
        <f t="shared" si="6"/>
        <v>0</v>
      </c>
      <c r="BJ30" s="44">
        <f t="shared" si="6"/>
        <v>0</v>
      </c>
      <c r="BK30" s="44">
        <f t="shared" si="6"/>
        <v>0</v>
      </c>
      <c r="BL30" s="44">
        <f t="shared" si="6"/>
        <v>0</v>
      </c>
    </row>
    <row r="31" spans="1:64" x14ac:dyDescent="0.3">
      <c r="A31" s="8" t="s">
        <v>1012</v>
      </c>
      <c r="C31" s="44">
        <f t="shared" si="2"/>
        <v>-3298966.5449297056</v>
      </c>
      <c r="D31" s="44">
        <f t="shared" ref="D31:AI31" si="7">D28-D29-D30</f>
        <v>-873076.22096598963</v>
      </c>
      <c r="E31" s="44">
        <f t="shared" si="7"/>
        <v>-132792.42266936644</v>
      </c>
      <c r="F31" s="44">
        <f t="shared" si="7"/>
        <v>-121745.36471943282</v>
      </c>
      <c r="G31" s="44">
        <f t="shared" si="7"/>
        <v>-107383.62547009515</v>
      </c>
      <c r="H31" s="44">
        <f t="shared" si="7"/>
        <v>-93022.367058975622</v>
      </c>
      <c r="I31" s="44">
        <f t="shared" si="7"/>
        <v>-81972.735694917617</v>
      </c>
      <c r="J31" s="44">
        <f t="shared" si="7"/>
        <v>-77553.501199841965</v>
      </c>
      <c r="K31" s="44">
        <f t="shared" si="7"/>
        <v>-59954.010238369592</v>
      </c>
      <c r="L31" s="44">
        <f t="shared" si="7"/>
        <v>-59954.010238369592</v>
      </c>
      <c r="M31" s="44">
        <f t="shared" si="7"/>
        <v>-59954.010238369592</v>
      </c>
      <c r="N31" s="44">
        <f t="shared" si="7"/>
        <v>-59954.010238369592</v>
      </c>
      <c r="O31" s="44">
        <f t="shared" si="7"/>
        <v>-59954.010238369592</v>
      </c>
      <c r="P31" s="44">
        <f t="shared" si="7"/>
        <v>-59954.010238369592</v>
      </c>
      <c r="Q31" s="44">
        <f t="shared" si="7"/>
        <v>-59954.010238369592</v>
      </c>
      <c r="R31" s="44">
        <f t="shared" si="7"/>
        <v>-59954.010238369592</v>
      </c>
      <c r="S31" s="44">
        <f t="shared" si="7"/>
        <v>-59954.010238369592</v>
      </c>
      <c r="T31" s="44">
        <f t="shared" si="7"/>
        <v>-66354.010238369592</v>
      </c>
      <c r="U31" s="44">
        <f t="shared" si="7"/>
        <v>-59954.010238369592</v>
      </c>
      <c r="V31" s="44">
        <f t="shared" si="7"/>
        <v>-59954.010238369592</v>
      </c>
      <c r="W31" s="44">
        <f t="shared" si="7"/>
        <v>-59954.010238369592</v>
      </c>
      <c r="X31" s="44">
        <f t="shared" si="7"/>
        <v>-59954.010238369592</v>
      </c>
      <c r="Y31" s="44">
        <f t="shared" si="7"/>
        <v>-59954.010238369592</v>
      </c>
      <c r="Z31" s="44">
        <f t="shared" si="7"/>
        <v>-59954.010238369592</v>
      </c>
      <c r="AA31" s="44">
        <f t="shared" si="7"/>
        <v>-59954.010238369592</v>
      </c>
      <c r="AB31" s="44">
        <f t="shared" si="7"/>
        <v>-59954.010238369592</v>
      </c>
      <c r="AC31" s="44">
        <f t="shared" si="7"/>
        <v>-59954.010238369592</v>
      </c>
      <c r="AD31" s="44">
        <f t="shared" si="7"/>
        <v>-59954.010238369592</v>
      </c>
      <c r="AE31" s="44">
        <f t="shared" si="7"/>
        <v>-59954.010238369592</v>
      </c>
      <c r="AF31" s="44">
        <f t="shared" si="7"/>
        <v>-59954.010238369592</v>
      </c>
      <c r="AG31" s="44">
        <f t="shared" si="7"/>
        <v>-59954.010238369592</v>
      </c>
      <c r="AH31" s="44">
        <f t="shared" si="7"/>
        <v>-59954.010238369592</v>
      </c>
      <c r="AI31" s="44">
        <f t="shared" si="7"/>
        <v>-66354.010238369592</v>
      </c>
      <c r="AJ31" s="44">
        <f t="shared" ref="AJ31:BO31" si="8">AJ28-AJ29-AJ30</f>
        <v>-59954.010238369592</v>
      </c>
      <c r="AK31" s="44">
        <f t="shared" si="8"/>
        <v>-59954.010238369592</v>
      </c>
      <c r="AL31" s="44">
        <f t="shared" si="8"/>
        <v>-59954.010238369592</v>
      </c>
      <c r="AM31" s="44">
        <f t="shared" si="8"/>
        <v>-59954.010238369592</v>
      </c>
      <c r="AN31" s="44">
        <f t="shared" si="8"/>
        <v>-59954.010238369592</v>
      </c>
      <c r="AO31" s="44">
        <f t="shared" si="8"/>
        <v>0</v>
      </c>
      <c r="AP31" s="44">
        <f t="shared" si="8"/>
        <v>0</v>
      </c>
      <c r="AQ31" s="44">
        <f t="shared" si="8"/>
        <v>0</v>
      </c>
      <c r="AR31" s="44">
        <f t="shared" si="8"/>
        <v>0</v>
      </c>
      <c r="AS31" s="44">
        <f t="shared" si="8"/>
        <v>0</v>
      </c>
      <c r="AT31" s="44">
        <f t="shared" si="8"/>
        <v>0</v>
      </c>
      <c r="AU31" s="44">
        <f t="shared" si="8"/>
        <v>0</v>
      </c>
      <c r="AV31" s="44">
        <f t="shared" si="8"/>
        <v>0</v>
      </c>
      <c r="AW31" s="44">
        <f t="shared" si="8"/>
        <v>0</v>
      </c>
      <c r="AX31" s="44">
        <f t="shared" si="8"/>
        <v>0</v>
      </c>
      <c r="AY31" s="44">
        <f t="shared" si="8"/>
        <v>0</v>
      </c>
      <c r="AZ31" s="44">
        <f t="shared" si="8"/>
        <v>0</v>
      </c>
      <c r="BA31" s="44">
        <f t="shared" si="8"/>
        <v>0</v>
      </c>
      <c r="BB31" s="44">
        <f t="shared" si="8"/>
        <v>0</v>
      </c>
      <c r="BC31" s="44">
        <f t="shared" si="8"/>
        <v>0</v>
      </c>
      <c r="BD31" s="44">
        <f t="shared" si="8"/>
        <v>0</v>
      </c>
      <c r="BE31" s="44">
        <f t="shared" si="8"/>
        <v>0</v>
      </c>
      <c r="BF31" s="44">
        <f t="shared" si="8"/>
        <v>0</v>
      </c>
      <c r="BG31" s="44">
        <f t="shared" si="8"/>
        <v>0</v>
      </c>
      <c r="BH31" s="44">
        <f t="shared" si="8"/>
        <v>0</v>
      </c>
      <c r="BI31" s="44">
        <f t="shared" si="8"/>
        <v>0</v>
      </c>
      <c r="BJ31" s="44">
        <f t="shared" si="8"/>
        <v>0</v>
      </c>
      <c r="BK31" s="44">
        <f t="shared" si="8"/>
        <v>0</v>
      </c>
      <c r="BL31" s="44">
        <f t="shared" si="8"/>
        <v>0</v>
      </c>
    </row>
    <row r="32" spans="1:64" x14ac:dyDescent="0.3">
      <c r="A32" s="8" t="s">
        <v>1013</v>
      </c>
      <c r="D32" s="44">
        <f>D31</f>
        <v>-873076.22096598963</v>
      </c>
      <c r="E32" s="44">
        <f t="shared" ref="E32:AJ32" si="9">D32+E31</f>
        <v>-1005868.6436353561</v>
      </c>
      <c r="F32" s="44">
        <f t="shared" si="9"/>
        <v>-1127614.0083547889</v>
      </c>
      <c r="G32" s="44">
        <f t="shared" si="9"/>
        <v>-1234997.633824884</v>
      </c>
      <c r="H32" s="44">
        <f t="shared" si="9"/>
        <v>-1328020.0008838596</v>
      </c>
      <c r="I32" s="44">
        <f t="shared" si="9"/>
        <v>-1409992.7365787772</v>
      </c>
      <c r="J32" s="44">
        <f t="shared" si="9"/>
        <v>-1487546.2377786192</v>
      </c>
      <c r="K32" s="44">
        <f t="shared" si="9"/>
        <v>-1547500.2480169889</v>
      </c>
      <c r="L32" s="44">
        <f t="shared" si="9"/>
        <v>-1607454.2582553586</v>
      </c>
      <c r="M32" s="44">
        <f t="shared" si="9"/>
        <v>-1667408.2684937282</v>
      </c>
      <c r="N32" s="44">
        <f t="shared" si="9"/>
        <v>-1727362.2787320979</v>
      </c>
      <c r="O32" s="44">
        <f t="shared" si="9"/>
        <v>-1787316.2889704676</v>
      </c>
      <c r="P32" s="44">
        <f t="shared" si="9"/>
        <v>-1847270.2992088373</v>
      </c>
      <c r="Q32" s="44">
        <f t="shared" si="9"/>
        <v>-1907224.309447207</v>
      </c>
      <c r="R32" s="44">
        <f t="shared" si="9"/>
        <v>-1967178.3196855767</v>
      </c>
      <c r="S32" s="44">
        <f t="shared" si="9"/>
        <v>-2027132.3299239464</v>
      </c>
      <c r="T32" s="44">
        <f t="shared" si="9"/>
        <v>-2093486.3401623161</v>
      </c>
      <c r="U32" s="44">
        <f t="shared" si="9"/>
        <v>-2153440.3504006858</v>
      </c>
      <c r="V32" s="44">
        <f t="shared" si="9"/>
        <v>-2213394.3606390553</v>
      </c>
      <c r="W32" s="44">
        <f t="shared" si="9"/>
        <v>-2273348.3708774247</v>
      </c>
      <c r="X32" s="44">
        <f t="shared" si="9"/>
        <v>-2333302.3811157942</v>
      </c>
      <c r="Y32" s="44">
        <f t="shared" si="9"/>
        <v>-2393256.3913541636</v>
      </c>
      <c r="Z32" s="44">
        <f t="shared" si="9"/>
        <v>-2453210.4015925331</v>
      </c>
      <c r="AA32" s="44">
        <f t="shared" si="9"/>
        <v>-2513164.4118309026</v>
      </c>
      <c r="AB32" s="44">
        <f t="shared" si="9"/>
        <v>-2573118.422069272</v>
      </c>
      <c r="AC32" s="44">
        <f t="shared" si="9"/>
        <v>-2633072.4323076415</v>
      </c>
      <c r="AD32" s="44">
        <f t="shared" si="9"/>
        <v>-2693026.4425460109</v>
      </c>
      <c r="AE32" s="44">
        <f t="shared" si="9"/>
        <v>-2752980.4527843804</v>
      </c>
      <c r="AF32" s="44">
        <f t="shared" si="9"/>
        <v>-2812934.4630227499</v>
      </c>
      <c r="AG32" s="44">
        <f t="shared" si="9"/>
        <v>-2872888.4732611193</v>
      </c>
      <c r="AH32" s="44">
        <f t="shared" si="9"/>
        <v>-2932842.4834994888</v>
      </c>
      <c r="AI32" s="44">
        <f t="shared" si="9"/>
        <v>-2999196.4937378583</v>
      </c>
      <c r="AJ32" s="44">
        <f t="shared" si="9"/>
        <v>-3059150.5039762277</v>
      </c>
      <c r="AK32" s="44">
        <f t="shared" ref="AK32:BP32" si="10">AJ32+AK31</f>
        <v>-3119104.5142145972</v>
      </c>
      <c r="AL32" s="44">
        <f t="shared" si="10"/>
        <v>-3179058.5244529666</v>
      </c>
      <c r="AM32" s="44">
        <f t="shared" si="10"/>
        <v>-3239012.5346913361</v>
      </c>
      <c r="AN32" s="44">
        <f t="shared" si="10"/>
        <v>-3298966.5449297056</v>
      </c>
      <c r="AO32" s="44">
        <f t="shared" si="10"/>
        <v>-3298966.5449297056</v>
      </c>
      <c r="AP32" s="44">
        <f t="shared" si="10"/>
        <v>-3298966.5449297056</v>
      </c>
      <c r="AQ32" s="44">
        <f t="shared" si="10"/>
        <v>-3298966.5449297056</v>
      </c>
      <c r="AR32" s="44">
        <f t="shared" si="10"/>
        <v>-3298966.5449297056</v>
      </c>
      <c r="AS32" s="44">
        <f t="shared" si="10"/>
        <v>-3298966.5449297056</v>
      </c>
      <c r="AT32" s="44">
        <f t="shared" si="10"/>
        <v>-3298966.5449297056</v>
      </c>
      <c r="AU32" s="44">
        <f t="shared" si="10"/>
        <v>-3298966.5449297056</v>
      </c>
      <c r="AV32" s="44">
        <f t="shared" si="10"/>
        <v>-3298966.5449297056</v>
      </c>
      <c r="AW32" s="44">
        <f t="shared" si="10"/>
        <v>-3298966.5449297056</v>
      </c>
      <c r="AX32" s="44">
        <f t="shared" si="10"/>
        <v>-3298966.5449297056</v>
      </c>
      <c r="AY32" s="44">
        <f t="shared" si="10"/>
        <v>-3298966.5449297056</v>
      </c>
      <c r="AZ32" s="44">
        <f t="shared" si="10"/>
        <v>-3298966.5449297056</v>
      </c>
      <c r="BA32" s="44">
        <f t="shared" si="10"/>
        <v>-3298966.5449297056</v>
      </c>
      <c r="BB32" s="44">
        <f t="shared" si="10"/>
        <v>-3298966.5449297056</v>
      </c>
      <c r="BC32" s="44">
        <f t="shared" si="10"/>
        <v>-3298966.5449297056</v>
      </c>
      <c r="BD32" s="44">
        <f t="shared" si="10"/>
        <v>-3298966.5449297056</v>
      </c>
      <c r="BE32" s="44">
        <f t="shared" si="10"/>
        <v>-3298966.5449297056</v>
      </c>
      <c r="BF32" s="44">
        <f t="shared" si="10"/>
        <v>-3298966.5449297056</v>
      </c>
      <c r="BG32" s="44">
        <f t="shared" si="10"/>
        <v>-3298966.5449297056</v>
      </c>
      <c r="BH32" s="44">
        <f t="shared" si="10"/>
        <v>-3298966.5449297056</v>
      </c>
      <c r="BI32" s="44">
        <f t="shared" si="10"/>
        <v>-3298966.5449297056</v>
      </c>
      <c r="BJ32" s="44">
        <f t="shared" si="10"/>
        <v>-3298966.5449297056</v>
      </c>
      <c r="BK32" s="44">
        <f t="shared" si="10"/>
        <v>-3298966.5449297056</v>
      </c>
      <c r="BL32" s="44">
        <f t="shared" si="10"/>
        <v>-3298966.5449297056</v>
      </c>
    </row>
    <row r="33" spans="1:64" x14ac:dyDescent="0.3">
      <c r="A33" s="8" t="s">
        <v>1014</v>
      </c>
      <c r="C33" s="22" t="str">
        <f>IF(COUNT(E33:BL33)=0,"None",MIN(E33:BL33))</f>
        <v>None</v>
      </c>
      <c r="E33" s="22" t="str">
        <f>IF(AND(E$4&lt;=Org!$B$5,E32&gt;=0),E$4,"")</f>
        <v/>
      </c>
      <c r="F33" s="22" t="str">
        <f>IF(AND(F$4&lt;=Org!$B$5,F32&gt;=0),F$4,"")</f>
        <v/>
      </c>
      <c r="G33" s="22" t="str">
        <f>IF(AND(G$4&lt;=Org!$B$5,G32&gt;=0),G$4,"")</f>
        <v/>
      </c>
      <c r="H33" s="22" t="str">
        <f>IF(AND(H$4&lt;=Org!$B$5,H32&gt;=0),H$4,"")</f>
        <v/>
      </c>
      <c r="I33" s="22" t="str">
        <f>IF(AND(I$4&lt;=Org!$B$5,I32&gt;=0),I$4,"")</f>
        <v/>
      </c>
      <c r="J33" s="22" t="str">
        <f>IF(AND(J$4&lt;=Org!$B$5,J32&gt;=0),J$4,"")</f>
        <v/>
      </c>
      <c r="K33" s="22" t="str">
        <f>IF(AND(K$4&lt;=Org!$B$5,K32&gt;=0),K$4,"")</f>
        <v/>
      </c>
      <c r="L33" s="22" t="str">
        <f>IF(AND(L$4&lt;=Org!$B$5,L32&gt;=0),L$4,"")</f>
        <v/>
      </c>
      <c r="M33" s="22" t="str">
        <f>IF(AND(M$4&lt;=Org!$B$5,M32&gt;=0),M$4,"")</f>
        <v/>
      </c>
      <c r="N33" s="22" t="str">
        <f>IF(AND(N$4&lt;=Org!$B$5,N32&gt;=0),N$4,"")</f>
        <v/>
      </c>
      <c r="O33" s="22" t="str">
        <f>IF(AND(O$4&lt;=Org!$B$5,O32&gt;=0),O$4,"")</f>
        <v/>
      </c>
      <c r="P33" s="22" t="str">
        <f>IF(AND(P$4&lt;=Org!$B$5,P32&gt;=0),P$4,"")</f>
        <v/>
      </c>
      <c r="Q33" s="22" t="str">
        <f>IF(AND(Q$4&lt;=Org!$B$5,Q32&gt;=0),Q$4,"")</f>
        <v/>
      </c>
      <c r="R33" s="22" t="str">
        <f>IF(AND(R$4&lt;=Org!$B$5,R32&gt;=0),R$4,"")</f>
        <v/>
      </c>
      <c r="S33" s="22" t="str">
        <f>IF(AND(S$4&lt;=Org!$B$5,S32&gt;=0),S$4,"")</f>
        <v/>
      </c>
      <c r="T33" s="22" t="str">
        <f>IF(AND(T$4&lt;=Org!$B$5,T32&gt;=0),T$4,"")</f>
        <v/>
      </c>
      <c r="U33" s="22" t="str">
        <f>IF(AND(U$4&lt;=Org!$B$5,U32&gt;=0),U$4,"")</f>
        <v/>
      </c>
      <c r="V33" s="22" t="str">
        <f>IF(AND(V$4&lt;=Org!$B$5,V32&gt;=0),V$4,"")</f>
        <v/>
      </c>
      <c r="W33" s="22" t="str">
        <f>IF(AND(W$4&lt;=Org!$B$5,W32&gt;=0),W$4,"")</f>
        <v/>
      </c>
      <c r="X33" s="22" t="str">
        <f>IF(AND(X$4&lt;=Org!$B$5,X32&gt;=0),X$4,"")</f>
        <v/>
      </c>
      <c r="Y33" s="22" t="str">
        <f>IF(AND(Y$4&lt;=Org!$B$5,Y32&gt;=0),Y$4,"")</f>
        <v/>
      </c>
      <c r="Z33" s="22" t="str">
        <f>IF(AND(Z$4&lt;=Org!$B$5,Z32&gt;=0),Z$4,"")</f>
        <v/>
      </c>
      <c r="AA33" s="22" t="str">
        <f>IF(AND(AA$4&lt;=Org!$B$5,AA32&gt;=0),AA$4,"")</f>
        <v/>
      </c>
      <c r="AB33" s="22" t="str">
        <f>IF(AND(AB$4&lt;=Org!$B$5,AB32&gt;=0),AB$4,"")</f>
        <v/>
      </c>
      <c r="AC33" s="22" t="str">
        <f>IF(AND(AC$4&lt;=Org!$B$5,AC32&gt;=0),AC$4,"")</f>
        <v/>
      </c>
      <c r="AD33" s="22" t="str">
        <f>IF(AND(AD$4&lt;=Org!$B$5,AD32&gt;=0),AD$4,"")</f>
        <v/>
      </c>
      <c r="AE33" s="22" t="str">
        <f>IF(AND(AE$4&lt;=Org!$B$5,AE32&gt;=0),AE$4,"")</f>
        <v/>
      </c>
      <c r="AF33" s="22" t="str">
        <f>IF(AND(AF$4&lt;=Org!$B$5,AF32&gt;=0),AF$4,"")</f>
        <v/>
      </c>
      <c r="AG33" s="22" t="str">
        <f>IF(AND(AG$4&lt;=Org!$B$5,AG32&gt;=0),AG$4,"")</f>
        <v/>
      </c>
      <c r="AH33" s="22" t="str">
        <f>IF(AND(AH$4&lt;=Org!$B$5,AH32&gt;=0),AH$4,"")</f>
        <v/>
      </c>
      <c r="AI33" s="22" t="str">
        <f>IF(AND(AI$4&lt;=Org!$B$5,AI32&gt;=0),AI$4,"")</f>
        <v/>
      </c>
      <c r="AJ33" s="22" t="str">
        <f>IF(AND(AJ$4&lt;=Org!$B$5,AJ32&gt;=0),AJ$4,"")</f>
        <v/>
      </c>
      <c r="AK33" s="22" t="str">
        <f>IF(AND(AK$4&lt;=Org!$B$5,AK32&gt;=0),AK$4,"")</f>
        <v/>
      </c>
      <c r="AL33" s="22" t="str">
        <f>IF(AND(AL$4&lt;=Org!$B$5,AL32&gt;=0),AL$4,"")</f>
        <v/>
      </c>
      <c r="AM33" s="22" t="str">
        <f>IF(AND(AM$4&lt;=Org!$B$5,AM32&gt;=0),AM$4,"")</f>
        <v/>
      </c>
      <c r="AN33" s="22" t="str">
        <f>IF(AND(AN$4&lt;=Org!$B$5,AN32&gt;=0),AN$4,"")</f>
        <v/>
      </c>
      <c r="AO33" s="22" t="str">
        <f>IF(AND(AO$4&lt;=Org!$B$5,AO32&gt;=0),AO$4,"")</f>
        <v/>
      </c>
      <c r="AP33" s="22" t="str">
        <f>IF(AND(AP$4&lt;=Org!$B$5,AP32&gt;=0),AP$4,"")</f>
        <v/>
      </c>
      <c r="AQ33" s="22" t="str">
        <f>IF(AND(AQ$4&lt;=Org!$B$5,AQ32&gt;=0),AQ$4,"")</f>
        <v/>
      </c>
      <c r="AR33" s="22" t="str">
        <f>IF(AND(AR$4&lt;=Org!$B$5,AR32&gt;=0),AR$4,"")</f>
        <v/>
      </c>
      <c r="AS33" s="22" t="str">
        <f>IF(AND(AS$4&lt;=Org!$B$5,AS32&gt;=0),AS$4,"")</f>
        <v/>
      </c>
      <c r="AT33" s="22" t="str">
        <f>IF(AND(AT$4&lt;=Org!$B$5,AT32&gt;=0),AT$4,"")</f>
        <v/>
      </c>
      <c r="AU33" s="22" t="str">
        <f>IF(AND(AU$4&lt;=Org!$B$5,AU32&gt;=0),AU$4,"")</f>
        <v/>
      </c>
      <c r="AV33" s="22" t="str">
        <f>IF(AND(AV$4&lt;=Org!$B$5,AV32&gt;=0),AV$4,"")</f>
        <v/>
      </c>
      <c r="AW33" s="22" t="str">
        <f>IF(AND(AW$4&lt;=Org!$B$5,AW32&gt;=0),AW$4,"")</f>
        <v/>
      </c>
      <c r="AX33" s="22" t="str">
        <f>IF(AND(AX$4&lt;=Org!$B$5,AX32&gt;=0),AX$4,"")</f>
        <v/>
      </c>
      <c r="AY33" s="22" t="str">
        <f>IF(AND(AY$4&lt;=Org!$B$5,AY32&gt;=0),AY$4,"")</f>
        <v/>
      </c>
      <c r="AZ33" s="22" t="str">
        <f>IF(AND(AZ$4&lt;=Org!$B$5,AZ32&gt;=0),AZ$4,"")</f>
        <v/>
      </c>
      <c r="BA33" s="22" t="str">
        <f>IF(AND(BA$4&lt;=Org!$B$5,BA32&gt;=0),BA$4,"")</f>
        <v/>
      </c>
      <c r="BB33" s="22" t="str">
        <f>IF(AND(BB$4&lt;=Org!$B$5,BB32&gt;=0),BB$4,"")</f>
        <v/>
      </c>
      <c r="BC33" s="22" t="str">
        <f>IF(AND(BC$4&lt;=Org!$B$5,BC32&gt;=0),BC$4,"")</f>
        <v/>
      </c>
      <c r="BD33" s="22" t="str">
        <f>IF(AND(BD$4&lt;=Org!$B$5,BD32&gt;=0),BD$4,"")</f>
        <v/>
      </c>
      <c r="BE33" s="22" t="str">
        <f>IF(AND(BE$4&lt;=Org!$B$5,BE32&gt;=0),BE$4,"")</f>
        <v/>
      </c>
      <c r="BF33" s="22" t="str">
        <f>IF(AND(BF$4&lt;=Org!$B$5,BF32&gt;=0),BF$4,"")</f>
        <v/>
      </c>
      <c r="BG33" s="22" t="str">
        <f>IF(AND(BG$4&lt;=Org!$B$5,BG32&gt;=0),BG$4,"")</f>
        <v/>
      </c>
      <c r="BH33" s="22" t="str">
        <f>IF(AND(BH$4&lt;=Org!$B$5,BH32&gt;=0),BH$4,"")</f>
        <v/>
      </c>
      <c r="BI33" s="22" t="str">
        <f>IF(AND(BI$4&lt;=Org!$B$5,BI32&gt;=0),BI$4,"")</f>
        <v/>
      </c>
      <c r="BJ33" s="22" t="str">
        <f>IF(AND(BJ$4&lt;=Org!$B$5,BJ32&gt;=0),BJ$4,"")</f>
        <v/>
      </c>
      <c r="BK33" s="22" t="str">
        <f>IF(AND(BK$4&lt;=Org!$B$5,BK32&gt;=0),BK$4,"")</f>
        <v/>
      </c>
      <c r="BL33" s="22" t="str">
        <f>IF(AND(BL$4&lt;=Org!$B$5,BL32&gt;=0),BL$4,"")</f>
        <v/>
      </c>
    </row>
    <row r="35" spans="1:64" x14ac:dyDescent="0.3">
      <c r="A35" s="17" t="str">
        <f>Teams!$D$4</f>
        <v>Engineering assistant</v>
      </c>
      <c r="B35" s="18" t="s">
        <v>1009</v>
      </c>
      <c r="C35" s="50">
        <f>(Teams!$D$29*(1-Teams!$D$31)*Params!$E$39*Params!$E$21*IF(Teams!$D$36="Yes",Params!$E$22,1)*Teams!$D$68*Teams!$D$70+Teams!$D$30*(1-Teams!$D$31)*Params!$E$39*Params!$E$21*IF(Teams!$D$36="Yes",Params!$E$22,1)*Teams!$D$69)/1000000*Teams!$D$71*Teams!$D$35</f>
        <v>0.17114760000000001</v>
      </c>
    </row>
    <row r="36" spans="1:64" x14ac:dyDescent="0.3">
      <c r="A36" s="8" t="s">
        <v>1010</v>
      </c>
      <c r="E36" s="26">
        <f>IF(E$4&lt;Teams!$D$80,0,IF(Teams!$D$22="S",MIN(1,(E$4-Teams!$D$80+1)/Teams!$D$21)^2*(3-2*MIN(1,(E$4-Teams!$D$80+1)/Teams!$D$21)),MIN(1,(E$4-Teams!$D$80+1)/Teams!$D$21)))</f>
        <v>0.25</v>
      </c>
      <c r="F36" s="26">
        <f>IF(F$4&lt;Teams!$D$80,0,IF(Teams!$D$22="S",MIN(1,(F$4-Teams!$D$80+1)/Teams!$D$21)^2*(3-2*MIN(1,(F$4-Teams!$D$80+1)/Teams!$D$21)),MIN(1,(F$4-Teams!$D$80+1)/Teams!$D$21)))</f>
        <v>0.5</v>
      </c>
      <c r="G36" s="26">
        <f>IF(G$4&lt;Teams!$D$80,0,IF(Teams!$D$22="S",MIN(1,(G$4-Teams!$D$80+1)/Teams!$D$21)^2*(3-2*MIN(1,(G$4-Teams!$D$80+1)/Teams!$D$21)),MIN(1,(G$4-Teams!$D$80+1)/Teams!$D$21)))</f>
        <v>0.75</v>
      </c>
      <c r="H36" s="26">
        <f>IF(H$4&lt;Teams!$D$80,0,IF(Teams!$D$22="S",MIN(1,(H$4-Teams!$D$80+1)/Teams!$D$21)^2*(3-2*MIN(1,(H$4-Teams!$D$80+1)/Teams!$D$21)),MIN(1,(H$4-Teams!$D$80+1)/Teams!$D$21)))</f>
        <v>1</v>
      </c>
      <c r="I36" s="26">
        <f>IF(I$4&lt;Teams!$D$80,0,IF(Teams!$D$22="S",MIN(1,(I$4-Teams!$D$80+1)/Teams!$D$21)^2*(3-2*MIN(1,(I$4-Teams!$D$80+1)/Teams!$D$21)),MIN(1,(I$4-Teams!$D$80+1)/Teams!$D$21)))</f>
        <v>1</v>
      </c>
      <c r="J36" s="26">
        <f>IF(J$4&lt;Teams!$D$80,0,IF(Teams!$D$22="S",MIN(1,(J$4-Teams!$D$80+1)/Teams!$D$21)^2*(3-2*MIN(1,(J$4-Teams!$D$80+1)/Teams!$D$21)),MIN(1,(J$4-Teams!$D$80+1)/Teams!$D$21)))</f>
        <v>1</v>
      </c>
      <c r="K36" s="26">
        <f>IF(K$4&lt;Teams!$D$80,0,IF(Teams!$D$22="S",MIN(1,(K$4-Teams!$D$80+1)/Teams!$D$21)^2*(3-2*MIN(1,(K$4-Teams!$D$80+1)/Teams!$D$21)),MIN(1,(K$4-Teams!$D$80+1)/Teams!$D$21)))</f>
        <v>1</v>
      </c>
      <c r="L36" s="26">
        <f>IF(L$4&lt;Teams!$D$80,0,IF(Teams!$D$22="S",MIN(1,(L$4-Teams!$D$80+1)/Teams!$D$21)^2*(3-2*MIN(1,(L$4-Teams!$D$80+1)/Teams!$D$21)),MIN(1,(L$4-Teams!$D$80+1)/Teams!$D$21)))</f>
        <v>1</v>
      </c>
      <c r="M36" s="26">
        <f>IF(M$4&lt;Teams!$D$80,0,IF(Teams!$D$22="S",MIN(1,(M$4-Teams!$D$80+1)/Teams!$D$21)^2*(3-2*MIN(1,(M$4-Teams!$D$80+1)/Teams!$D$21)),MIN(1,(M$4-Teams!$D$80+1)/Teams!$D$21)))</f>
        <v>1</v>
      </c>
      <c r="N36" s="26">
        <f>IF(N$4&lt;Teams!$D$80,0,IF(Teams!$D$22="S",MIN(1,(N$4-Teams!$D$80+1)/Teams!$D$21)^2*(3-2*MIN(1,(N$4-Teams!$D$80+1)/Teams!$D$21)),MIN(1,(N$4-Teams!$D$80+1)/Teams!$D$21)))</f>
        <v>1</v>
      </c>
      <c r="O36" s="26">
        <f>IF(O$4&lt;Teams!$D$80,0,IF(Teams!$D$22="S",MIN(1,(O$4-Teams!$D$80+1)/Teams!$D$21)^2*(3-2*MIN(1,(O$4-Teams!$D$80+1)/Teams!$D$21)),MIN(1,(O$4-Teams!$D$80+1)/Teams!$D$21)))</f>
        <v>1</v>
      </c>
      <c r="P36" s="26">
        <f>IF(P$4&lt;Teams!$D$80,0,IF(Teams!$D$22="S",MIN(1,(P$4-Teams!$D$80+1)/Teams!$D$21)^2*(3-2*MIN(1,(P$4-Teams!$D$80+1)/Teams!$D$21)),MIN(1,(P$4-Teams!$D$80+1)/Teams!$D$21)))</f>
        <v>1</v>
      </c>
      <c r="Q36" s="26">
        <f>IF(Q$4&lt;Teams!$D$80,0,IF(Teams!$D$22="S",MIN(1,(Q$4-Teams!$D$80+1)/Teams!$D$21)^2*(3-2*MIN(1,(Q$4-Teams!$D$80+1)/Teams!$D$21)),MIN(1,(Q$4-Teams!$D$80+1)/Teams!$D$21)))</f>
        <v>1</v>
      </c>
      <c r="R36" s="26">
        <f>IF(R$4&lt;Teams!$D$80,0,IF(Teams!$D$22="S",MIN(1,(R$4-Teams!$D$80+1)/Teams!$D$21)^2*(3-2*MIN(1,(R$4-Teams!$D$80+1)/Teams!$D$21)),MIN(1,(R$4-Teams!$D$80+1)/Teams!$D$21)))</f>
        <v>1</v>
      </c>
      <c r="S36" s="26">
        <f>IF(S$4&lt;Teams!$D$80,0,IF(Teams!$D$22="S",MIN(1,(S$4-Teams!$D$80+1)/Teams!$D$21)^2*(3-2*MIN(1,(S$4-Teams!$D$80+1)/Teams!$D$21)),MIN(1,(S$4-Teams!$D$80+1)/Teams!$D$21)))</f>
        <v>1</v>
      </c>
      <c r="T36" s="26">
        <f>IF(T$4&lt;Teams!$D$80,0,IF(Teams!$D$22="S",MIN(1,(T$4-Teams!$D$80+1)/Teams!$D$21)^2*(3-2*MIN(1,(T$4-Teams!$D$80+1)/Teams!$D$21)),MIN(1,(T$4-Teams!$D$80+1)/Teams!$D$21)))</f>
        <v>1</v>
      </c>
      <c r="U36" s="26">
        <f>IF(U$4&lt;Teams!$D$80,0,IF(Teams!$D$22="S",MIN(1,(U$4-Teams!$D$80+1)/Teams!$D$21)^2*(3-2*MIN(1,(U$4-Teams!$D$80+1)/Teams!$D$21)),MIN(1,(U$4-Teams!$D$80+1)/Teams!$D$21)))</f>
        <v>1</v>
      </c>
      <c r="V36" s="26">
        <f>IF(V$4&lt;Teams!$D$80,0,IF(Teams!$D$22="S",MIN(1,(V$4-Teams!$D$80+1)/Teams!$D$21)^2*(3-2*MIN(1,(V$4-Teams!$D$80+1)/Teams!$D$21)),MIN(1,(V$4-Teams!$D$80+1)/Teams!$D$21)))</f>
        <v>1</v>
      </c>
      <c r="W36" s="26">
        <f>IF(W$4&lt;Teams!$D$80,0,IF(Teams!$D$22="S",MIN(1,(W$4-Teams!$D$80+1)/Teams!$D$21)^2*(3-2*MIN(1,(W$4-Teams!$D$80+1)/Teams!$D$21)),MIN(1,(W$4-Teams!$D$80+1)/Teams!$D$21)))</f>
        <v>1</v>
      </c>
      <c r="X36" s="26">
        <f>IF(X$4&lt;Teams!$D$80,0,IF(Teams!$D$22="S",MIN(1,(X$4-Teams!$D$80+1)/Teams!$D$21)^2*(3-2*MIN(1,(X$4-Teams!$D$80+1)/Teams!$D$21)),MIN(1,(X$4-Teams!$D$80+1)/Teams!$D$21)))</f>
        <v>1</v>
      </c>
      <c r="Y36" s="26">
        <f>IF(Y$4&lt;Teams!$D$80,0,IF(Teams!$D$22="S",MIN(1,(Y$4-Teams!$D$80+1)/Teams!$D$21)^2*(3-2*MIN(1,(Y$4-Teams!$D$80+1)/Teams!$D$21)),MIN(1,(Y$4-Teams!$D$80+1)/Teams!$D$21)))</f>
        <v>1</v>
      </c>
      <c r="Z36" s="26">
        <f>IF(Z$4&lt;Teams!$D$80,0,IF(Teams!$D$22="S",MIN(1,(Z$4-Teams!$D$80+1)/Teams!$D$21)^2*(3-2*MIN(1,(Z$4-Teams!$D$80+1)/Teams!$D$21)),MIN(1,(Z$4-Teams!$D$80+1)/Teams!$D$21)))</f>
        <v>1</v>
      </c>
      <c r="AA36" s="26">
        <f>IF(AA$4&lt;Teams!$D$80,0,IF(Teams!$D$22="S",MIN(1,(AA$4-Teams!$D$80+1)/Teams!$D$21)^2*(3-2*MIN(1,(AA$4-Teams!$D$80+1)/Teams!$D$21)),MIN(1,(AA$4-Teams!$D$80+1)/Teams!$D$21)))</f>
        <v>1</v>
      </c>
      <c r="AB36" s="26">
        <f>IF(AB$4&lt;Teams!$D$80,0,IF(Teams!$D$22="S",MIN(1,(AB$4-Teams!$D$80+1)/Teams!$D$21)^2*(3-2*MIN(1,(AB$4-Teams!$D$80+1)/Teams!$D$21)),MIN(1,(AB$4-Teams!$D$80+1)/Teams!$D$21)))</f>
        <v>1</v>
      </c>
      <c r="AC36" s="26">
        <f>IF(AC$4&lt;Teams!$D$80,0,IF(Teams!$D$22="S",MIN(1,(AC$4-Teams!$D$80+1)/Teams!$D$21)^2*(3-2*MIN(1,(AC$4-Teams!$D$80+1)/Teams!$D$21)),MIN(1,(AC$4-Teams!$D$80+1)/Teams!$D$21)))</f>
        <v>1</v>
      </c>
      <c r="AD36" s="26">
        <f>IF(AD$4&lt;Teams!$D$80,0,IF(Teams!$D$22="S",MIN(1,(AD$4-Teams!$D$80+1)/Teams!$D$21)^2*(3-2*MIN(1,(AD$4-Teams!$D$80+1)/Teams!$D$21)),MIN(1,(AD$4-Teams!$D$80+1)/Teams!$D$21)))</f>
        <v>1</v>
      </c>
      <c r="AE36" s="26">
        <f>IF(AE$4&lt;Teams!$D$80,0,IF(Teams!$D$22="S",MIN(1,(AE$4-Teams!$D$80+1)/Teams!$D$21)^2*(3-2*MIN(1,(AE$4-Teams!$D$80+1)/Teams!$D$21)),MIN(1,(AE$4-Teams!$D$80+1)/Teams!$D$21)))</f>
        <v>1</v>
      </c>
      <c r="AF36" s="26">
        <f>IF(AF$4&lt;Teams!$D$80,0,IF(Teams!$D$22="S",MIN(1,(AF$4-Teams!$D$80+1)/Teams!$D$21)^2*(3-2*MIN(1,(AF$4-Teams!$D$80+1)/Teams!$D$21)),MIN(1,(AF$4-Teams!$D$80+1)/Teams!$D$21)))</f>
        <v>1</v>
      </c>
      <c r="AG36" s="26">
        <f>IF(AG$4&lt;Teams!$D$80,0,IF(Teams!$D$22="S",MIN(1,(AG$4-Teams!$D$80+1)/Teams!$D$21)^2*(3-2*MIN(1,(AG$4-Teams!$D$80+1)/Teams!$D$21)),MIN(1,(AG$4-Teams!$D$80+1)/Teams!$D$21)))</f>
        <v>1</v>
      </c>
      <c r="AH36" s="26">
        <f>IF(AH$4&lt;Teams!$D$80,0,IF(Teams!$D$22="S",MIN(1,(AH$4-Teams!$D$80+1)/Teams!$D$21)^2*(3-2*MIN(1,(AH$4-Teams!$D$80+1)/Teams!$D$21)),MIN(1,(AH$4-Teams!$D$80+1)/Teams!$D$21)))</f>
        <v>1</v>
      </c>
      <c r="AI36" s="26">
        <f>IF(AI$4&lt;Teams!$D$80,0,IF(Teams!$D$22="S",MIN(1,(AI$4-Teams!$D$80+1)/Teams!$D$21)^2*(3-2*MIN(1,(AI$4-Teams!$D$80+1)/Teams!$D$21)),MIN(1,(AI$4-Teams!$D$80+1)/Teams!$D$21)))</f>
        <v>1</v>
      </c>
      <c r="AJ36" s="26">
        <f>IF(AJ$4&lt;Teams!$D$80,0,IF(Teams!$D$22="S",MIN(1,(AJ$4-Teams!$D$80+1)/Teams!$D$21)^2*(3-2*MIN(1,(AJ$4-Teams!$D$80+1)/Teams!$D$21)),MIN(1,(AJ$4-Teams!$D$80+1)/Teams!$D$21)))</f>
        <v>1</v>
      </c>
      <c r="AK36" s="26">
        <f>IF(AK$4&lt;Teams!$D$80,0,IF(Teams!$D$22="S",MIN(1,(AK$4-Teams!$D$80+1)/Teams!$D$21)^2*(3-2*MIN(1,(AK$4-Teams!$D$80+1)/Teams!$D$21)),MIN(1,(AK$4-Teams!$D$80+1)/Teams!$D$21)))</f>
        <v>1</v>
      </c>
      <c r="AL36" s="26">
        <f>IF(AL$4&lt;Teams!$D$80,0,IF(Teams!$D$22="S",MIN(1,(AL$4-Teams!$D$80+1)/Teams!$D$21)^2*(3-2*MIN(1,(AL$4-Teams!$D$80+1)/Teams!$D$21)),MIN(1,(AL$4-Teams!$D$80+1)/Teams!$D$21)))</f>
        <v>1</v>
      </c>
      <c r="AM36" s="26">
        <f>IF(AM$4&lt;Teams!$D$80,0,IF(Teams!$D$22="S",MIN(1,(AM$4-Teams!$D$80+1)/Teams!$D$21)^2*(3-2*MIN(1,(AM$4-Teams!$D$80+1)/Teams!$D$21)),MIN(1,(AM$4-Teams!$D$80+1)/Teams!$D$21)))</f>
        <v>1</v>
      </c>
      <c r="AN36" s="26">
        <f>IF(AN$4&lt;Teams!$D$80,0,IF(Teams!$D$22="S",MIN(1,(AN$4-Teams!$D$80+1)/Teams!$D$21)^2*(3-2*MIN(1,(AN$4-Teams!$D$80+1)/Teams!$D$21)),MIN(1,(AN$4-Teams!$D$80+1)/Teams!$D$21)))</f>
        <v>1</v>
      </c>
      <c r="AO36" s="26">
        <f>IF(AO$4&lt;Teams!$D$80,0,IF(Teams!$D$22="S",MIN(1,(AO$4-Teams!$D$80+1)/Teams!$D$21)^2*(3-2*MIN(1,(AO$4-Teams!$D$80+1)/Teams!$D$21)),MIN(1,(AO$4-Teams!$D$80+1)/Teams!$D$21)))</f>
        <v>1</v>
      </c>
      <c r="AP36" s="26">
        <f>IF(AP$4&lt;Teams!$D$80,0,IF(Teams!$D$22="S",MIN(1,(AP$4-Teams!$D$80+1)/Teams!$D$21)^2*(3-2*MIN(1,(AP$4-Teams!$D$80+1)/Teams!$D$21)),MIN(1,(AP$4-Teams!$D$80+1)/Teams!$D$21)))</f>
        <v>1</v>
      </c>
      <c r="AQ36" s="26">
        <f>IF(AQ$4&lt;Teams!$D$80,0,IF(Teams!$D$22="S",MIN(1,(AQ$4-Teams!$D$80+1)/Teams!$D$21)^2*(3-2*MIN(1,(AQ$4-Teams!$D$80+1)/Teams!$D$21)),MIN(1,(AQ$4-Teams!$D$80+1)/Teams!$D$21)))</f>
        <v>1</v>
      </c>
      <c r="AR36" s="26">
        <f>IF(AR$4&lt;Teams!$D$80,0,IF(Teams!$D$22="S",MIN(1,(AR$4-Teams!$D$80+1)/Teams!$D$21)^2*(3-2*MIN(1,(AR$4-Teams!$D$80+1)/Teams!$D$21)),MIN(1,(AR$4-Teams!$D$80+1)/Teams!$D$21)))</f>
        <v>1</v>
      </c>
      <c r="AS36" s="26">
        <f>IF(AS$4&lt;Teams!$D$80,0,IF(Teams!$D$22="S",MIN(1,(AS$4-Teams!$D$80+1)/Teams!$D$21)^2*(3-2*MIN(1,(AS$4-Teams!$D$80+1)/Teams!$D$21)),MIN(1,(AS$4-Teams!$D$80+1)/Teams!$D$21)))</f>
        <v>1</v>
      </c>
      <c r="AT36" s="26">
        <f>IF(AT$4&lt;Teams!$D$80,0,IF(Teams!$D$22="S",MIN(1,(AT$4-Teams!$D$80+1)/Teams!$D$21)^2*(3-2*MIN(1,(AT$4-Teams!$D$80+1)/Teams!$D$21)),MIN(1,(AT$4-Teams!$D$80+1)/Teams!$D$21)))</f>
        <v>1</v>
      </c>
      <c r="AU36" s="26">
        <f>IF(AU$4&lt;Teams!$D$80,0,IF(Teams!$D$22="S",MIN(1,(AU$4-Teams!$D$80+1)/Teams!$D$21)^2*(3-2*MIN(1,(AU$4-Teams!$D$80+1)/Teams!$D$21)),MIN(1,(AU$4-Teams!$D$80+1)/Teams!$D$21)))</f>
        <v>1</v>
      </c>
      <c r="AV36" s="26">
        <f>IF(AV$4&lt;Teams!$D$80,0,IF(Teams!$D$22="S",MIN(1,(AV$4-Teams!$D$80+1)/Teams!$D$21)^2*(3-2*MIN(1,(AV$4-Teams!$D$80+1)/Teams!$D$21)),MIN(1,(AV$4-Teams!$D$80+1)/Teams!$D$21)))</f>
        <v>1</v>
      </c>
      <c r="AW36" s="26">
        <f>IF(AW$4&lt;Teams!$D$80,0,IF(Teams!$D$22="S",MIN(1,(AW$4-Teams!$D$80+1)/Teams!$D$21)^2*(3-2*MIN(1,(AW$4-Teams!$D$80+1)/Teams!$D$21)),MIN(1,(AW$4-Teams!$D$80+1)/Teams!$D$21)))</f>
        <v>1</v>
      </c>
      <c r="AX36" s="26">
        <f>IF(AX$4&lt;Teams!$D$80,0,IF(Teams!$D$22="S",MIN(1,(AX$4-Teams!$D$80+1)/Teams!$D$21)^2*(3-2*MIN(1,(AX$4-Teams!$D$80+1)/Teams!$D$21)),MIN(1,(AX$4-Teams!$D$80+1)/Teams!$D$21)))</f>
        <v>1</v>
      </c>
      <c r="AY36" s="26">
        <f>IF(AY$4&lt;Teams!$D$80,0,IF(Teams!$D$22="S",MIN(1,(AY$4-Teams!$D$80+1)/Teams!$D$21)^2*(3-2*MIN(1,(AY$4-Teams!$D$80+1)/Teams!$D$21)),MIN(1,(AY$4-Teams!$D$80+1)/Teams!$D$21)))</f>
        <v>1</v>
      </c>
      <c r="AZ36" s="26">
        <f>IF(AZ$4&lt;Teams!$D$80,0,IF(Teams!$D$22="S",MIN(1,(AZ$4-Teams!$D$80+1)/Teams!$D$21)^2*(3-2*MIN(1,(AZ$4-Teams!$D$80+1)/Teams!$D$21)),MIN(1,(AZ$4-Teams!$D$80+1)/Teams!$D$21)))</f>
        <v>1</v>
      </c>
      <c r="BA36" s="26">
        <f>IF(BA$4&lt;Teams!$D$80,0,IF(Teams!$D$22="S",MIN(1,(BA$4-Teams!$D$80+1)/Teams!$D$21)^2*(3-2*MIN(1,(BA$4-Teams!$D$80+1)/Teams!$D$21)),MIN(1,(BA$4-Teams!$D$80+1)/Teams!$D$21)))</f>
        <v>1</v>
      </c>
      <c r="BB36" s="26">
        <f>IF(BB$4&lt;Teams!$D$80,0,IF(Teams!$D$22="S",MIN(1,(BB$4-Teams!$D$80+1)/Teams!$D$21)^2*(3-2*MIN(1,(BB$4-Teams!$D$80+1)/Teams!$D$21)),MIN(1,(BB$4-Teams!$D$80+1)/Teams!$D$21)))</f>
        <v>1</v>
      </c>
      <c r="BC36" s="26">
        <f>IF(BC$4&lt;Teams!$D$80,0,IF(Teams!$D$22="S",MIN(1,(BC$4-Teams!$D$80+1)/Teams!$D$21)^2*(3-2*MIN(1,(BC$4-Teams!$D$80+1)/Teams!$D$21)),MIN(1,(BC$4-Teams!$D$80+1)/Teams!$D$21)))</f>
        <v>1</v>
      </c>
      <c r="BD36" s="26">
        <f>IF(BD$4&lt;Teams!$D$80,0,IF(Teams!$D$22="S",MIN(1,(BD$4-Teams!$D$80+1)/Teams!$D$21)^2*(3-2*MIN(1,(BD$4-Teams!$D$80+1)/Teams!$D$21)),MIN(1,(BD$4-Teams!$D$80+1)/Teams!$D$21)))</f>
        <v>1</v>
      </c>
      <c r="BE36" s="26">
        <f>IF(BE$4&lt;Teams!$D$80,0,IF(Teams!$D$22="S",MIN(1,(BE$4-Teams!$D$80+1)/Teams!$D$21)^2*(3-2*MIN(1,(BE$4-Teams!$D$80+1)/Teams!$D$21)),MIN(1,(BE$4-Teams!$D$80+1)/Teams!$D$21)))</f>
        <v>1</v>
      </c>
      <c r="BF36" s="26">
        <f>IF(BF$4&lt;Teams!$D$80,0,IF(Teams!$D$22="S",MIN(1,(BF$4-Teams!$D$80+1)/Teams!$D$21)^2*(3-2*MIN(1,(BF$4-Teams!$D$80+1)/Teams!$D$21)),MIN(1,(BF$4-Teams!$D$80+1)/Teams!$D$21)))</f>
        <v>1</v>
      </c>
      <c r="BG36" s="26">
        <f>IF(BG$4&lt;Teams!$D$80,0,IF(Teams!$D$22="S",MIN(1,(BG$4-Teams!$D$80+1)/Teams!$D$21)^2*(3-2*MIN(1,(BG$4-Teams!$D$80+1)/Teams!$D$21)),MIN(1,(BG$4-Teams!$D$80+1)/Teams!$D$21)))</f>
        <v>1</v>
      </c>
      <c r="BH36" s="26">
        <f>IF(BH$4&lt;Teams!$D$80,0,IF(Teams!$D$22="S",MIN(1,(BH$4-Teams!$D$80+1)/Teams!$D$21)^2*(3-2*MIN(1,(BH$4-Teams!$D$80+1)/Teams!$D$21)),MIN(1,(BH$4-Teams!$D$80+1)/Teams!$D$21)))</f>
        <v>1</v>
      </c>
      <c r="BI36" s="26">
        <f>IF(BI$4&lt;Teams!$D$80,0,IF(Teams!$D$22="S",MIN(1,(BI$4-Teams!$D$80+1)/Teams!$D$21)^2*(3-2*MIN(1,(BI$4-Teams!$D$80+1)/Teams!$D$21)),MIN(1,(BI$4-Teams!$D$80+1)/Teams!$D$21)))</f>
        <v>1</v>
      </c>
      <c r="BJ36" s="26">
        <f>IF(BJ$4&lt;Teams!$D$80,0,IF(Teams!$D$22="S",MIN(1,(BJ$4-Teams!$D$80+1)/Teams!$D$21)^2*(3-2*MIN(1,(BJ$4-Teams!$D$80+1)/Teams!$D$21)),MIN(1,(BJ$4-Teams!$D$80+1)/Teams!$D$21)))</f>
        <v>1</v>
      </c>
      <c r="BK36" s="26">
        <f>IF(BK$4&lt;Teams!$D$80,0,IF(Teams!$D$22="S",MIN(1,(BK$4-Teams!$D$80+1)/Teams!$D$21)^2*(3-2*MIN(1,(BK$4-Teams!$D$80+1)/Teams!$D$21)),MIN(1,(BK$4-Teams!$D$80+1)/Teams!$D$21)))</f>
        <v>1</v>
      </c>
      <c r="BL36" s="26">
        <f>IF(BL$4&lt;Teams!$D$80,0,IF(Teams!$D$22="S",MIN(1,(BL$4-Teams!$D$80+1)/Teams!$D$21)^2*(3-2*MIN(1,(BL$4-Teams!$D$80+1)/Teams!$D$21)),MIN(1,(BL$4-Teams!$D$80+1)/Teams!$D$21)))</f>
        <v>1</v>
      </c>
    </row>
    <row r="37" spans="1:64" x14ac:dyDescent="0.3">
      <c r="A37" s="8" t="s">
        <v>160</v>
      </c>
      <c r="E37" s="22">
        <f>IF(E$4&gt;=Teams!$D$80,Teams!$D$18,0)</f>
        <v>400</v>
      </c>
      <c r="F37" s="22">
        <f>IF(F$4&gt;=Teams!$D$80,Teams!$D$18,0)</f>
        <v>400</v>
      </c>
      <c r="G37" s="22">
        <f>IF(G$4&gt;=Teams!$D$80,Teams!$D$18,0)</f>
        <v>400</v>
      </c>
      <c r="H37" s="22">
        <f>IF(H$4&gt;=Teams!$D$80,Teams!$D$18,0)</f>
        <v>400</v>
      </c>
      <c r="I37" s="22">
        <f>IF(I$4&gt;=Teams!$D$80,Teams!$D$18,0)</f>
        <v>400</v>
      </c>
      <c r="J37" s="22">
        <f>IF(J$4&gt;=Teams!$D$80,Teams!$D$18,0)</f>
        <v>400</v>
      </c>
      <c r="K37" s="22">
        <f>IF(K$4&gt;=Teams!$D$80,Teams!$D$18,0)</f>
        <v>400</v>
      </c>
      <c r="L37" s="22">
        <f>IF(L$4&gt;=Teams!$D$80,Teams!$D$18,0)</f>
        <v>400</v>
      </c>
      <c r="M37" s="22">
        <f>IF(M$4&gt;=Teams!$D$80,Teams!$D$18,0)</f>
        <v>400</v>
      </c>
      <c r="N37" s="22">
        <f>IF(N$4&gt;=Teams!$D$80,Teams!$D$18,0)</f>
        <v>400</v>
      </c>
      <c r="O37" s="22">
        <f>IF(O$4&gt;=Teams!$D$80,Teams!$D$18,0)</f>
        <v>400</v>
      </c>
      <c r="P37" s="22">
        <f>IF(P$4&gt;=Teams!$D$80,Teams!$D$18,0)</f>
        <v>400</v>
      </c>
      <c r="Q37" s="22">
        <f>IF(Q$4&gt;=Teams!$D$80,Teams!$D$18,0)</f>
        <v>400</v>
      </c>
      <c r="R37" s="22">
        <f>IF(R$4&gt;=Teams!$D$80,Teams!$D$18,0)</f>
        <v>400</v>
      </c>
      <c r="S37" s="22">
        <f>IF(S$4&gt;=Teams!$D$80,Teams!$D$18,0)</f>
        <v>400</v>
      </c>
      <c r="T37" s="22">
        <f>IF(T$4&gt;=Teams!$D$80,Teams!$D$18,0)</f>
        <v>400</v>
      </c>
      <c r="U37" s="22">
        <f>IF(U$4&gt;=Teams!$D$80,Teams!$D$18,0)</f>
        <v>400</v>
      </c>
      <c r="V37" s="22">
        <f>IF(V$4&gt;=Teams!$D$80,Teams!$D$18,0)</f>
        <v>400</v>
      </c>
      <c r="W37" s="22">
        <f>IF(W$4&gt;=Teams!$D$80,Teams!$D$18,0)</f>
        <v>400</v>
      </c>
      <c r="X37" s="22">
        <f>IF(X$4&gt;=Teams!$D$80,Teams!$D$18,0)</f>
        <v>400</v>
      </c>
      <c r="Y37" s="22">
        <f>IF(Y$4&gt;=Teams!$D$80,Teams!$D$18,0)</f>
        <v>400</v>
      </c>
      <c r="Z37" s="22">
        <f>IF(Z$4&gt;=Teams!$D$80,Teams!$D$18,0)</f>
        <v>400</v>
      </c>
      <c r="AA37" s="22">
        <f>IF(AA$4&gt;=Teams!$D$80,Teams!$D$18,0)</f>
        <v>400</v>
      </c>
      <c r="AB37" s="22">
        <f>IF(AB$4&gt;=Teams!$D$80,Teams!$D$18,0)</f>
        <v>400</v>
      </c>
      <c r="AC37" s="22">
        <f>IF(AC$4&gt;=Teams!$D$80,Teams!$D$18,0)</f>
        <v>400</v>
      </c>
      <c r="AD37" s="22">
        <f>IF(AD$4&gt;=Teams!$D$80,Teams!$D$18,0)</f>
        <v>400</v>
      </c>
      <c r="AE37" s="22">
        <f>IF(AE$4&gt;=Teams!$D$80,Teams!$D$18,0)</f>
        <v>400</v>
      </c>
      <c r="AF37" s="22">
        <f>IF(AF$4&gt;=Teams!$D$80,Teams!$D$18,0)</f>
        <v>400</v>
      </c>
      <c r="AG37" s="22">
        <f>IF(AG$4&gt;=Teams!$D$80,Teams!$D$18,0)</f>
        <v>400</v>
      </c>
      <c r="AH37" s="22">
        <f>IF(AH$4&gt;=Teams!$D$80,Teams!$D$18,0)</f>
        <v>400</v>
      </c>
      <c r="AI37" s="22">
        <f>IF(AI$4&gt;=Teams!$D$80,Teams!$D$18,0)</f>
        <v>400</v>
      </c>
      <c r="AJ37" s="22">
        <f>IF(AJ$4&gt;=Teams!$D$80,Teams!$D$18,0)</f>
        <v>400</v>
      </c>
      <c r="AK37" s="22">
        <f>IF(AK$4&gt;=Teams!$D$80,Teams!$D$18,0)</f>
        <v>400</v>
      </c>
      <c r="AL37" s="22">
        <f>IF(AL$4&gt;=Teams!$D$80,Teams!$D$18,0)</f>
        <v>400</v>
      </c>
      <c r="AM37" s="22">
        <f>IF(AM$4&gt;=Teams!$D$80,Teams!$D$18,0)</f>
        <v>400</v>
      </c>
      <c r="AN37" s="22">
        <f>IF(AN$4&gt;=Teams!$D$80,Teams!$D$18,0)</f>
        <v>400</v>
      </c>
      <c r="AO37" s="22">
        <f>IF(AO$4&gt;=Teams!$D$80,Teams!$D$18,0)</f>
        <v>400</v>
      </c>
      <c r="AP37" s="22">
        <f>IF(AP$4&gt;=Teams!$D$80,Teams!$D$18,0)</f>
        <v>400</v>
      </c>
      <c r="AQ37" s="22">
        <f>IF(AQ$4&gt;=Teams!$D$80,Teams!$D$18,0)</f>
        <v>400</v>
      </c>
      <c r="AR37" s="22">
        <f>IF(AR$4&gt;=Teams!$D$80,Teams!$D$18,0)</f>
        <v>400</v>
      </c>
      <c r="AS37" s="22">
        <f>IF(AS$4&gt;=Teams!$D$80,Teams!$D$18,0)</f>
        <v>400</v>
      </c>
      <c r="AT37" s="22">
        <f>IF(AT$4&gt;=Teams!$D$80,Teams!$D$18,0)</f>
        <v>400</v>
      </c>
      <c r="AU37" s="22">
        <f>IF(AU$4&gt;=Teams!$D$80,Teams!$D$18,0)</f>
        <v>400</v>
      </c>
      <c r="AV37" s="22">
        <f>IF(AV$4&gt;=Teams!$D$80,Teams!$D$18,0)</f>
        <v>400</v>
      </c>
      <c r="AW37" s="22">
        <f>IF(AW$4&gt;=Teams!$D$80,Teams!$D$18,0)</f>
        <v>400</v>
      </c>
      <c r="AX37" s="22">
        <f>IF(AX$4&gt;=Teams!$D$80,Teams!$D$18,0)</f>
        <v>400</v>
      </c>
      <c r="AY37" s="22">
        <f>IF(AY$4&gt;=Teams!$D$80,Teams!$D$18,0)</f>
        <v>400</v>
      </c>
      <c r="AZ37" s="22">
        <f>IF(AZ$4&gt;=Teams!$D$80,Teams!$D$18,0)</f>
        <v>400</v>
      </c>
      <c r="BA37" s="22">
        <f>IF(BA$4&gt;=Teams!$D$80,Teams!$D$18,0)</f>
        <v>400</v>
      </c>
      <c r="BB37" s="22">
        <f>IF(BB$4&gt;=Teams!$D$80,Teams!$D$18,0)</f>
        <v>400</v>
      </c>
      <c r="BC37" s="22">
        <f>IF(BC$4&gt;=Teams!$D$80,Teams!$D$18,0)</f>
        <v>400</v>
      </c>
      <c r="BD37" s="22">
        <f>IF(BD$4&gt;=Teams!$D$80,Teams!$D$18,0)</f>
        <v>400</v>
      </c>
      <c r="BE37" s="22">
        <f>IF(BE$4&gt;=Teams!$D$80,Teams!$D$18,0)</f>
        <v>400</v>
      </c>
      <c r="BF37" s="22">
        <f>IF(BF$4&gt;=Teams!$D$80,Teams!$D$18,0)</f>
        <v>400</v>
      </c>
      <c r="BG37" s="22">
        <f>IF(BG$4&gt;=Teams!$D$80,Teams!$D$18,0)</f>
        <v>400</v>
      </c>
      <c r="BH37" s="22">
        <f>IF(BH$4&gt;=Teams!$D$80,Teams!$D$18,0)</f>
        <v>400</v>
      </c>
      <c r="BI37" s="22">
        <f>IF(BI$4&gt;=Teams!$D$80,Teams!$D$18,0)</f>
        <v>400</v>
      </c>
      <c r="BJ37" s="22">
        <f>IF(BJ$4&gt;=Teams!$D$80,Teams!$D$18,0)</f>
        <v>400</v>
      </c>
      <c r="BK37" s="22">
        <f>IF(BK$4&gt;=Teams!$D$80,Teams!$D$18,0)</f>
        <v>400</v>
      </c>
      <c r="BL37" s="22">
        <f>IF(BL$4&gt;=Teams!$D$80,Teams!$D$18,0)</f>
        <v>400</v>
      </c>
    </row>
    <row r="38" spans="1:64" x14ac:dyDescent="0.3">
      <c r="A38" s="8" t="s">
        <v>1011</v>
      </c>
      <c r="C38" s="22">
        <f>SUMPRODUCT(E38:BL38,E$5:BL$5)</f>
        <v>11040</v>
      </c>
      <c r="E38" s="22">
        <f>E37*Teams!$D$19*E36</f>
        <v>80</v>
      </c>
      <c r="F38" s="22">
        <f>F37*Teams!$D$19*F36</f>
        <v>160</v>
      </c>
      <c r="G38" s="22">
        <f>G37*Teams!$D$19*G36</f>
        <v>240</v>
      </c>
      <c r="H38" s="22">
        <f>H37*Teams!$D$19*H36</f>
        <v>320</v>
      </c>
      <c r="I38" s="22">
        <f>I37*Teams!$D$19*I36</f>
        <v>320</v>
      </c>
      <c r="J38" s="22">
        <f>J37*Teams!$D$19*J36</f>
        <v>320</v>
      </c>
      <c r="K38" s="22">
        <f>K37*Teams!$D$19*K36</f>
        <v>320</v>
      </c>
      <c r="L38" s="22">
        <f>L37*Teams!$D$19*L36</f>
        <v>320</v>
      </c>
      <c r="M38" s="22">
        <f>M37*Teams!$D$19*M36</f>
        <v>320</v>
      </c>
      <c r="N38" s="22">
        <f>N37*Teams!$D$19*N36</f>
        <v>320</v>
      </c>
      <c r="O38" s="22">
        <f>O37*Teams!$D$19*O36</f>
        <v>320</v>
      </c>
      <c r="P38" s="22">
        <f>P37*Teams!$D$19*P36</f>
        <v>320</v>
      </c>
      <c r="Q38" s="22">
        <f>Q37*Teams!$D$19*Q36</f>
        <v>320</v>
      </c>
      <c r="R38" s="22">
        <f>R37*Teams!$D$19*R36</f>
        <v>320</v>
      </c>
      <c r="S38" s="22">
        <f>S37*Teams!$D$19*S36</f>
        <v>320</v>
      </c>
      <c r="T38" s="22">
        <f>T37*Teams!$D$19*T36</f>
        <v>320</v>
      </c>
      <c r="U38" s="22">
        <f>U37*Teams!$D$19*U36</f>
        <v>320</v>
      </c>
      <c r="V38" s="22">
        <f>V37*Teams!$D$19*V36</f>
        <v>320</v>
      </c>
      <c r="W38" s="22">
        <f>W37*Teams!$D$19*W36</f>
        <v>320</v>
      </c>
      <c r="X38" s="22">
        <f>X37*Teams!$D$19*X36</f>
        <v>320</v>
      </c>
      <c r="Y38" s="22">
        <f>Y37*Teams!$D$19*Y36</f>
        <v>320</v>
      </c>
      <c r="Z38" s="22">
        <f>Z37*Teams!$D$19*Z36</f>
        <v>320</v>
      </c>
      <c r="AA38" s="22">
        <f>AA37*Teams!$D$19*AA36</f>
        <v>320</v>
      </c>
      <c r="AB38" s="22">
        <f>AB37*Teams!$D$19*AB36</f>
        <v>320</v>
      </c>
      <c r="AC38" s="22">
        <f>AC37*Teams!$D$19*AC36</f>
        <v>320</v>
      </c>
      <c r="AD38" s="22">
        <f>AD37*Teams!$D$19*AD36</f>
        <v>320</v>
      </c>
      <c r="AE38" s="22">
        <f>AE37*Teams!$D$19*AE36</f>
        <v>320</v>
      </c>
      <c r="AF38" s="22">
        <f>AF37*Teams!$D$19*AF36</f>
        <v>320</v>
      </c>
      <c r="AG38" s="22">
        <f>AG37*Teams!$D$19*AG36</f>
        <v>320</v>
      </c>
      <c r="AH38" s="22">
        <f>AH37*Teams!$D$19*AH36</f>
        <v>320</v>
      </c>
      <c r="AI38" s="22">
        <f>AI37*Teams!$D$19*AI36</f>
        <v>320</v>
      </c>
      <c r="AJ38" s="22">
        <f>AJ37*Teams!$D$19*AJ36</f>
        <v>320</v>
      </c>
      <c r="AK38" s="22">
        <f>AK37*Teams!$D$19*AK36</f>
        <v>320</v>
      </c>
      <c r="AL38" s="22">
        <f>AL37*Teams!$D$19*AL36</f>
        <v>320</v>
      </c>
      <c r="AM38" s="22">
        <f>AM37*Teams!$D$19*AM36</f>
        <v>320</v>
      </c>
      <c r="AN38" s="22">
        <f>AN37*Teams!$D$19*AN36</f>
        <v>320</v>
      </c>
      <c r="AO38" s="22">
        <f>AO37*Teams!$D$19*AO36</f>
        <v>320</v>
      </c>
      <c r="AP38" s="22">
        <f>AP37*Teams!$D$19*AP36</f>
        <v>320</v>
      </c>
      <c r="AQ38" s="22">
        <f>AQ37*Teams!$D$19*AQ36</f>
        <v>320</v>
      </c>
      <c r="AR38" s="22">
        <f>AR37*Teams!$D$19*AR36</f>
        <v>320</v>
      </c>
      <c r="AS38" s="22">
        <f>AS37*Teams!$D$19*AS36</f>
        <v>320</v>
      </c>
      <c r="AT38" s="22">
        <f>AT37*Teams!$D$19*AT36</f>
        <v>320</v>
      </c>
      <c r="AU38" s="22">
        <f>AU37*Teams!$D$19*AU36</f>
        <v>320</v>
      </c>
      <c r="AV38" s="22">
        <f>AV37*Teams!$D$19*AV36</f>
        <v>320</v>
      </c>
      <c r="AW38" s="22">
        <f>AW37*Teams!$D$19*AW36</f>
        <v>320</v>
      </c>
      <c r="AX38" s="22">
        <f>AX37*Teams!$D$19*AX36</f>
        <v>320</v>
      </c>
      <c r="AY38" s="22">
        <f>AY37*Teams!$D$19*AY36</f>
        <v>320</v>
      </c>
      <c r="AZ38" s="22">
        <f>AZ37*Teams!$D$19*AZ36</f>
        <v>320</v>
      </c>
      <c r="BA38" s="22">
        <f>BA37*Teams!$D$19*BA36</f>
        <v>320</v>
      </c>
      <c r="BB38" s="22">
        <f>BB37*Teams!$D$19*BB36</f>
        <v>320</v>
      </c>
      <c r="BC38" s="22">
        <f>BC37*Teams!$D$19*BC36</f>
        <v>320</v>
      </c>
      <c r="BD38" s="22">
        <f>BD37*Teams!$D$19*BD36</f>
        <v>320</v>
      </c>
      <c r="BE38" s="22">
        <f>BE37*Teams!$D$19*BE36</f>
        <v>320</v>
      </c>
      <c r="BF38" s="22">
        <f>BF37*Teams!$D$19*BF36</f>
        <v>320</v>
      </c>
      <c r="BG38" s="22">
        <f>BG37*Teams!$D$19*BG36</f>
        <v>320</v>
      </c>
      <c r="BH38" s="22">
        <f>BH37*Teams!$D$19*BH36</f>
        <v>320</v>
      </c>
      <c r="BI38" s="22">
        <f>BI37*Teams!$D$19*BI36</f>
        <v>320</v>
      </c>
      <c r="BJ38" s="22">
        <f>BJ37*Teams!$D$19*BJ36</f>
        <v>320</v>
      </c>
      <c r="BK38" s="22">
        <f>BK37*Teams!$D$19*BK36</f>
        <v>320</v>
      </c>
      <c r="BL38" s="22">
        <f>BL37*Teams!$D$19*BL36</f>
        <v>320</v>
      </c>
    </row>
    <row r="39" spans="1:64" x14ac:dyDescent="0.3">
      <c r="A39" s="8" t="s">
        <v>28</v>
      </c>
      <c r="C39" s="22">
        <f>SUMPRODUCT(E39:BL39,E$5:BL$5)</f>
        <v>4416000</v>
      </c>
      <c r="E39" s="22">
        <f>IF(Teams!$D$23="per user",E38*Teams!$D$24,Teams!$D$25*E36)</f>
        <v>32000</v>
      </c>
      <c r="F39" s="22">
        <f>IF(Teams!$D$23="per user",F38*Teams!$D$24,Teams!$D$25*F36)</f>
        <v>64000</v>
      </c>
      <c r="G39" s="22">
        <f>IF(Teams!$D$23="per user",G38*Teams!$D$24,Teams!$D$25*G36)</f>
        <v>96000</v>
      </c>
      <c r="H39" s="22">
        <f>IF(Teams!$D$23="per user",H38*Teams!$D$24,Teams!$D$25*H36)</f>
        <v>128000</v>
      </c>
      <c r="I39" s="22">
        <f>IF(Teams!$D$23="per user",I38*Teams!$D$24,Teams!$D$25*I36)</f>
        <v>128000</v>
      </c>
      <c r="J39" s="22">
        <f>IF(Teams!$D$23="per user",J38*Teams!$D$24,Teams!$D$25*J36)</f>
        <v>128000</v>
      </c>
      <c r="K39" s="22">
        <f>IF(Teams!$D$23="per user",K38*Teams!$D$24,Teams!$D$25*K36)</f>
        <v>128000</v>
      </c>
      <c r="L39" s="22">
        <f>IF(Teams!$D$23="per user",L38*Teams!$D$24,Teams!$D$25*L36)</f>
        <v>128000</v>
      </c>
      <c r="M39" s="22">
        <f>IF(Teams!$D$23="per user",M38*Teams!$D$24,Teams!$D$25*M36)</f>
        <v>128000</v>
      </c>
      <c r="N39" s="22">
        <f>IF(Teams!$D$23="per user",N38*Teams!$D$24,Teams!$D$25*N36)</f>
        <v>128000</v>
      </c>
      <c r="O39" s="22">
        <f>IF(Teams!$D$23="per user",O38*Teams!$D$24,Teams!$D$25*O36)</f>
        <v>128000</v>
      </c>
      <c r="P39" s="22">
        <f>IF(Teams!$D$23="per user",P38*Teams!$D$24,Teams!$D$25*P36)</f>
        <v>128000</v>
      </c>
      <c r="Q39" s="22">
        <f>IF(Teams!$D$23="per user",Q38*Teams!$D$24,Teams!$D$25*Q36)</f>
        <v>128000</v>
      </c>
      <c r="R39" s="22">
        <f>IF(Teams!$D$23="per user",R38*Teams!$D$24,Teams!$D$25*R36)</f>
        <v>128000</v>
      </c>
      <c r="S39" s="22">
        <f>IF(Teams!$D$23="per user",S38*Teams!$D$24,Teams!$D$25*S36)</f>
        <v>128000</v>
      </c>
      <c r="T39" s="22">
        <f>IF(Teams!$D$23="per user",T38*Teams!$D$24,Teams!$D$25*T36)</f>
        <v>128000</v>
      </c>
      <c r="U39" s="22">
        <f>IF(Teams!$D$23="per user",U38*Teams!$D$24,Teams!$D$25*U36)</f>
        <v>128000</v>
      </c>
      <c r="V39" s="22">
        <f>IF(Teams!$D$23="per user",V38*Teams!$D$24,Teams!$D$25*V36)</f>
        <v>128000</v>
      </c>
      <c r="W39" s="22">
        <f>IF(Teams!$D$23="per user",W38*Teams!$D$24,Teams!$D$25*W36)</f>
        <v>128000</v>
      </c>
      <c r="X39" s="22">
        <f>IF(Teams!$D$23="per user",X38*Teams!$D$24,Teams!$D$25*X36)</f>
        <v>128000</v>
      </c>
      <c r="Y39" s="22">
        <f>IF(Teams!$D$23="per user",Y38*Teams!$D$24,Teams!$D$25*Y36)</f>
        <v>128000</v>
      </c>
      <c r="Z39" s="22">
        <f>IF(Teams!$D$23="per user",Z38*Teams!$D$24,Teams!$D$25*Z36)</f>
        <v>128000</v>
      </c>
      <c r="AA39" s="22">
        <f>IF(Teams!$D$23="per user",AA38*Teams!$D$24,Teams!$D$25*AA36)</f>
        <v>128000</v>
      </c>
      <c r="AB39" s="22">
        <f>IF(Teams!$D$23="per user",AB38*Teams!$D$24,Teams!$D$25*AB36)</f>
        <v>128000</v>
      </c>
      <c r="AC39" s="22">
        <f>IF(Teams!$D$23="per user",AC38*Teams!$D$24,Teams!$D$25*AC36)</f>
        <v>128000</v>
      </c>
      <c r="AD39" s="22">
        <f>IF(Teams!$D$23="per user",AD38*Teams!$D$24,Teams!$D$25*AD36)</f>
        <v>128000</v>
      </c>
      <c r="AE39" s="22">
        <f>IF(Teams!$D$23="per user",AE38*Teams!$D$24,Teams!$D$25*AE36)</f>
        <v>128000</v>
      </c>
      <c r="AF39" s="22">
        <f>IF(Teams!$D$23="per user",AF38*Teams!$D$24,Teams!$D$25*AF36)</f>
        <v>128000</v>
      </c>
      <c r="AG39" s="22">
        <f>IF(Teams!$D$23="per user",AG38*Teams!$D$24,Teams!$D$25*AG36)</f>
        <v>128000</v>
      </c>
      <c r="AH39" s="22">
        <f>IF(Teams!$D$23="per user",AH38*Teams!$D$24,Teams!$D$25*AH36)</f>
        <v>128000</v>
      </c>
      <c r="AI39" s="22">
        <f>IF(Teams!$D$23="per user",AI38*Teams!$D$24,Teams!$D$25*AI36)</f>
        <v>128000</v>
      </c>
      <c r="AJ39" s="22">
        <f>IF(Teams!$D$23="per user",AJ38*Teams!$D$24,Teams!$D$25*AJ36)</f>
        <v>128000</v>
      </c>
      <c r="AK39" s="22">
        <f>IF(Teams!$D$23="per user",AK38*Teams!$D$24,Teams!$D$25*AK36)</f>
        <v>128000</v>
      </c>
      <c r="AL39" s="22">
        <f>IF(Teams!$D$23="per user",AL38*Teams!$D$24,Teams!$D$25*AL36)</f>
        <v>128000</v>
      </c>
      <c r="AM39" s="22">
        <f>IF(Teams!$D$23="per user",AM38*Teams!$D$24,Teams!$D$25*AM36)</f>
        <v>128000</v>
      </c>
      <c r="AN39" s="22">
        <f>IF(Teams!$D$23="per user",AN38*Teams!$D$24,Teams!$D$25*AN36)</f>
        <v>128000</v>
      </c>
      <c r="AO39" s="22">
        <f>IF(Teams!$D$23="per user",AO38*Teams!$D$24,Teams!$D$25*AO36)</f>
        <v>128000</v>
      </c>
      <c r="AP39" s="22">
        <f>IF(Teams!$D$23="per user",AP38*Teams!$D$24,Teams!$D$25*AP36)</f>
        <v>128000</v>
      </c>
      <c r="AQ39" s="22">
        <f>IF(Teams!$D$23="per user",AQ38*Teams!$D$24,Teams!$D$25*AQ36)</f>
        <v>128000</v>
      </c>
      <c r="AR39" s="22">
        <f>IF(Teams!$D$23="per user",AR38*Teams!$D$24,Teams!$D$25*AR36)</f>
        <v>128000</v>
      </c>
      <c r="AS39" s="22">
        <f>IF(Teams!$D$23="per user",AS38*Teams!$D$24,Teams!$D$25*AS36)</f>
        <v>128000</v>
      </c>
      <c r="AT39" s="22">
        <f>IF(Teams!$D$23="per user",AT38*Teams!$D$24,Teams!$D$25*AT36)</f>
        <v>128000</v>
      </c>
      <c r="AU39" s="22">
        <f>IF(Teams!$D$23="per user",AU38*Teams!$D$24,Teams!$D$25*AU36)</f>
        <v>128000</v>
      </c>
      <c r="AV39" s="22">
        <f>IF(Teams!$D$23="per user",AV38*Teams!$D$24,Teams!$D$25*AV36)</f>
        <v>128000</v>
      </c>
      <c r="AW39" s="22">
        <f>IF(Teams!$D$23="per user",AW38*Teams!$D$24,Teams!$D$25*AW36)</f>
        <v>128000</v>
      </c>
      <c r="AX39" s="22">
        <f>IF(Teams!$D$23="per user",AX38*Teams!$D$24,Teams!$D$25*AX36)</f>
        <v>128000</v>
      </c>
      <c r="AY39" s="22">
        <f>IF(Teams!$D$23="per user",AY38*Teams!$D$24,Teams!$D$25*AY36)</f>
        <v>128000</v>
      </c>
      <c r="AZ39" s="22">
        <f>IF(Teams!$D$23="per user",AZ38*Teams!$D$24,Teams!$D$25*AZ36)</f>
        <v>128000</v>
      </c>
      <c r="BA39" s="22">
        <f>IF(Teams!$D$23="per user",BA38*Teams!$D$24,Teams!$D$25*BA36)</f>
        <v>128000</v>
      </c>
      <c r="BB39" s="22">
        <f>IF(Teams!$D$23="per user",BB38*Teams!$D$24,Teams!$D$25*BB36)</f>
        <v>128000</v>
      </c>
      <c r="BC39" s="22">
        <f>IF(Teams!$D$23="per user",BC38*Teams!$D$24,Teams!$D$25*BC36)</f>
        <v>128000</v>
      </c>
      <c r="BD39" s="22">
        <f>IF(Teams!$D$23="per user",BD38*Teams!$D$24,Teams!$D$25*BD36)</f>
        <v>128000</v>
      </c>
      <c r="BE39" s="22">
        <f>IF(Teams!$D$23="per user",BE38*Teams!$D$24,Teams!$D$25*BE36)</f>
        <v>128000</v>
      </c>
      <c r="BF39" s="22">
        <f>IF(Teams!$D$23="per user",BF38*Teams!$D$24,Teams!$D$25*BF36)</f>
        <v>128000</v>
      </c>
      <c r="BG39" s="22">
        <f>IF(Teams!$D$23="per user",BG38*Teams!$D$24,Teams!$D$25*BG36)</f>
        <v>128000</v>
      </c>
      <c r="BH39" s="22">
        <f>IF(Teams!$D$23="per user",BH38*Teams!$D$24,Teams!$D$25*BH36)</f>
        <v>128000</v>
      </c>
      <c r="BI39" s="22">
        <f>IF(Teams!$D$23="per user",BI38*Teams!$D$24,Teams!$D$25*BI36)</f>
        <v>128000</v>
      </c>
      <c r="BJ39" s="22">
        <f>IF(Teams!$D$23="per user",BJ38*Teams!$D$24,Teams!$D$25*BJ36)</f>
        <v>128000</v>
      </c>
      <c r="BK39" s="22">
        <f>IF(Teams!$D$23="per user",BK38*Teams!$D$24,Teams!$D$25*BK36)</f>
        <v>128000</v>
      </c>
      <c r="BL39" s="22">
        <f>IF(Teams!$D$23="per user",BL38*Teams!$D$24,Teams!$D$25*BL36)</f>
        <v>128000</v>
      </c>
    </row>
    <row r="40" spans="1:64" x14ac:dyDescent="0.3">
      <c r="A40" s="8" t="s">
        <v>665</v>
      </c>
      <c r="B40" s="18" t="s">
        <v>435</v>
      </c>
      <c r="C40" s="44">
        <f t="shared" ref="C40:C58" si="11">SUM(D40:BL40)</f>
        <v>288000</v>
      </c>
      <c r="E40" s="44">
        <f>E$5*Teams!$D$60*E37*Teams!$D$66</f>
        <v>8000</v>
      </c>
      <c r="F40" s="44">
        <f>F$5*Teams!$D$60*F37*Teams!$D$66</f>
        <v>8000</v>
      </c>
      <c r="G40" s="44">
        <f>G$5*Teams!$D$60*G37*Teams!$D$66</f>
        <v>8000</v>
      </c>
      <c r="H40" s="44">
        <f>H$5*Teams!$D$60*H37*Teams!$D$66</f>
        <v>8000</v>
      </c>
      <c r="I40" s="44">
        <f>I$5*Teams!$D$60*I37*Teams!$D$66</f>
        <v>8000</v>
      </c>
      <c r="J40" s="44">
        <f>J$5*Teams!$D$60*J37*Teams!$D$66</f>
        <v>8000</v>
      </c>
      <c r="K40" s="44">
        <f>K$5*Teams!$D$60*K37*Teams!$D$66</f>
        <v>8000</v>
      </c>
      <c r="L40" s="44">
        <f>L$5*Teams!$D$60*L37*Teams!$D$66</f>
        <v>8000</v>
      </c>
      <c r="M40" s="44">
        <f>M$5*Teams!$D$60*M37*Teams!$D$66</f>
        <v>8000</v>
      </c>
      <c r="N40" s="44">
        <f>N$5*Teams!$D$60*N37*Teams!$D$66</f>
        <v>8000</v>
      </c>
      <c r="O40" s="44">
        <f>O$5*Teams!$D$60*O37*Teams!$D$66</f>
        <v>8000</v>
      </c>
      <c r="P40" s="44">
        <f>P$5*Teams!$D$60*P37*Teams!$D$66</f>
        <v>8000</v>
      </c>
      <c r="Q40" s="44">
        <f>Q$5*Teams!$D$60*Q37*Teams!$D$66</f>
        <v>8000</v>
      </c>
      <c r="R40" s="44">
        <f>R$5*Teams!$D$60*R37*Teams!$D$66</f>
        <v>8000</v>
      </c>
      <c r="S40" s="44">
        <f>S$5*Teams!$D$60*S37*Teams!$D$66</f>
        <v>8000</v>
      </c>
      <c r="T40" s="44">
        <f>T$5*Teams!$D$60*T37*Teams!$D$66</f>
        <v>8000</v>
      </c>
      <c r="U40" s="44">
        <f>U$5*Teams!$D$60*U37*Teams!$D$66</f>
        <v>8000</v>
      </c>
      <c r="V40" s="44">
        <f>V$5*Teams!$D$60*V37*Teams!$D$66</f>
        <v>8000</v>
      </c>
      <c r="W40" s="44">
        <f>W$5*Teams!$D$60*W37*Teams!$D$66</f>
        <v>8000</v>
      </c>
      <c r="X40" s="44">
        <f>X$5*Teams!$D$60*X37*Teams!$D$66</f>
        <v>8000</v>
      </c>
      <c r="Y40" s="44">
        <f>Y$5*Teams!$D$60*Y37*Teams!$D$66</f>
        <v>8000</v>
      </c>
      <c r="Z40" s="44">
        <f>Z$5*Teams!$D$60*Z37*Teams!$D$66</f>
        <v>8000</v>
      </c>
      <c r="AA40" s="44">
        <f>AA$5*Teams!$D$60*AA37*Teams!$D$66</f>
        <v>8000</v>
      </c>
      <c r="AB40" s="44">
        <f>AB$5*Teams!$D$60*AB37*Teams!$D$66</f>
        <v>8000</v>
      </c>
      <c r="AC40" s="44">
        <f>AC$5*Teams!$D$60*AC37*Teams!$D$66</f>
        <v>8000</v>
      </c>
      <c r="AD40" s="44">
        <f>AD$5*Teams!$D$60*AD37*Teams!$D$66</f>
        <v>8000</v>
      </c>
      <c r="AE40" s="44">
        <f>AE$5*Teams!$D$60*AE37*Teams!$D$66</f>
        <v>8000</v>
      </c>
      <c r="AF40" s="44">
        <f>AF$5*Teams!$D$60*AF37*Teams!$D$66</f>
        <v>8000</v>
      </c>
      <c r="AG40" s="44">
        <f>AG$5*Teams!$D$60*AG37*Teams!$D$66</f>
        <v>8000</v>
      </c>
      <c r="AH40" s="44">
        <f>AH$5*Teams!$D$60*AH37*Teams!$D$66</f>
        <v>8000</v>
      </c>
      <c r="AI40" s="44">
        <f>AI$5*Teams!$D$60*AI37*Teams!$D$66</f>
        <v>8000</v>
      </c>
      <c r="AJ40" s="44">
        <f>AJ$5*Teams!$D$60*AJ37*Teams!$D$66</f>
        <v>8000</v>
      </c>
      <c r="AK40" s="44">
        <f>AK$5*Teams!$D$60*AK37*Teams!$D$66</f>
        <v>8000</v>
      </c>
      <c r="AL40" s="44">
        <f>AL$5*Teams!$D$60*AL37*Teams!$D$66</f>
        <v>8000</v>
      </c>
      <c r="AM40" s="44">
        <f>AM$5*Teams!$D$60*AM37*Teams!$D$66</f>
        <v>8000</v>
      </c>
      <c r="AN40" s="44">
        <f>AN$5*Teams!$D$60*AN37*Teams!$D$66</f>
        <v>8000</v>
      </c>
      <c r="AO40" s="44">
        <f>AO$5*Teams!$D$60*AO37*Teams!$D$66</f>
        <v>0</v>
      </c>
      <c r="AP40" s="44">
        <f>AP$5*Teams!$D$60*AP37*Teams!$D$66</f>
        <v>0</v>
      </c>
      <c r="AQ40" s="44">
        <f>AQ$5*Teams!$D$60*AQ37*Teams!$D$66</f>
        <v>0</v>
      </c>
      <c r="AR40" s="44">
        <f>AR$5*Teams!$D$60*AR37*Teams!$D$66</f>
        <v>0</v>
      </c>
      <c r="AS40" s="44">
        <f>AS$5*Teams!$D$60*AS37*Teams!$D$66</f>
        <v>0</v>
      </c>
      <c r="AT40" s="44">
        <f>AT$5*Teams!$D$60*AT37*Teams!$D$66</f>
        <v>0</v>
      </c>
      <c r="AU40" s="44">
        <f>AU$5*Teams!$D$60*AU37*Teams!$D$66</f>
        <v>0</v>
      </c>
      <c r="AV40" s="44">
        <f>AV$5*Teams!$D$60*AV37*Teams!$D$66</f>
        <v>0</v>
      </c>
      <c r="AW40" s="44">
        <f>AW$5*Teams!$D$60*AW37*Teams!$D$66</f>
        <v>0</v>
      </c>
      <c r="AX40" s="44">
        <f>AX$5*Teams!$D$60*AX37*Teams!$D$66</f>
        <v>0</v>
      </c>
      <c r="AY40" s="44">
        <f>AY$5*Teams!$D$60*AY37*Teams!$D$66</f>
        <v>0</v>
      </c>
      <c r="AZ40" s="44">
        <f>AZ$5*Teams!$D$60*AZ37*Teams!$D$66</f>
        <v>0</v>
      </c>
      <c r="BA40" s="44">
        <f>BA$5*Teams!$D$60*BA37*Teams!$D$66</f>
        <v>0</v>
      </c>
      <c r="BB40" s="44">
        <f>BB$5*Teams!$D$60*BB37*Teams!$D$66</f>
        <v>0</v>
      </c>
      <c r="BC40" s="44">
        <f>BC$5*Teams!$D$60*BC37*Teams!$D$66</f>
        <v>0</v>
      </c>
      <c r="BD40" s="44">
        <f>BD$5*Teams!$D$60*BD37*Teams!$D$66</f>
        <v>0</v>
      </c>
      <c r="BE40" s="44">
        <f>BE$5*Teams!$D$60*BE37*Teams!$D$66</f>
        <v>0</v>
      </c>
      <c r="BF40" s="44">
        <f>BF$5*Teams!$D$60*BF37*Teams!$D$66</f>
        <v>0</v>
      </c>
      <c r="BG40" s="44">
        <f>BG$5*Teams!$D$60*BG37*Teams!$D$66</f>
        <v>0</v>
      </c>
      <c r="BH40" s="44">
        <f>BH$5*Teams!$D$60*BH37*Teams!$D$66</f>
        <v>0</v>
      </c>
      <c r="BI40" s="44">
        <f>BI$5*Teams!$D$60*BI37*Teams!$D$66</f>
        <v>0</v>
      </c>
      <c r="BJ40" s="44">
        <f>BJ$5*Teams!$D$60*BJ37*Teams!$D$66</f>
        <v>0</v>
      </c>
      <c r="BK40" s="44">
        <f>BK$5*Teams!$D$60*BK37*Teams!$D$66</f>
        <v>0</v>
      </c>
      <c r="BL40" s="44">
        <f>BL$5*Teams!$D$60*BL37*Teams!$D$66</f>
        <v>0</v>
      </c>
    </row>
    <row r="41" spans="1:64" x14ac:dyDescent="0.3">
      <c r="A41" s="8" t="s">
        <v>666</v>
      </c>
      <c r="B41" s="18" t="s">
        <v>435</v>
      </c>
      <c r="C41" s="44">
        <f t="shared" si="11"/>
        <v>755787.8016000007</v>
      </c>
      <c r="E41" s="44">
        <f>E$5*IF(Teams!$D$61=1,E38*((1-Teams!$D$13)*MAX(0,Teams!$D$72*$C$35-Teams!$D$12)+Teams!$D$13*MAX(0,Teams!$D$73*$C$35-Teams!$D$12)),IF(Teams!$D$62=1,E39*$C$35,0))</f>
        <v>5476.7232000000013</v>
      </c>
      <c r="F41" s="44">
        <f>F$5*IF(Teams!$D$61=1,F38*((1-Teams!$D$13)*MAX(0,Teams!$D$72*$C$35-Teams!$D$12)+Teams!$D$13*MAX(0,Teams!$D$73*$C$35-Teams!$D$12)),IF(Teams!$D$62=1,F39*$C$35,0))</f>
        <v>10953.446400000003</v>
      </c>
      <c r="G41" s="44">
        <f>G$5*IF(Teams!$D$61=1,G38*((1-Teams!$D$13)*MAX(0,Teams!$D$72*$C$35-Teams!$D$12)+Teams!$D$13*MAX(0,Teams!$D$73*$C$35-Teams!$D$12)),IF(Teams!$D$62=1,G39*$C$35,0))</f>
        <v>16430.169600000005</v>
      </c>
      <c r="H41" s="44">
        <f>H$5*IF(Teams!$D$61=1,H38*((1-Teams!$D$13)*MAX(0,Teams!$D$72*$C$35-Teams!$D$12)+Teams!$D$13*MAX(0,Teams!$D$73*$C$35-Teams!$D$12)),IF(Teams!$D$62=1,H39*$C$35,0))</f>
        <v>21906.892800000005</v>
      </c>
      <c r="I41" s="44">
        <f>I$5*IF(Teams!$D$61=1,I38*((1-Teams!$D$13)*MAX(0,Teams!$D$72*$C$35-Teams!$D$12)+Teams!$D$13*MAX(0,Teams!$D$73*$C$35-Teams!$D$12)),IF(Teams!$D$62=1,I39*$C$35,0))</f>
        <v>21906.892800000005</v>
      </c>
      <c r="J41" s="44">
        <f>J$5*IF(Teams!$D$61=1,J38*((1-Teams!$D$13)*MAX(0,Teams!$D$72*$C$35-Teams!$D$12)+Teams!$D$13*MAX(0,Teams!$D$73*$C$35-Teams!$D$12)),IF(Teams!$D$62=1,J39*$C$35,0))</f>
        <v>21906.892800000005</v>
      </c>
      <c r="K41" s="44">
        <f>K$5*IF(Teams!$D$61=1,K38*((1-Teams!$D$13)*MAX(0,Teams!$D$72*$C$35-Teams!$D$12)+Teams!$D$13*MAX(0,Teams!$D$73*$C$35-Teams!$D$12)),IF(Teams!$D$62=1,K39*$C$35,0))</f>
        <v>21906.892800000005</v>
      </c>
      <c r="L41" s="44">
        <f>L$5*IF(Teams!$D$61=1,L38*((1-Teams!$D$13)*MAX(0,Teams!$D$72*$C$35-Teams!$D$12)+Teams!$D$13*MAX(0,Teams!$D$73*$C$35-Teams!$D$12)),IF(Teams!$D$62=1,L39*$C$35,0))</f>
        <v>21906.892800000005</v>
      </c>
      <c r="M41" s="44">
        <f>M$5*IF(Teams!$D$61=1,M38*((1-Teams!$D$13)*MAX(0,Teams!$D$72*$C$35-Teams!$D$12)+Teams!$D$13*MAX(0,Teams!$D$73*$C$35-Teams!$D$12)),IF(Teams!$D$62=1,M39*$C$35,0))</f>
        <v>21906.892800000005</v>
      </c>
      <c r="N41" s="44">
        <f>N$5*IF(Teams!$D$61=1,N38*((1-Teams!$D$13)*MAX(0,Teams!$D$72*$C$35-Teams!$D$12)+Teams!$D$13*MAX(0,Teams!$D$73*$C$35-Teams!$D$12)),IF(Teams!$D$62=1,N39*$C$35,0))</f>
        <v>21906.892800000005</v>
      </c>
      <c r="O41" s="44">
        <f>O$5*IF(Teams!$D$61=1,O38*((1-Teams!$D$13)*MAX(0,Teams!$D$72*$C$35-Teams!$D$12)+Teams!$D$13*MAX(0,Teams!$D$73*$C$35-Teams!$D$12)),IF(Teams!$D$62=1,O39*$C$35,0))</f>
        <v>21906.892800000005</v>
      </c>
      <c r="P41" s="44">
        <f>P$5*IF(Teams!$D$61=1,P38*((1-Teams!$D$13)*MAX(0,Teams!$D$72*$C$35-Teams!$D$12)+Teams!$D$13*MAX(0,Teams!$D$73*$C$35-Teams!$D$12)),IF(Teams!$D$62=1,P39*$C$35,0))</f>
        <v>21906.892800000005</v>
      </c>
      <c r="Q41" s="44">
        <f>Q$5*IF(Teams!$D$61=1,Q38*((1-Teams!$D$13)*MAX(0,Teams!$D$72*$C$35-Teams!$D$12)+Teams!$D$13*MAX(0,Teams!$D$73*$C$35-Teams!$D$12)),IF(Teams!$D$62=1,Q39*$C$35,0))</f>
        <v>21906.892800000005</v>
      </c>
      <c r="R41" s="44">
        <f>R$5*IF(Teams!$D$61=1,R38*((1-Teams!$D$13)*MAX(0,Teams!$D$72*$C$35-Teams!$D$12)+Teams!$D$13*MAX(0,Teams!$D$73*$C$35-Teams!$D$12)),IF(Teams!$D$62=1,R39*$C$35,0))</f>
        <v>21906.892800000005</v>
      </c>
      <c r="S41" s="44">
        <f>S$5*IF(Teams!$D$61=1,S38*((1-Teams!$D$13)*MAX(0,Teams!$D$72*$C$35-Teams!$D$12)+Teams!$D$13*MAX(0,Teams!$D$73*$C$35-Teams!$D$12)),IF(Teams!$D$62=1,S39*$C$35,0))</f>
        <v>21906.892800000005</v>
      </c>
      <c r="T41" s="44">
        <f>T$5*IF(Teams!$D$61=1,T38*((1-Teams!$D$13)*MAX(0,Teams!$D$72*$C$35-Teams!$D$12)+Teams!$D$13*MAX(0,Teams!$D$73*$C$35-Teams!$D$12)),IF(Teams!$D$62=1,T39*$C$35,0))</f>
        <v>21906.892800000005</v>
      </c>
      <c r="U41" s="44">
        <f>U$5*IF(Teams!$D$61=1,U38*((1-Teams!$D$13)*MAX(0,Teams!$D$72*$C$35-Teams!$D$12)+Teams!$D$13*MAX(0,Teams!$D$73*$C$35-Teams!$D$12)),IF(Teams!$D$62=1,U39*$C$35,0))</f>
        <v>21906.892800000005</v>
      </c>
      <c r="V41" s="44">
        <f>V$5*IF(Teams!$D$61=1,V38*((1-Teams!$D$13)*MAX(0,Teams!$D$72*$C$35-Teams!$D$12)+Teams!$D$13*MAX(0,Teams!$D$73*$C$35-Teams!$D$12)),IF(Teams!$D$62=1,V39*$C$35,0))</f>
        <v>21906.892800000005</v>
      </c>
      <c r="W41" s="44">
        <f>W$5*IF(Teams!$D$61=1,W38*((1-Teams!$D$13)*MAX(0,Teams!$D$72*$C$35-Teams!$D$12)+Teams!$D$13*MAX(0,Teams!$D$73*$C$35-Teams!$D$12)),IF(Teams!$D$62=1,W39*$C$35,0))</f>
        <v>21906.892800000005</v>
      </c>
      <c r="X41" s="44">
        <f>X$5*IF(Teams!$D$61=1,X38*((1-Teams!$D$13)*MAX(0,Teams!$D$72*$C$35-Teams!$D$12)+Teams!$D$13*MAX(0,Teams!$D$73*$C$35-Teams!$D$12)),IF(Teams!$D$62=1,X39*$C$35,0))</f>
        <v>21906.892800000005</v>
      </c>
      <c r="Y41" s="44">
        <f>Y$5*IF(Teams!$D$61=1,Y38*((1-Teams!$D$13)*MAX(0,Teams!$D$72*$C$35-Teams!$D$12)+Teams!$D$13*MAX(0,Teams!$D$73*$C$35-Teams!$D$12)),IF(Teams!$D$62=1,Y39*$C$35,0))</f>
        <v>21906.892800000005</v>
      </c>
      <c r="Z41" s="44">
        <f>Z$5*IF(Teams!$D$61=1,Z38*((1-Teams!$D$13)*MAX(0,Teams!$D$72*$C$35-Teams!$D$12)+Teams!$D$13*MAX(0,Teams!$D$73*$C$35-Teams!$D$12)),IF(Teams!$D$62=1,Z39*$C$35,0))</f>
        <v>21906.892800000005</v>
      </c>
      <c r="AA41" s="44">
        <f>AA$5*IF(Teams!$D$61=1,AA38*((1-Teams!$D$13)*MAX(0,Teams!$D$72*$C$35-Teams!$D$12)+Teams!$D$13*MAX(0,Teams!$D$73*$C$35-Teams!$D$12)),IF(Teams!$D$62=1,AA39*$C$35,0))</f>
        <v>21906.892800000005</v>
      </c>
      <c r="AB41" s="44">
        <f>AB$5*IF(Teams!$D$61=1,AB38*((1-Teams!$D$13)*MAX(0,Teams!$D$72*$C$35-Teams!$D$12)+Teams!$D$13*MAX(0,Teams!$D$73*$C$35-Teams!$D$12)),IF(Teams!$D$62=1,AB39*$C$35,0))</f>
        <v>21906.892800000005</v>
      </c>
      <c r="AC41" s="44">
        <f>AC$5*IF(Teams!$D$61=1,AC38*((1-Teams!$D$13)*MAX(0,Teams!$D$72*$C$35-Teams!$D$12)+Teams!$D$13*MAX(0,Teams!$D$73*$C$35-Teams!$D$12)),IF(Teams!$D$62=1,AC39*$C$35,0))</f>
        <v>21906.892800000005</v>
      </c>
      <c r="AD41" s="44">
        <f>AD$5*IF(Teams!$D$61=1,AD38*((1-Teams!$D$13)*MAX(0,Teams!$D$72*$C$35-Teams!$D$12)+Teams!$D$13*MAX(0,Teams!$D$73*$C$35-Teams!$D$12)),IF(Teams!$D$62=1,AD39*$C$35,0))</f>
        <v>21906.892800000005</v>
      </c>
      <c r="AE41" s="44">
        <f>AE$5*IF(Teams!$D$61=1,AE38*((1-Teams!$D$13)*MAX(0,Teams!$D$72*$C$35-Teams!$D$12)+Teams!$D$13*MAX(0,Teams!$D$73*$C$35-Teams!$D$12)),IF(Teams!$D$62=1,AE39*$C$35,0))</f>
        <v>21906.892800000005</v>
      </c>
      <c r="AF41" s="44">
        <f>AF$5*IF(Teams!$D$61=1,AF38*((1-Teams!$D$13)*MAX(0,Teams!$D$72*$C$35-Teams!$D$12)+Teams!$D$13*MAX(0,Teams!$D$73*$C$35-Teams!$D$12)),IF(Teams!$D$62=1,AF39*$C$35,0))</f>
        <v>21906.892800000005</v>
      </c>
      <c r="AG41" s="44">
        <f>AG$5*IF(Teams!$D$61=1,AG38*((1-Teams!$D$13)*MAX(0,Teams!$D$72*$C$35-Teams!$D$12)+Teams!$D$13*MAX(0,Teams!$D$73*$C$35-Teams!$D$12)),IF(Teams!$D$62=1,AG39*$C$35,0))</f>
        <v>21906.892800000005</v>
      </c>
      <c r="AH41" s="44">
        <f>AH$5*IF(Teams!$D$61=1,AH38*((1-Teams!$D$13)*MAX(0,Teams!$D$72*$C$35-Teams!$D$12)+Teams!$D$13*MAX(0,Teams!$D$73*$C$35-Teams!$D$12)),IF(Teams!$D$62=1,AH39*$C$35,0))</f>
        <v>21906.892800000005</v>
      </c>
      <c r="AI41" s="44">
        <f>AI$5*IF(Teams!$D$61=1,AI38*((1-Teams!$D$13)*MAX(0,Teams!$D$72*$C$35-Teams!$D$12)+Teams!$D$13*MAX(0,Teams!$D$73*$C$35-Teams!$D$12)),IF(Teams!$D$62=1,AI39*$C$35,0))</f>
        <v>21906.892800000005</v>
      </c>
      <c r="AJ41" s="44">
        <f>AJ$5*IF(Teams!$D$61=1,AJ38*((1-Teams!$D$13)*MAX(0,Teams!$D$72*$C$35-Teams!$D$12)+Teams!$D$13*MAX(0,Teams!$D$73*$C$35-Teams!$D$12)),IF(Teams!$D$62=1,AJ39*$C$35,0))</f>
        <v>21906.892800000005</v>
      </c>
      <c r="AK41" s="44">
        <f>AK$5*IF(Teams!$D$61=1,AK38*((1-Teams!$D$13)*MAX(0,Teams!$D$72*$C$35-Teams!$D$12)+Teams!$D$13*MAX(0,Teams!$D$73*$C$35-Teams!$D$12)),IF(Teams!$D$62=1,AK39*$C$35,0))</f>
        <v>21906.892800000005</v>
      </c>
      <c r="AL41" s="44">
        <f>AL$5*IF(Teams!$D$61=1,AL38*((1-Teams!$D$13)*MAX(0,Teams!$D$72*$C$35-Teams!$D$12)+Teams!$D$13*MAX(0,Teams!$D$73*$C$35-Teams!$D$12)),IF(Teams!$D$62=1,AL39*$C$35,0))</f>
        <v>21906.892800000005</v>
      </c>
      <c r="AM41" s="44">
        <f>AM$5*IF(Teams!$D$61=1,AM38*((1-Teams!$D$13)*MAX(0,Teams!$D$72*$C$35-Teams!$D$12)+Teams!$D$13*MAX(0,Teams!$D$73*$C$35-Teams!$D$12)),IF(Teams!$D$62=1,AM39*$C$35,0))</f>
        <v>21906.892800000005</v>
      </c>
      <c r="AN41" s="44">
        <f>AN$5*IF(Teams!$D$61=1,AN38*((1-Teams!$D$13)*MAX(0,Teams!$D$72*$C$35-Teams!$D$12)+Teams!$D$13*MAX(0,Teams!$D$73*$C$35-Teams!$D$12)),IF(Teams!$D$62=1,AN39*$C$35,0))</f>
        <v>21906.892800000005</v>
      </c>
      <c r="AO41" s="44">
        <f>AO$5*IF(Teams!$D$61=1,AO38*((1-Teams!$D$13)*MAX(0,Teams!$D$72*$C$35-Teams!$D$12)+Teams!$D$13*MAX(0,Teams!$D$73*$C$35-Teams!$D$12)),IF(Teams!$D$62=1,AO39*$C$35,0))</f>
        <v>0</v>
      </c>
      <c r="AP41" s="44">
        <f>AP$5*IF(Teams!$D$61=1,AP38*((1-Teams!$D$13)*MAX(0,Teams!$D$72*$C$35-Teams!$D$12)+Teams!$D$13*MAX(0,Teams!$D$73*$C$35-Teams!$D$12)),IF(Teams!$D$62=1,AP39*$C$35,0))</f>
        <v>0</v>
      </c>
      <c r="AQ41" s="44">
        <f>AQ$5*IF(Teams!$D$61=1,AQ38*((1-Teams!$D$13)*MAX(0,Teams!$D$72*$C$35-Teams!$D$12)+Teams!$D$13*MAX(0,Teams!$D$73*$C$35-Teams!$D$12)),IF(Teams!$D$62=1,AQ39*$C$35,0))</f>
        <v>0</v>
      </c>
      <c r="AR41" s="44">
        <f>AR$5*IF(Teams!$D$61=1,AR38*((1-Teams!$D$13)*MAX(0,Teams!$D$72*$C$35-Teams!$D$12)+Teams!$D$13*MAX(0,Teams!$D$73*$C$35-Teams!$D$12)),IF(Teams!$D$62=1,AR39*$C$35,0))</f>
        <v>0</v>
      </c>
      <c r="AS41" s="44">
        <f>AS$5*IF(Teams!$D$61=1,AS38*((1-Teams!$D$13)*MAX(0,Teams!$D$72*$C$35-Teams!$D$12)+Teams!$D$13*MAX(0,Teams!$D$73*$C$35-Teams!$D$12)),IF(Teams!$D$62=1,AS39*$C$35,0))</f>
        <v>0</v>
      </c>
      <c r="AT41" s="44">
        <f>AT$5*IF(Teams!$D$61=1,AT38*((1-Teams!$D$13)*MAX(0,Teams!$D$72*$C$35-Teams!$D$12)+Teams!$D$13*MAX(0,Teams!$D$73*$C$35-Teams!$D$12)),IF(Teams!$D$62=1,AT39*$C$35,0))</f>
        <v>0</v>
      </c>
      <c r="AU41" s="44">
        <f>AU$5*IF(Teams!$D$61=1,AU38*((1-Teams!$D$13)*MAX(0,Teams!$D$72*$C$35-Teams!$D$12)+Teams!$D$13*MAX(0,Teams!$D$73*$C$35-Teams!$D$12)),IF(Teams!$D$62=1,AU39*$C$35,0))</f>
        <v>0</v>
      </c>
      <c r="AV41" s="44">
        <f>AV$5*IF(Teams!$D$61=1,AV38*((1-Teams!$D$13)*MAX(0,Teams!$D$72*$C$35-Teams!$D$12)+Teams!$D$13*MAX(0,Teams!$D$73*$C$35-Teams!$D$12)),IF(Teams!$D$62=1,AV39*$C$35,0))</f>
        <v>0</v>
      </c>
      <c r="AW41" s="44">
        <f>AW$5*IF(Teams!$D$61=1,AW38*((1-Teams!$D$13)*MAX(0,Teams!$D$72*$C$35-Teams!$D$12)+Teams!$D$13*MAX(0,Teams!$D$73*$C$35-Teams!$D$12)),IF(Teams!$D$62=1,AW39*$C$35,0))</f>
        <v>0</v>
      </c>
      <c r="AX41" s="44">
        <f>AX$5*IF(Teams!$D$61=1,AX38*((1-Teams!$D$13)*MAX(0,Teams!$D$72*$C$35-Teams!$D$12)+Teams!$D$13*MAX(0,Teams!$D$73*$C$35-Teams!$D$12)),IF(Teams!$D$62=1,AX39*$C$35,0))</f>
        <v>0</v>
      </c>
      <c r="AY41" s="44">
        <f>AY$5*IF(Teams!$D$61=1,AY38*((1-Teams!$D$13)*MAX(0,Teams!$D$72*$C$35-Teams!$D$12)+Teams!$D$13*MAX(0,Teams!$D$73*$C$35-Teams!$D$12)),IF(Teams!$D$62=1,AY39*$C$35,0))</f>
        <v>0</v>
      </c>
      <c r="AZ41" s="44">
        <f>AZ$5*IF(Teams!$D$61=1,AZ38*((1-Teams!$D$13)*MAX(0,Teams!$D$72*$C$35-Teams!$D$12)+Teams!$D$13*MAX(0,Teams!$D$73*$C$35-Teams!$D$12)),IF(Teams!$D$62=1,AZ39*$C$35,0))</f>
        <v>0</v>
      </c>
      <c r="BA41" s="44">
        <f>BA$5*IF(Teams!$D$61=1,BA38*((1-Teams!$D$13)*MAX(0,Teams!$D$72*$C$35-Teams!$D$12)+Teams!$D$13*MAX(0,Teams!$D$73*$C$35-Teams!$D$12)),IF(Teams!$D$62=1,BA39*$C$35,0))</f>
        <v>0</v>
      </c>
      <c r="BB41" s="44">
        <f>BB$5*IF(Teams!$D$61=1,BB38*((1-Teams!$D$13)*MAX(0,Teams!$D$72*$C$35-Teams!$D$12)+Teams!$D$13*MAX(0,Teams!$D$73*$C$35-Teams!$D$12)),IF(Teams!$D$62=1,BB39*$C$35,0))</f>
        <v>0</v>
      </c>
      <c r="BC41" s="44">
        <f>BC$5*IF(Teams!$D$61=1,BC38*((1-Teams!$D$13)*MAX(0,Teams!$D$72*$C$35-Teams!$D$12)+Teams!$D$13*MAX(0,Teams!$D$73*$C$35-Teams!$D$12)),IF(Teams!$D$62=1,BC39*$C$35,0))</f>
        <v>0</v>
      </c>
      <c r="BD41" s="44">
        <f>BD$5*IF(Teams!$D$61=1,BD38*((1-Teams!$D$13)*MAX(0,Teams!$D$72*$C$35-Teams!$D$12)+Teams!$D$13*MAX(0,Teams!$D$73*$C$35-Teams!$D$12)),IF(Teams!$D$62=1,BD39*$C$35,0))</f>
        <v>0</v>
      </c>
      <c r="BE41" s="44">
        <f>BE$5*IF(Teams!$D$61=1,BE38*((1-Teams!$D$13)*MAX(0,Teams!$D$72*$C$35-Teams!$D$12)+Teams!$D$13*MAX(0,Teams!$D$73*$C$35-Teams!$D$12)),IF(Teams!$D$62=1,BE39*$C$35,0))</f>
        <v>0</v>
      </c>
      <c r="BF41" s="44">
        <f>BF$5*IF(Teams!$D$61=1,BF38*((1-Teams!$D$13)*MAX(0,Teams!$D$72*$C$35-Teams!$D$12)+Teams!$D$13*MAX(0,Teams!$D$73*$C$35-Teams!$D$12)),IF(Teams!$D$62=1,BF39*$C$35,0))</f>
        <v>0</v>
      </c>
      <c r="BG41" s="44">
        <f>BG$5*IF(Teams!$D$61=1,BG38*((1-Teams!$D$13)*MAX(0,Teams!$D$72*$C$35-Teams!$D$12)+Teams!$D$13*MAX(0,Teams!$D$73*$C$35-Teams!$D$12)),IF(Teams!$D$62=1,BG39*$C$35,0))</f>
        <v>0</v>
      </c>
      <c r="BH41" s="44">
        <f>BH$5*IF(Teams!$D$61=1,BH38*((1-Teams!$D$13)*MAX(0,Teams!$D$72*$C$35-Teams!$D$12)+Teams!$D$13*MAX(0,Teams!$D$73*$C$35-Teams!$D$12)),IF(Teams!$D$62=1,BH39*$C$35,0))</f>
        <v>0</v>
      </c>
      <c r="BI41" s="44">
        <f>BI$5*IF(Teams!$D$61=1,BI38*((1-Teams!$D$13)*MAX(0,Teams!$D$72*$C$35-Teams!$D$12)+Teams!$D$13*MAX(0,Teams!$D$73*$C$35-Teams!$D$12)),IF(Teams!$D$62=1,BI39*$C$35,0))</f>
        <v>0</v>
      </c>
      <c r="BJ41" s="44">
        <f>BJ$5*IF(Teams!$D$61=1,BJ38*((1-Teams!$D$13)*MAX(0,Teams!$D$72*$C$35-Teams!$D$12)+Teams!$D$13*MAX(0,Teams!$D$73*$C$35-Teams!$D$12)),IF(Teams!$D$62=1,BJ39*$C$35,0))</f>
        <v>0</v>
      </c>
      <c r="BK41" s="44">
        <f>BK$5*IF(Teams!$D$61=1,BK38*((1-Teams!$D$13)*MAX(0,Teams!$D$72*$C$35-Teams!$D$12)+Teams!$D$13*MAX(0,Teams!$D$73*$C$35-Teams!$D$12)),IF(Teams!$D$62=1,BK39*$C$35,0))</f>
        <v>0</v>
      </c>
      <c r="BL41" s="44">
        <f>BL$5*IF(Teams!$D$61=1,BL38*((1-Teams!$D$13)*MAX(0,Teams!$D$72*$C$35-Teams!$D$12)+Teams!$D$13*MAX(0,Teams!$D$73*$C$35-Teams!$D$12)),IF(Teams!$D$62=1,BL39*$C$35,0))</f>
        <v>0</v>
      </c>
    </row>
    <row r="42" spans="1:64" x14ac:dyDescent="0.3">
      <c r="A42" s="8" t="s">
        <v>667</v>
      </c>
      <c r="B42" s="18" t="s">
        <v>435</v>
      </c>
      <c r="C42" s="44">
        <f t="shared" si="11"/>
        <v>0</v>
      </c>
      <c r="E42" s="44">
        <f>E$5*Teams!$D$63*E39*Teams!$D$67</f>
        <v>0</v>
      </c>
      <c r="F42" s="44">
        <f>F$5*Teams!$D$63*F39*Teams!$D$67</f>
        <v>0</v>
      </c>
      <c r="G42" s="44">
        <f>G$5*Teams!$D$63*G39*Teams!$D$67</f>
        <v>0</v>
      </c>
      <c r="H42" s="44">
        <f>H$5*Teams!$D$63*H39*Teams!$D$67</f>
        <v>0</v>
      </c>
      <c r="I42" s="44">
        <f>I$5*Teams!$D$63*I39*Teams!$D$67</f>
        <v>0</v>
      </c>
      <c r="J42" s="44">
        <f>J$5*Teams!$D$63*J39*Teams!$D$67</f>
        <v>0</v>
      </c>
      <c r="K42" s="44">
        <f>K$5*Teams!$D$63*K39*Teams!$D$67</f>
        <v>0</v>
      </c>
      <c r="L42" s="44">
        <f>L$5*Teams!$D$63*L39*Teams!$D$67</f>
        <v>0</v>
      </c>
      <c r="M42" s="44">
        <f>M$5*Teams!$D$63*M39*Teams!$D$67</f>
        <v>0</v>
      </c>
      <c r="N42" s="44">
        <f>N$5*Teams!$D$63*N39*Teams!$D$67</f>
        <v>0</v>
      </c>
      <c r="O42" s="44">
        <f>O$5*Teams!$D$63*O39*Teams!$D$67</f>
        <v>0</v>
      </c>
      <c r="P42" s="44">
        <f>P$5*Teams!$D$63*P39*Teams!$D$67</f>
        <v>0</v>
      </c>
      <c r="Q42" s="44">
        <f>Q$5*Teams!$D$63*Q39*Teams!$D$67</f>
        <v>0</v>
      </c>
      <c r="R42" s="44">
        <f>R$5*Teams!$D$63*R39*Teams!$D$67</f>
        <v>0</v>
      </c>
      <c r="S42" s="44">
        <f>S$5*Teams!$D$63*S39*Teams!$D$67</f>
        <v>0</v>
      </c>
      <c r="T42" s="44">
        <f>T$5*Teams!$D$63*T39*Teams!$D$67</f>
        <v>0</v>
      </c>
      <c r="U42" s="44">
        <f>U$5*Teams!$D$63*U39*Teams!$D$67</f>
        <v>0</v>
      </c>
      <c r="V42" s="44">
        <f>V$5*Teams!$D$63*V39*Teams!$D$67</f>
        <v>0</v>
      </c>
      <c r="W42" s="44">
        <f>W$5*Teams!$D$63*W39*Teams!$D$67</f>
        <v>0</v>
      </c>
      <c r="X42" s="44">
        <f>X$5*Teams!$D$63*X39*Teams!$D$67</f>
        <v>0</v>
      </c>
      <c r="Y42" s="44">
        <f>Y$5*Teams!$D$63*Y39*Teams!$D$67</f>
        <v>0</v>
      </c>
      <c r="Z42" s="44">
        <f>Z$5*Teams!$D$63*Z39*Teams!$D$67</f>
        <v>0</v>
      </c>
      <c r="AA42" s="44">
        <f>AA$5*Teams!$D$63*AA39*Teams!$D$67</f>
        <v>0</v>
      </c>
      <c r="AB42" s="44">
        <f>AB$5*Teams!$D$63*AB39*Teams!$D$67</f>
        <v>0</v>
      </c>
      <c r="AC42" s="44">
        <f>AC$5*Teams!$D$63*AC39*Teams!$D$67</f>
        <v>0</v>
      </c>
      <c r="AD42" s="44">
        <f>AD$5*Teams!$D$63*AD39*Teams!$D$67</f>
        <v>0</v>
      </c>
      <c r="AE42" s="44">
        <f>AE$5*Teams!$D$63*AE39*Teams!$D$67</f>
        <v>0</v>
      </c>
      <c r="AF42" s="44">
        <f>AF$5*Teams!$D$63*AF39*Teams!$D$67</f>
        <v>0</v>
      </c>
      <c r="AG42" s="44">
        <f>AG$5*Teams!$D$63*AG39*Teams!$D$67</f>
        <v>0</v>
      </c>
      <c r="AH42" s="44">
        <f>AH$5*Teams!$D$63*AH39*Teams!$D$67</f>
        <v>0</v>
      </c>
      <c r="AI42" s="44">
        <f>AI$5*Teams!$D$63*AI39*Teams!$D$67</f>
        <v>0</v>
      </c>
      <c r="AJ42" s="44">
        <f>AJ$5*Teams!$D$63*AJ39*Teams!$D$67</f>
        <v>0</v>
      </c>
      <c r="AK42" s="44">
        <f>AK$5*Teams!$D$63*AK39*Teams!$D$67</f>
        <v>0</v>
      </c>
      <c r="AL42" s="44">
        <f>AL$5*Teams!$D$63*AL39*Teams!$D$67</f>
        <v>0</v>
      </c>
      <c r="AM42" s="44">
        <f>AM$5*Teams!$D$63*AM39*Teams!$D$67</f>
        <v>0</v>
      </c>
      <c r="AN42" s="44">
        <f>AN$5*Teams!$D$63*AN39*Teams!$D$67</f>
        <v>0</v>
      </c>
      <c r="AO42" s="44">
        <f>AO$5*Teams!$D$63*AO39*Teams!$D$67</f>
        <v>0</v>
      </c>
      <c r="AP42" s="44">
        <f>AP$5*Teams!$D$63*AP39*Teams!$D$67</f>
        <v>0</v>
      </c>
      <c r="AQ42" s="44">
        <f>AQ$5*Teams!$D$63*AQ39*Teams!$D$67</f>
        <v>0</v>
      </c>
      <c r="AR42" s="44">
        <f>AR$5*Teams!$D$63*AR39*Teams!$D$67</f>
        <v>0</v>
      </c>
      <c r="AS42" s="44">
        <f>AS$5*Teams!$D$63*AS39*Teams!$D$67</f>
        <v>0</v>
      </c>
      <c r="AT42" s="44">
        <f>AT$5*Teams!$D$63*AT39*Teams!$D$67</f>
        <v>0</v>
      </c>
      <c r="AU42" s="44">
        <f>AU$5*Teams!$D$63*AU39*Teams!$D$67</f>
        <v>0</v>
      </c>
      <c r="AV42" s="44">
        <f>AV$5*Teams!$D$63*AV39*Teams!$D$67</f>
        <v>0</v>
      </c>
      <c r="AW42" s="44">
        <f>AW$5*Teams!$D$63*AW39*Teams!$D$67</f>
        <v>0</v>
      </c>
      <c r="AX42" s="44">
        <f>AX$5*Teams!$D$63*AX39*Teams!$D$67</f>
        <v>0</v>
      </c>
      <c r="AY42" s="44">
        <f>AY$5*Teams!$D$63*AY39*Teams!$D$67</f>
        <v>0</v>
      </c>
      <c r="AZ42" s="44">
        <f>AZ$5*Teams!$D$63*AZ39*Teams!$D$67</f>
        <v>0</v>
      </c>
      <c r="BA42" s="44">
        <f>BA$5*Teams!$D$63*BA39*Teams!$D$67</f>
        <v>0</v>
      </c>
      <c r="BB42" s="44">
        <f>BB$5*Teams!$D$63*BB39*Teams!$D$67</f>
        <v>0</v>
      </c>
      <c r="BC42" s="44">
        <f>BC$5*Teams!$D$63*BC39*Teams!$D$67</f>
        <v>0</v>
      </c>
      <c r="BD42" s="44">
        <f>BD$5*Teams!$D$63*BD39*Teams!$D$67</f>
        <v>0</v>
      </c>
      <c r="BE42" s="44">
        <f>BE$5*Teams!$D$63*BE39*Teams!$D$67</f>
        <v>0</v>
      </c>
      <c r="BF42" s="44">
        <f>BF$5*Teams!$D$63*BF39*Teams!$D$67</f>
        <v>0</v>
      </c>
      <c r="BG42" s="44">
        <f>BG$5*Teams!$D$63*BG39*Teams!$D$67</f>
        <v>0</v>
      </c>
      <c r="BH42" s="44">
        <f>BH$5*Teams!$D$63*BH39*Teams!$D$67</f>
        <v>0</v>
      </c>
      <c r="BI42" s="44">
        <f>BI$5*Teams!$D$63*BI39*Teams!$D$67</f>
        <v>0</v>
      </c>
      <c r="BJ42" s="44">
        <f>BJ$5*Teams!$D$63*BJ39*Teams!$D$67</f>
        <v>0</v>
      </c>
      <c r="BK42" s="44">
        <f>BK$5*Teams!$D$63*BK39*Teams!$D$67</f>
        <v>0</v>
      </c>
      <c r="BL42" s="44">
        <f>BL$5*Teams!$D$63*BL39*Teams!$D$67</f>
        <v>0</v>
      </c>
    </row>
    <row r="43" spans="1:64" x14ac:dyDescent="0.3">
      <c r="A43" s="8" t="s">
        <v>668</v>
      </c>
      <c r="B43" s="18" t="s">
        <v>435</v>
      </c>
      <c r="C43" s="44">
        <f t="shared" si="11"/>
        <v>0</v>
      </c>
      <c r="E43" s="44">
        <f>E$5*Teams!$D$65*E39*Teams!$D$74</f>
        <v>0</v>
      </c>
      <c r="F43" s="44">
        <f>F$5*Teams!$D$65*F39*Teams!$D$74</f>
        <v>0</v>
      </c>
      <c r="G43" s="44">
        <f>G$5*Teams!$D$65*G39*Teams!$D$74</f>
        <v>0</v>
      </c>
      <c r="H43" s="44">
        <f>H$5*Teams!$D$65*H39*Teams!$D$74</f>
        <v>0</v>
      </c>
      <c r="I43" s="44">
        <f>I$5*Teams!$D$65*I39*Teams!$D$74</f>
        <v>0</v>
      </c>
      <c r="J43" s="44">
        <f>J$5*Teams!$D$65*J39*Teams!$D$74</f>
        <v>0</v>
      </c>
      <c r="K43" s="44">
        <f>K$5*Teams!$D$65*K39*Teams!$D$74</f>
        <v>0</v>
      </c>
      <c r="L43" s="44">
        <f>L$5*Teams!$D$65*L39*Teams!$D$74</f>
        <v>0</v>
      </c>
      <c r="M43" s="44">
        <f>M$5*Teams!$D$65*M39*Teams!$D$74</f>
        <v>0</v>
      </c>
      <c r="N43" s="44">
        <f>N$5*Teams!$D$65*N39*Teams!$D$74</f>
        <v>0</v>
      </c>
      <c r="O43" s="44">
        <f>O$5*Teams!$D$65*O39*Teams!$D$74</f>
        <v>0</v>
      </c>
      <c r="P43" s="44">
        <f>P$5*Teams!$D$65*P39*Teams!$D$74</f>
        <v>0</v>
      </c>
      <c r="Q43" s="44">
        <f>Q$5*Teams!$D$65*Q39*Teams!$D$74</f>
        <v>0</v>
      </c>
      <c r="R43" s="44">
        <f>R$5*Teams!$D$65*R39*Teams!$D$74</f>
        <v>0</v>
      </c>
      <c r="S43" s="44">
        <f>S$5*Teams!$D$65*S39*Teams!$D$74</f>
        <v>0</v>
      </c>
      <c r="T43" s="44">
        <f>T$5*Teams!$D$65*T39*Teams!$D$74</f>
        <v>0</v>
      </c>
      <c r="U43" s="44">
        <f>U$5*Teams!$D$65*U39*Teams!$D$74</f>
        <v>0</v>
      </c>
      <c r="V43" s="44">
        <f>V$5*Teams!$D$65*V39*Teams!$D$74</f>
        <v>0</v>
      </c>
      <c r="W43" s="44">
        <f>W$5*Teams!$D$65*W39*Teams!$D$74</f>
        <v>0</v>
      </c>
      <c r="X43" s="44">
        <f>X$5*Teams!$D$65*X39*Teams!$D$74</f>
        <v>0</v>
      </c>
      <c r="Y43" s="44">
        <f>Y$5*Teams!$D$65*Y39*Teams!$D$74</f>
        <v>0</v>
      </c>
      <c r="Z43" s="44">
        <f>Z$5*Teams!$D$65*Z39*Teams!$D$74</f>
        <v>0</v>
      </c>
      <c r="AA43" s="44">
        <f>AA$5*Teams!$D$65*AA39*Teams!$D$74</f>
        <v>0</v>
      </c>
      <c r="AB43" s="44">
        <f>AB$5*Teams!$D$65*AB39*Teams!$D$74</f>
        <v>0</v>
      </c>
      <c r="AC43" s="44">
        <f>AC$5*Teams!$D$65*AC39*Teams!$D$74</f>
        <v>0</v>
      </c>
      <c r="AD43" s="44">
        <f>AD$5*Teams!$D$65*AD39*Teams!$D$74</f>
        <v>0</v>
      </c>
      <c r="AE43" s="44">
        <f>AE$5*Teams!$D$65*AE39*Teams!$D$74</f>
        <v>0</v>
      </c>
      <c r="AF43" s="44">
        <f>AF$5*Teams!$D$65*AF39*Teams!$D$74</f>
        <v>0</v>
      </c>
      <c r="AG43" s="44">
        <f>AG$5*Teams!$D$65*AG39*Teams!$D$74</f>
        <v>0</v>
      </c>
      <c r="AH43" s="44">
        <f>AH$5*Teams!$D$65*AH39*Teams!$D$74</f>
        <v>0</v>
      </c>
      <c r="AI43" s="44">
        <f>AI$5*Teams!$D$65*AI39*Teams!$D$74</f>
        <v>0</v>
      </c>
      <c r="AJ43" s="44">
        <f>AJ$5*Teams!$D$65*AJ39*Teams!$D$74</f>
        <v>0</v>
      </c>
      <c r="AK43" s="44">
        <f>AK$5*Teams!$D$65*AK39*Teams!$D$74</f>
        <v>0</v>
      </c>
      <c r="AL43" s="44">
        <f>AL$5*Teams!$D$65*AL39*Teams!$D$74</f>
        <v>0</v>
      </c>
      <c r="AM43" s="44">
        <f>AM$5*Teams!$D$65*AM39*Teams!$D$74</f>
        <v>0</v>
      </c>
      <c r="AN43" s="44">
        <f>AN$5*Teams!$D$65*AN39*Teams!$D$74</f>
        <v>0</v>
      </c>
      <c r="AO43" s="44">
        <f>AO$5*Teams!$D$65*AO39*Teams!$D$74</f>
        <v>0</v>
      </c>
      <c r="AP43" s="44">
        <f>AP$5*Teams!$D$65*AP39*Teams!$D$74</f>
        <v>0</v>
      </c>
      <c r="AQ43" s="44">
        <f>AQ$5*Teams!$D$65*AQ39*Teams!$D$74</f>
        <v>0</v>
      </c>
      <c r="AR43" s="44">
        <f>AR$5*Teams!$D$65*AR39*Teams!$D$74</f>
        <v>0</v>
      </c>
      <c r="AS43" s="44">
        <f>AS$5*Teams!$D$65*AS39*Teams!$D$74</f>
        <v>0</v>
      </c>
      <c r="AT43" s="44">
        <f>AT$5*Teams!$D$65*AT39*Teams!$D$74</f>
        <v>0</v>
      </c>
      <c r="AU43" s="44">
        <f>AU$5*Teams!$D$65*AU39*Teams!$D$74</f>
        <v>0</v>
      </c>
      <c r="AV43" s="44">
        <f>AV$5*Teams!$D$65*AV39*Teams!$D$74</f>
        <v>0</v>
      </c>
      <c r="AW43" s="44">
        <f>AW$5*Teams!$D$65*AW39*Teams!$D$74</f>
        <v>0</v>
      </c>
      <c r="AX43" s="44">
        <f>AX$5*Teams!$D$65*AX39*Teams!$D$74</f>
        <v>0</v>
      </c>
      <c r="AY43" s="44">
        <f>AY$5*Teams!$D$65*AY39*Teams!$D$74</f>
        <v>0</v>
      </c>
      <c r="AZ43" s="44">
        <f>AZ$5*Teams!$D$65*AZ39*Teams!$D$74</f>
        <v>0</v>
      </c>
      <c r="BA43" s="44">
        <f>BA$5*Teams!$D$65*BA39*Teams!$D$74</f>
        <v>0</v>
      </c>
      <c r="BB43" s="44">
        <f>BB$5*Teams!$D$65*BB39*Teams!$D$74</f>
        <v>0</v>
      </c>
      <c r="BC43" s="44">
        <f>BC$5*Teams!$D$65*BC39*Teams!$D$74</f>
        <v>0</v>
      </c>
      <c r="BD43" s="44">
        <f>BD$5*Teams!$D$65*BD39*Teams!$D$74</f>
        <v>0</v>
      </c>
      <c r="BE43" s="44">
        <f>BE$5*Teams!$D$65*BE39*Teams!$D$74</f>
        <v>0</v>
      </c>
      <c r="BF43" s="44">
        <f>BF$5*Teams!$D$65*BF39*Teams!$D$74</f>
        <v>0</v>
      </c>
      <c r="BG43" s="44">
        <f>BG$5*Teams!$D$65*BG39*Teams!$D$74</f>
        <v>0</v>
      </c>
      <c r="BH43" s="44">
        <f>BH$5*Teams!$D$65*BH39*Teams!$D$74</f>
        <v>0</v>
      </c>
      <c r="BI43" s="44">
        <f>BI$5*Teams!$D$65*BI39*Teams!$D$74</f>
        <v>0</v>
      </c>
      <c r="BJ43" s="44">
        <f>BJ$5*Teams!$D$65*BJ39*Teams!$D$74</f>
        <v>0</v>
      </c>
      <c r="BK43" s="44">
        <f>BK$5*Teams!$D$65*BK39*Teams!$D$74</f>
        <v>0</v>
      </c>
      <c r="BL43" s="44">
        <f>BL$5*Teams!$D$65*BL39*Teams!$D$74</f>
        <v>0</v>
      </c>
    </row>
    <row r="44" spans="1:64" x14ac:dyDescent="0.3">
      <c r="A44" s="8" t="s">
        <v>669</v>
      </c>
      <c r="B44" s="18" t="s">
        <v>505</v>
      </c>
      <c r="C44" s="44">
        <f t="shared" si="11"/>
        <v>0</v>
      </c>
      <c r="E44" s="44">
        <f>E$5*Teams!$D$64*Teams!$D$16*IF(E$4&gt;=Teams!$D$80,1,0)</f>
        <v>0</v>
      </c>
      <c r="F44" s="44">
        <f>F$5*Teams!$D$64*Teams!$D$16*IF(F$4&gt;=Teams!$D$80,1,0)</f>
        <v>0</v>
      </c>
      <c r="G44" s="44">
        <f>G$5*Teams!$D$64*Teams!$D$16*IF(G$4&gt;=Teams!$D$80,1,0)</f>
        <v>0</v>
      </c>
      <c r="H44" s="44">
        <f>H$5*Teams!$D$64*Teams!$D$16*IF(H$4&gt;=Teams!$D$80,1,0)</f>
        <v>0</v>
      </c>
      <c r="I44" s="44">
        <f>I$5*Teams!$D$64*Teams!$D$16*IF(I$4&gt;=Teams!$D$80,1,0)</f>
        <v>0</v>
      </c>
      <c r="J44" s="44">
        <f>J$5*Teams!$D$64*Teams!$D$16*IF(J$4&gt;=Teams!$D$80,1,0)</f>
        <v>0</v>
      </c>
      <c r="K44" s="44">
        <f>K$5*Teams!$D$64*Teams!$D$16*IF(K$4&gt;=Teams!$D$80,1,0)</f>
        <v>0</v>
      </c>
      <c r="L44" s="44">
        <f>L$5*Teams!$D$64*Teams!$D$16*IF(L$4&gt;=Teams!$D$80,1,0)</f>
        <v>0</v>
      </c>
      <c r="M44" s="44">
        <f>M$5*Teams!$D$64*Teams!$D$16*IF(M$4&gt;=Teams!$D$80,1,0)</f>
        <v>0</v>
      </c>
      <c r="N44" s="44">
        <f>N$5*Teams!$D$64*Teams!$D$16*IF(N$4&gt;=Teams!$D$80,1,0)</f>
        <v>0</v>
      </c>
      <c r="O44" s="44">
        <f>O$5*Teams!$D$64*Teams!$D$16*IF(O$4&gt;=Teams!$D$80,1,0)</f>
        <v>0</v>
      </c>
      <c r="P44" s="44">
        <f>P$5*Teams!$D$64*Teams!$D$16*IF(P$4&gt;=Teams!$D$80,1,0)</f>
        <v>0</v>
      </c>
      <c r="Q44" s="44">
        <f>Q$5*Teams!$D$64*Teams!$D$16*IF(Q$4&gt;=Teams!$D$80,1,0)</f>
        <v>0</v>
      </c>
      <c r="R44" s="44">
        <f>R$5*Teams!$D$64*Teams!$D$16*IF(R$4&gt;=Teams!$D$80,1,0)</f>
        <v>0</v>
      </c>
      <c r="S44" s="44">
        <f>S$5*Teams!$D$64*Teams!$D$16*IF(S$4&gt;=Teams!$D$80,1,0)</f>
        <v>0</v>
      </c>
      <c r="T44" s="44">
        <f>T$5*Teams!$D$64*Teams!$D$16*IF(T$4&gt;=Teams!$D$80,1,0)</f>
        <v>0</v>
      </c>
      <c r="U44" s="44">
        <f>U$5*Teams!$D$64*Teams!$D$16*IF(U$4&gt;=Teams!$D$80,1,0)</f>
        <v>0</v>
      </c>
      <c r="V44" s="44">
        <f>V$5*Teams!$D$64*Teams!$D$16*IF(V$4&gt;=Teams!$D$80,1,0)</f>
        <v>0</v>
      </c>
      <c r="W44" s="44">
        <f>W$5*Teams!$D$64*Teams!$D$16*IF(W$4&gt;=Teams!$D$80,1,0)</f>
        <v>0</v>
      </c>
      <c r="X44" s="44">
        <f>X$5*Teams!$D$64*Teams!$D$16*IF(X$4&gt;=Teams!$D$80,1,0)</f>
        <v>0</v>
      </c>
      <c r="Y44" s="44">
        <f>Y$5*Teams!$D$64*Teams!$D$16*IF(Y$4&gt;=Teams!$D$80,1,0)</f>
        <v>0</v>
      </c>
      <c r="Z44" s="44">
        <f>Z$5*Teams!$D$64*Teams!$D$16*IF(Z$4&gt;=Teams!$D$80,1,0)</f>
        <v>0</v>
      </c>
      <c r="AA44" s="44">
        <f>AA$5*Teams!$D$64*Teams!$D$16*IF(AA$4&gt;=Teams!$D$80,1,0)</f>
        <v>0</v>
      </c>
      <c r="AB44" s="44">
        <f>AB$5*Teams!$D$64*Teams!$D$16*IF(AB$4&gt;=Teams!$D$80,1,0)</f>
        <v>0</v>
      </c>
      <c r="AC44" s="44">
        <f>AC$5*Teams!$D$64*Teams!$D$16*IF(AC$4&gt;=Teams!$D$80,1,0)</f>
        <v>0</v>
      </c>
      <c r="AD44" s="44">
        <f>AD$5*Teams!$D$64*Teams!$D$16*IF(AD$4&gt;=Teams!$D$80,1,0)</f>
        <v>0</v>
      </c>
      <c r="AE44" s="44">
        <f>AE$5*Teams!$D$64*Teams!$D$16*IF(AE$4&gt;=Teams!$D$80,1,0)</f>
        <v>0</v>
      </c>
      <c r="AF44" s="44">
        <f>AF$5*Teams!$D$64*Teams!$D$16*IF(AF$4&gt;=Teams!$D$80,1,0)</f>
        <v>0</v>
      </c>
      <c r="AG44" s="44">
        <f>AG$5*Teams!$D$64*Teams!$D$16*IF(AG$4&gt;=Teams!$D$80,1,0)</f>
        <v>0</v>
      </c>
      <c r="AH44" s="44">
        <f>AH$5*Teams!$D$64*Teams!$D$16*IF(AH$4&gt;=Teams!$D$80,1,0)</f>
        <v>0</v>
      </c>
      <c r="AI44" s="44">
        <f>AI$5*Teams!$D$64*Teams!$D$16*IF(AI$4&gt;=Teams!$D$80,1,0)</f>
        <v>0</v>
      </c>
      <c r="AJ44" s="44">
        <f>AJ$5*Teams!$D$64*Teams!$D$16*IF(AJ$4&gt;=Teams!$D$80,1,0)</f>
        <v>0</v>
      </c>
      <c r="AK44" s="44">
        <f>AK$5*Teams!$D$64*Teams!$D$16*IF(AK$4&gt;=Teams!$D$80,1,0)</f>
        <v>0</v>
      </c>
      <c r="AL44" s="44">
        <f>AL$5*Teams!$D$64*Teams!$D$16*IF(AL$4&gt;=Teams!$D$80,1,0)</f>
        <v>0</v>
      </c>
      <c r="AM44" s="44">
        <f>AM$5*Teams!$D$64*Teams!$D$16*IF(AM$4&gt;=Teams!$D$80,1,0)</f>
        <v>0</v>
      </c>
      <c r="AN44" s="44">
        <f>AN$5*Teams!$D$64*Teams!$D$16*IF(AN$4&gt;=Teams!$D$80,1,0)</f>
        <v>0</v>
      </c>
      <c r="AO44" s="44">
        <f>AO$5*Teams!$D$64*Teams!$D$16*IF(AO$4&gt;=Teams!$D$80,1,0)</f>
        <v>0</v>
      </c>
      <c r="AP44" s="44">
        <f>AP$5*Teams!$D$64*Teams!$D$16*IF(AP$4&gt;=Teams!$D$80,1,0)</f>
        <v>0</v>
      </c>
      <c r="AQ44" s="44">
        <f>AQ$5*Teams!$D$64*Teams!$D$16*IF(AQ$4&gt;=Teams!$D$80,1,0)</f>
        <v>0</v>
      </c>
      <c r="AR44" s="44">
        <f>AR$5*Teams!$D$64*Teams!$D$16*IF(AR$4&gt;=Teams!$D$80,1,0)</f>
        <v>0</v>
      </c>
      <c r="AS44" s="44">
        <f>AS$5*Teams!$D$64*Teams!$D$16*IF(AS$4&gt;=Teams!$D$80,1,0)</f>
        <v>0</v>
      </c>
      <c r="AT44" s="44">
        <f>AT$5*Teams!$D$64*Teams!$D$16*IF(AT$4&gt;=Teams!$D$80,1,0)</f>
        <v>0</v>
      </c>
      <c r="AU44" s="44">
        <f>AU$5*Teams!$D$64*Teams!$D$16*IF(AU$4&gt;=Teams!$D$80,1,0)</f>
        <v>0</v>
      </c>
      <c r="AV44" s="44">
        <f>AV$5*Teams!$D$64*Teams!$D$16*IF(AV$4&gt;=Teams!$D$80,1,0)</f>
        <v>0</v>
      </c>
      <c r="AW44" s="44">
        <f>AW$5*Teams!$D$64*Teams!$D$16*IF(AW$4&gt;=Teams!$D$80,1,0)</f>
        <v>0</v>
      </c>
      <c r="AX44" s="44">
        <f>AX$5*Teams!$D$64*Teams!$D$16*IF(AX$4&gt;=Teams!$D$80,1,0)</f>
        <v>0</v>
      </c>
      <c r="AY44" s="44">
        <f>AY$5*Teams!$D$64*Teams!$D$16*IF(AY$4&gt;=Teams!$D$80,1,0)</f>
        <v>0</v>
      </c>
      <c r="AZ44" s="44">
        <f>AZ$5*Teams!$D$64*Teams!$D$16*IF(AZ$4&gt;=Teams!$D$80,1,0)</f>
        <v>0</v>
      </c>
      <c r="BA44" s="44">
        <f>BA$5*Teams!$D$64*Teams!$D$16*IF(BA$4&gt;=Teams!$D$80,1,0)</f>
        <v>0</v>
      </c>
      <c r="BB44" s="44">
        <f>BB$5*Teams!$D$64*Teams!$D$16*IF(BB$4&gt;=Teams!$D$80,1,0)</f>
        <v>0</v>
      </c>
      <c r="BC44" s="44">
        <f>BC$5*Teams!$D$64*Teams!$D$16*IF(BC$4&gt;=Teams!$D$80,1,0)</f>
        <v>0</v>
      </c>
      <c r="BD44" s="44">
        <f>BD$5*Teams!$D$64*Teams!$D$16*IF(BD$4&gt;=Teams!$D$80,1,0)</f>
        <v>0</v>
      </c>
      <c r="BE44" s="44">
        <f>BE$5*Teams!$D$64*Teams!$D$16*IF(BE$4&gt;=Teams!$D$80,1,0)</f>
        <v>0</v>
      </c>
      <c r="BF44" s="44">
        <f>BF$5*Teams!$D$64*Teams!$D$16*IF(BF$4&gt;=Teams!$D$80,1,0)</f>
        <v>0</v>
      </c>
      <c r="BG44" s="44">
        <f>BG$5*Teams!$D$64*Teams!$D$16*IF(BG$4&gt;=Teams!$D$80,1,0)</f>
        <v>0</v>
      </c>
      <c r="BH44" s="44">
        <f>BH$5*Teams!$D$64*Teams!$D$16*IF(BH$4&gt;=Teams!$D$80,1,0)</f>
        <v>0</v>
      </c>
      <c r="BI44" s="44">
        <f>BI$5*Teams!$D$64*Teams!$D$16*IF(BI$4&gt;=Teams!$D$80,1,0)</f>
        <v>0</v>
      </c>
      <c r="BJ44" s="44">
        <f>BJ$5*Teams!$D$64*Teams!$D$16*IF(BJ$4&gt;=Teams!$D$80,1,0)</f>
        <v>0</v>
      </c>
      <c r="BK44" s="44">
        <f>BK$5*Teams!$D$64*Teams!$D$16*IF(BK$4&gt;=Teams!$D$80,1,0)</f>
        <v>0</v>
      </c>
      <c r="BL44" s="44">
        <f>BL$5*Teams!$D$64*Teams!$D$16*IF(BL$4&gt;=Teams!$D$80,1,0)</f>
        <v>0</v>
      </c>
    </row>
    <row r="45" spans="1:64" x14ac:dyDescent="0.3">
      <c r="A45" s="8" t="s">
        <v>670</v>
      </c>
      <c r="B45" s="18" t="s">
        <v>435</v>
      </c>
      <c r="C45" s="44">
        <f t="shared" si="11"/>
        <v>2899.5599999999986</v>
      </c>
      <c r="E45" s="44">
        <f>E$5*IF(AND(E$4&gt;=Teams!$D$80,Teams!$D$49=1),Teams!$D$44*Params!$E$10*Teams!$D$45*Teams!$D$75+Teams!$D$44*Params!$E$10*Teams!$D$47*Teams!$D$76/1000000+Teams!$D$77+Teams!$D$50*Teams!$D$78+E39*Teams!$D$51*Teams!$D$79/1000000,0)</f>
        <v>73.290000000000006</v>
      </c>
      <c r="F45" s="44">
        <f>F$5*IF(AND(F$4&gt;=Teams!$D$80,Teams!$D$49=1),Teams!$D$44*Params!$E$10*Teams!$D$45*Teams!$D$75+Teams!$D$44*Params!$E$10*Teams!$D$47*Teams!$D$76/1000000+Teams!$D$77+Teams!$D$50*Teams!$D$78+F39*Teams!$D$51*Teams!$D$79/1000000,0)</f>
        <v>75.850000000000009</v>
      </c>
      <c r="G45" s="44">
        <f>G$5*IF(AND(G$4&gt;=Teams!$D$80,Teams!$D$49=1),Teams!$D$44*Params!$E$10*Teams!$D$45*Teams!$D$75+Teams!$D$44*Params!$E$10*Teams!$D$47*Teams!$D$76/1000000+Teams!$D$77+Teams!$D$50*Teams!$D$78+G39*Teams!$D$51*Teams!$D$79/1000000,0)</f>
        <v>78.41</v>
      </c>
      <c r="H45" s="44">
        <f>H$5*IF(AND(H$4&gt;=Teams!$D$80,Teams!$D$49=1),Teams!$D$44*Params!$E$10*Teams!$D$45*Teams!$D$75+Teams!$D$44*Params!$E$10*Teams!$D$47*Teams!$D$76/1000000+Teams!$D$77+Teams!$D$50*Teams!$D$78+H39*Teams!$D$51*Teams!$D$79/1000000,0)</f>
        <v>80.97</v>
      </c>
      <c r="I45" s="44">
        <f>I$5*IF(AND(I$4&gt;=Teams!$D$80,Teams!$D$49=1),Teams!$D$44*Params!$E$10*Teams!$D$45*Teams!$D$75+Teams!$D$44*Params!$E$10*Teams!$D$47*Teams!$D$76/1000000+Teams!$D$77+Teams!$D$50*Teams!$D$78+I39*Teams!$D$51*Teams!$D$79/1000000,0)</f>
        <v>80.97</v>
      </c>
      <c r="J45" s="44">
        <f>J$5*IF(AND(J$4&gt;=Teams!$D$80,Teams!$D$49=1),Teams!$D$44*Params!$E$10*Teams!$D$45*Teams!$D$75+Teams!$D$44*Params!$E$10*Teams!$D$47*Teams!$D$76/1000000+Teams!$D$77+Teams!$D$50*Teams!$D$78+J39*Teams!$D$51*Teams!$D$79/1000000,0)</f>
        <v>80.97</v>
      </c>
      <c r="K45" s="44">
        <f>K$5*IF(AND(K$4&gt;=Teams!$D$80,Teams!$D$49=1),Teams!$D$44*Params!$E$10*Teams!$D$45*Teams!$D$75+Teams!$D$44*Params!$E$10*Teams!$D$47*Teams!$D$76/1000000+Teams!$D$77+Teams!$D$50*Teams!$D$78+K39*Teams!$D$51*Teams!$D$79/1000000,0)</f>
        <v>80.97</v>
      </c>
      <c r="L45" s="44">
        <f>L$5*IF(AND(L$4&gt;=Teams!$D$80,Teams!$D$49=1),Teams!$D$44*Params!$E$10*Teams!$D$45*Teams!$D$75+Teams!$D$44*Params!$E$10*Teams!$D$47*Teams!$D$76/1000000+Teams!$D$77+Teams!$D$50*Teams!$D$78+L39*Teams!$D$51*Teams!$D$79/1000000,0)</f>
        <v>80.97</v>
      </c>
      <c r="M45" s="44">
        <f>M$5*IF(AND(M$4&gt;=Teams!$D$80,Teams!$D$49=1),Teams!$D$44*Params!$E$10*Teams!$D$45*Teams!$D$75+Teams!$D$44*Params!$E$10*Teams!$D$47*Teams!$D$76/1000000+Teams!$D$77+Teams!$D$50*Teams!$D$78+M39*Teams!$D$51*Teams!$D$79/1000000,0)</f>
        <v>80.97</v>
      </c>
      <c r="N45" s="44">
        <f>N$5*IF(AND(N$4&gt;=Teams!$D$80,Teams!$D$49=1),Teams!$D$44*Params!$E$10*Teams!$D$45*Teams!$D$75+Teams!$D$44*Params!$E$10*Teams!$D$47*Teams!$D$76/1000000+Teams!$D$77+Teams!$D$50*Teams!$D$78+N39*Teams!$D$51*Teams!$D$79/1000000,0)</f>
        <v>80.97</v>
      </c>
      <c r="O45" s="44">
        <f>O$5*IF(AND(O$4&gt;=Teams!$D$80,Teams!$D$49=1),Teams!$D$44*Params!$E$10*Teams!$D$45*Teams!$D$75+Teams!$D$44*Params!$E$10*Teams!$D$47*Teams!$D$76/1000000+Teams!$D$77+Teams!$D$50*Teams!$D$78+O39*Teams!$D$51*Teams!$D$79/1000000,0)</f>
        <v>80.97</v>
      </c>
      <c r="P45" s="44">
        <f>P$5*IF(AND(P$4&gt;=Teams!$D$80,Teams!$D$49=1),Teams!$D$44*Params!$E$10*Teams!$D$45*Teams!$D$75+Teams!$D$44*Params!$E$10*Teams!$D$47*Teams!$D$76/1000000+Teams!$D$77+Teams!$D$50*Teams!$D$78+P39*Teams!$D$51*Teams!$D$79/1000000,0)</f>
        <v>80.97</v>
      </c>
      <c r="Q45" s="44">
        <f>Q$5*IF(AND(Q$4&gt;=Teams!$D$80,Teams!$D$49=1),Teams!$D$44*Params!$E$10*Teams!$D$45*Teams!$D$75+Teams!$D$44*Params!$E$10*Teams!$D$47*Teams!$D$76/1000000+Teams!$D$77+Teams!$D$50*Teams!$D$78+Q39*Teams!$D$51*Teams!$D$79/1000000,0)</f>
        <v>80.97</v>
      </c>
      <c r="R45" s="44">
        <f>R$5*IF(AND(R$4&gt;=Teams!$D$80,Teams!$D$49=1),Teams!$D$44*Params!$E$10*Teams!$D$45*Teams!$D$75+Teams!$D$44*Params!$E$10*Teams!$D$47*Teams!$D$76/1000000+Teams!$D$77+Teams!$D$50*Teams!$D$78+R39*Teams!$D$51*Teams!$D$79/1000000,0)</f>
        <v>80.97</v>
      </c>
      <c r="S45" s="44">
        <f>S$5*IF(AND(S$4&gt;=Teams!$D$80,Teams!$D$49=1),Teams!$D$44*Params!$E$10*Teams!$D$45*Teams!$D$75+Teams!$D$44*Params!$E$10*Teams!$D$47*Teams!$D$76/1000000+Teams!$D$77+Teams!$D$50*Teams!$D$78+S39*Teams!$D$51*Teams!$D$79/1000000,0)</f>
        <v>80.97</v>
      </c>
      <c r="T45" s="44">
        <f>T$5*IF(AND(T$4&gt;=Teams!$D$80,Teams!$D$49=1),Teams!$D$44*Params!$E$10*Teams!$D$45*Teams!$D$75+Teams!$D$44*Params!$E$10*Teams!$D$47*Teams!$D$76/1000000+Teams!$D$77+Teams!$D$50*Teams!$D$78+T39*Teams!$D$51*Teams!$D$79/1000000,0)</f>
        <v>80.97</v>
      </c>
      <c r="U45" s="44">
        <f>U$5*IF(AND(U$4&gt;=Teams!$D$80,Teams!$D$49=1),Teams!$D$44*Params!$E$10*Teams!$D$45*Teams!$D$75+Teams!$D$44*Params!$E$10*Teams!$D$47*Teams!$D$76/1000000+Teams!$D$77+Teams!$D$50*Teams!$D$78+U39*Teams!$D$51*Teams!$D$79/1000000,0)</f>
        <v>80.97</v>
      </c>
      <c r="V45" s="44">
        <f>V$5*IF(AND(V$4&gt;=Teams!$D$80,Teams!$D$49=1),Teams!$D$44*Params!$E$10*Teams!$D$45*Teams!$D$75+Teams!$D$44*Params!$E$10*Teams!$D$47*Teams!$D$76/1000000+Teams!$D$77+Teams!$D$50*Teams!$D$78+V39*Teams!$D$51*Teams!$D$79/1000000,0)</f>
        <v>80.97</v>
      </c>
      <c r="W45" s="44">
        <f>W$5*IF(AND(W$4&gt;=Teams!$D$80,Teams!$D$49=1),Teams!$D$44*Params!$E$10*Teams!$D$45*Teams!$D$75+Teams!$D$44*Params!$E$10*Teams!$D$47*Teams!$D$76/1000000+Teams!$D$77+Teams!$D$50*Teams!$D$78+W39*Teams!$D$51*Teams!$D$79/1000000,0)</f>
        <v>80.97</v>
      </c>
      <c r="X45" s="44">
        <f>X$5*IF(AND(X$4&gt;=Teams!$D$80,Teams!$D$49=1),Teams!$D$44*Params!$E$10*Teams!$D$45*Teams!$D$75+Teams!$D$44*Params!$E$10*Teams!$D$47*Teams!$D$76/1000000+Teams!$D$77+Teams!$D$50*Teams!$D$78+X39*Teams!$D$51*Teams!$D$79/1000000,0)</f>
        <v>80.97</v>
      </c>
      <c r="Y45" s="44">
        <f>Y$5*IF(AND(Y$4&gt;=Teams!$D$80,Teams!$D$49=1),Teams!$D$44*Params!$E$10*Teams!$D$45*Teams!$D$75+Teams!$D$44*Params!$E$10*Teams!$D$47*Teams!$D$76/1000000+Teams!$D$77+Teams!$D$50*Teams!$D$78+Y39*Teams!$D$51*Teams!$D$79/1000000,0)</f>
        <v>80.97</v>
      </c>
      <c r="Z45" s="44">
        <f>Z$5*IF(AND(Z$4&gt;=Teams!$D$80,Teams!$D$49=1),Teams!$D$44*Params!$E$10*Teams!$D$45*Teams!$D$75+Teams!$D$44*Params!$E$10*Teams!$D$47*Teams!$D$76/1000000+Teams!$D$77+Teams!$D$50*Teams!$D$78+Z39*Teams!$D$51*Teams!$D$79/1000000,0)</f>
        <v>80.97</v>
      </c>
      <c r="AA45" s="44">
        <f>AA$5*IF(AND(AA$4&gt;=Teams!$D$80,Teams!$D$49=1),Teams!$D$44*Params!$E$10*Teams!$D$45*Teams!$D$75+Teams!$D$44*Params!$E$10*Teams!$D$47*Teams!$D$76/1000000+Teams!$D$77+Teams!$D$50*Teams!$D$78+AA39*Teams!$D$51*Teams!$D$79/1000000,0)</f>
        <v>80.97</v>
      </c>
      <c r="AB45" s="44">
        <f>AB$5*IF(AND(AB$4&gt;=Teams!$D$80,Teams!$D$49=1),Teams!$D$44*Params!$E$10*Teams!$D$45*Teams!$D$75+Teams!$D$44*Params!$E$10*Teams!$D$47*Teams!$D$76/1000000+Teams!$D$77+Teams!$D$50*Teams!$D$78+AB39*Teams!$D$51*Teams!$D$79/1000000,0)</f>
        <v>80.97</v>
      </c>
      <c r="AC45" s="44">
        <f>AC$5*IF(AND(AC$4&gt;=Teams!$D$80,Teams!$D$49=1),Teams!$D$44*Params!$E$10*Teams!$D$45*Teams!$D$75+Teams!$D$44*Params!$E$10*Teams!$D$47*Teams!$D$76/1000000+Teams!$D$77+Teams!$D$50*Teams!$D$78+AC39*Teams!$D$51*Teams!$D$79/1000000,0)</f>
        <v>80.97</v>
      </c>
      <c r="AD45" s="44">
        <f>AD$5*IF(AND(AD$4&gt;=Teams!$D$80,Teams!$D$49=1),Teams!$D$44*Params!$E$10*Teams!$D$45*Teams!$D$75+Teams!$D$44*Params!$E$10*Teams!$D$47*Teams!$D$76/1000000+Teams!$D$77+Teams!$D$50*Teams!$D$78+AD39*Teams!$D$51*Teams!$D$79/1000000,0)</f>
        <v>80.97</v>
      </c>
      <c r="AE45" s="44">
        <f>AE$5*IF(AND(AE$4&gt;=Teams!$D$80,Teams!$D$49=1),Teams!$D$44*Params!$E$10*Teams!$D$45*Teams!$D$75+Teams!$D$44*Params!$E$10*Teams!$D$47*Teams!$D$76/1000000+Teams!$D$77+Teams!$D$50*Teams!$D$78+AE39*Teams!$D$51*Teams!$D$79/1000000,0)</f>
        <v>80.97</v>
      </c>
      <c r="AF45" s="44">
        <f>AF$5*IF(AND(AF$4&gt;=Teams!$D$80,Teams!$D$49=1),Teams!$D$44*Params!$E$10*Teams!$D$45*Teams!$D$75+Teams!$D$44*Params!$E$10*Teams!$D$47*Teams!$D$76/1000000+Teams!$D$77+Teams!$D$50*Teams!$D$78+AF39*Teams!$D$51*Teams!$D$79/1000000,0)</f>
        <v>80.97</v>
      </c>
      <c r="AG45" s="44">
        <f>AG$5*IF(AND(AG$4&gt;=Teams!$D$80,Teams!$D$49=1),Teams!$D$44*Params!$E$10*Teams!$D$45*Teams!$D$75+Teams!$D$44*Params!$E$10*Teams!$D$47*Teams!$D$76/1000000+Teams!$D$77+Teams!$D$50*Teams!$D$78+AG39*Teams!$D$51*Teams!$D$79/1000000,0)</f>
        <v>80.97</v>
      </c>
      <c r="AH45" s="44">
        <f>AH$5*IF(AND(AH$4&gt;=Teams!$D$80,Teams!$D$49=1),Teams!$D$44*Params!$E$10*Teams!$D$45*Teams!$D$75+Teams!$D$44*Params!$E$10*Teams!$D$47*Teams!$D$76/1000000+Teams!$D$77+Teams!$D$50*Teams!$D$78+AH39*Teams!$D$51*Teams!$D$79/1000000,0)</f>
        <v>80.97</v>
      </c>
      <c r="AI45" s="44">
        <f>AI$5*IF(AND(AI$4&gt;=Teams!$D$80,Teams!$D$49=1),Teams!$D$44*Params!$E$10*Teams!$D$45*Teams!$D$75+Teams!$D$44*Params!$E$10*Teams!$D$47*Teams!$D$76/1000000+Teams!$D$77+Teams!$D$50*Teams!$D$78+AI39*Teams!$D$51*Teams!$D$79/1000000,0)</f>
        <v>80.97</v>
      </c>
      <c r="AJ45" s="44">
        <f>AJ$5*IF(AND(AJ$4&gt;=Teams!$D$80,Teams!$D$49=1),Teams!$D$44*Params!$E$10*Teams!$D$45*Teams!$D$75+Teams!$D$44*Params!$E$10*Teams!$D$47*Teams!$D$76/1000000+Teams!$D$77+Teams!$D$50*Teams!$D$78+AJ39*Teams!$D$51*Teams!$D$79/1000000,0)</f>
        <v>80.97</v>
      </c>
      <c r="AK45" s="44">
        <f>AK$5*IF(AND(AK$4&gt;=Teams!$D$80,Teams!$D$49=1),Teams!$D$44*Params!$E$10*Teams!$D$45*Teams!$D$75+Teams!$D$44*Params!$E$10*Teams!$D$47*Teams!$D$76/1000000+Teams!$D$77+Teams!$D$50*Teams!$D$78+AK39*Teams!$D$51*Teams!$D$79/1000000,0)</f>
        <v>80.97</v>
      </c>
      <c r="AL45" s="44">
        <f>AL$5*IF(AND(AL$4&gt;=Teams!$D$80,Teams!$D$49=1),Teams!$D$44*Params!$E$10*Teams!$D$45*Teams!$D$75+Teams!$D$44*Params!$E$10*Teams!$D$47*Teams!$D$76/1000000+Teams!$D$77+Teams!$D$50*Teams!$D$78+AL39*Teams!$D$51*Teams!$D$79/1000000,0)</f>
        <v>80.97</v>
      </c>
      <c r="AM45" s="44">
        <f>AM$5*IF(AND(AM$4&gt;=Teams!$D$80,Teams!$D$49=1),Teams!$D$44*Params!$E$10*Teams!$D$45*Teams!$D$75+Teams!$D$44*Params!$E$10*Teams!$D$47*Teams!$D$76/1000000+Teams!$D$77+Teams!$D$50*Teams!$D$78+AM39*Teams!$D$51*Teams!$D$79/1000000,0)</f>
        <v>80.97</v>
      </c>
      <c r="AN45" s="44">
        <f>AN$5*IF(AND(AN$4&gt;=Teams!$D$80,Teams!$D$49=1),Teams!$D$44*Params!$E$10*Teams!$D$45*Teams!$D$75+Teams!$D$44*Params!$E$10*Teams!$D$47*Teams!$D$76/1000000+Teams!$D$77+Teams!$D$50*Teams!$D$78+AN39*Teams!$D$51*Teams!$D$79/1000000,0)</f>
        <v>80.97</v>
      </c>
      <c r="AO45" s="44">
        <f>AO$5*IF(AND(AO$4&gt;=Teams!$D$80,Teams!$D$49=1),Teams!$D$44*Params!$E$10*Teams!$D$45*Teams!$D$75+Teams!$D$44*Params!$E$10*Teams!$D$47*Teams!$D$76/1000000+Teams!$D$77+Teams!$D$50*Teams!$D$78+AO39*Teams!$D$51*Teams!$D$79/1000000,0)</f>
        <v>0</v>
      </c>
      <c r="AP45" s="44">
        <f>AP$5*IF(AND(AP$4&gt;=Teams!$D$80,Teams!$D$49=1),Teams!$D$44*Params!$E$10*Teams!$D$45*Teams!$D$75+Teams!$D$44*Params!$E$10*Teams!$D$47*Teams!$D$76/1000000+Teams!$D$77+Teams!$D$50*Teams!$D$78+AP39*Teams!$D$51*Teams!$D$79/1000000,0)</f>
        <v>0</v>
      </c>
      <c r="AQ45" s="44">
        <f>AQ$5*IF(AND(AQ$4&gt;=Teams!$D$80,Teams!$D$49=1),Teams!$D$44*Params!$E$10*Teams!$D$45*Teams!$D$75+Teams!$D$44*Params!$E$10*Teams!$D$47*Teams!$D$76/1000000+Teams!$D$77+Teams!$D$50*Teams!$D$78+AQ39*Teams!$D$51*Teams!$D$79/1000000,0)</f>
        <v>0</v>
      </c>
      <c r="AR45" s="44">
        <f>AR$5*IF(AND(AR$4&gt;=Teams!$D$80,Teams!$D$49=1),Teams!$D$44*Params!$E$10*Teams!$D$45*Teams!$D$75+Teams!$D$44*Params!$E$10*Teams!$D$47*Teams!$D$76/1000000+Teams!$D$77+Teams!$D$50*Teams!$D$78+AR39*Teams!$D$51*Teams!$D$79/1000000,0)</f>
        <v>0</v>
      </c>
      <c r="AS45" s="44">
        <f>AS$5*IF(AND(AS$4&gt;=Teams!$D$80,Teams!$D$49=1),Teams!$D$44*Params!$E$10*Teams!$D$45*Teams!$D$75+Teams!$D$44*Params!$E$10*Teams!$D$47*Teams!$D$76/1000000+Teams!$D$77+Teams!$D$50*Teams!$D$78+AS39*Teams!$D$51*Teams!$D$79/1000000,0)</f>
        <v>0</v>
      </c>
      <c r="AT45" s="44">
        <f>AT$5*IF(AND(AT$4&gt;=Teams!$D$80,Teams!$D$49=1),Teams!$D$44*Params!$E$10*Teams!$D$45*Teams!$D$75+Teams!$D$44*Params!$E$10*Teams!$D$47*Teams!$D$76/1000000+Teams!$D$77+Teams!$D$50*Teams!$D$78+AT39*Teams!$D$51*Teams!$D$79/1000000,0)</f>
        <v>0</v>
      </c>
      <c r="AU45" s="44">
        <f>AU$5*IF(AND(AU$4&gt;=Teams!$D$80,Teams!$D$49=1),Teams!$D$44*Params!$E$10*Teams!$D$45*Teams!$D$75+Teams!$D$44*Params!$E$10*Teams!$D$47*Teams!$D$76/1000000+Teams!$D$77+Teams!$D$50*Teams!$D$78+AU39*Teams!$D$51*Teams!$D$79/1000000,0)</f>
        <v>0</v>
      </c>
      <c r="AV45" s="44">
        <f>AV$5*IF(AND(AV$4&gt;=Teams!$D$80,Teams!$D$49=1),Teams!$D$44*Params!$E$10*Teams!$D$45*Teams!$D$75+Teams!$D$44*Params!$E$10*Teams!$D$47*Teams!$D$76/1000000+Teams!$D$77+Teams!$D$50*Teams!$D$78+AV39*Teams!$D$51*Teams!$D$79/1000000,0)</f>
        <v>0</v>
      </c>
      <c r="AW45" s="44">
        <f>AW$5*IF(AND(AW$4&gt;=Teams!$D$80,Teams!$D$49=1),Teams!$D$44*Params!$E$10*Teams!$D$45*Teams!$D$75+Teams!$D$44*Params!$E$10*Teams!$D$47*Teams!$D$76/1000000+Teams!$D$77+Teams!$D$50*Teams!$D$78+AW39*Teams!$D$51*Teams!$D$79/1000000,0)</f>
        <v>0</v>
      </c>
      <c r="AX45" s="44">
        <f>AX$5*IF(AND(AX$4&gt;=Teams!$D$80,Teams!$D$49=1),Teams!$D$44*Params!$E$10*Teams!$D$45*Teams!$D$75+Teams!$D$44*Params!$E$10*Teams!$D$47*Teams!$D$76/1000000+Teams!$D$77+Teams!$D$50*Teams!$D$78+AX39*Teams!$D$51*Teams!$D$79/1000000,0)</f>
        <v>0</v>
      </c>
      <c r="AY45" s="44">
        <f>AY$5*IF(AND(AY$4&gt;=Teams!$D$80,Teams!$D$49=1),Teams!$D$44*Params!$E$10*Teams!$D$45*Teams!$D$75+Teams!$D$44*Params!$E$10*Teams!$D$47*Teams!$D$76/1000000+Teams!$D$77+Teams!$D$50*Teams!$D$78+AY39*Teams!$D$51*Teams!$D$79/1000000,0)</f>
        <v>0</v>
      </c>
      <c r="AZ45" s="44">
        <f>AZ$5*IF(AND(AZ$4&gt;=Teams!$D$80,Teams!$D$49=1),Teams!$D$44*Params!$E$10*Teams!$D$45*Teams!$D$75+Teams!$D$44*Params!$E$10*Teams!$D$47*Teams!$D$76/1000000+Teams!$D$77+Teams!$D$50*Teams!$D$78+AZ39*Teams!$D$51*Teams!$D$79/1000000,0)</f>
        <v>0</v>
      </c>
      <c r="BA45" s="44">
        <f>BA$5*IF(AND(BA$4&gt;=Teams!$D$80,Teams!$D$49=1),Teams!$D$44*Params!$E$10*Teams!$D$45*Teams!$D$75+Teams!$D$44*Params!$E$10*Teams!$D$47*Teams!$D$76/1000000+Teams!$D$77+Teams!$D$50*Teams!$D$78+BA39*Teams!$D$51*Teams!$D$79/1000000,0)</f>
        <v>0</v>
      </c>
      <c r="BB45" s="44">
        <f>BB$5*IF(AND(BB$4&gt;=Teams!$D$80,Teams!$D$49=1),Teams!$D$44*Params!$E$10*Teams!$D$45*Teams!$D$75+Teams!$D$44*Params!$E$10*Teams!$D$47*Teams!$D$76/1000000+Teams!$D$77+Teams!$D$50*Teams!$D$78+BB39*Teams!$D$51*Teams!$D$79/1000000,0)</f>
        <v>0</v>
      </c>
      <c r="BC45" s="44">
        <f>BC$5*IF(AND(BC$4&gt;=Teams!$D$80,Teams!$D$49=1),Teams!$D$44*Params!$E$10*Teams!$D$45*Teams!$D$75+Teams!$D$44*Params!$E$10*Teams!$D$47*Teams!$D$76/1000000+Teams!$D$77+Teams!$D$50*Teams!$D$78+BC39*Teams!$D$51*Teams!$D$79/1000000,0)</f>
        <v>0</v>
      </c>
      <c r="BD45" s="44">
        <f>BD$5*IF(AND(BD$4&gt;=Teams!$D$80,Teams!$D$49=1),Teams!$D$44*Params!$E$10*Teams!$D$45*Teams!$D$75+Teams!$D$44*Params!$E$10*Teams!$D$47*Teams!$D$76/1000000+Teams!$D$77+Teams!$D$50*Teams!$D$78+BD39*Teams!$D$51*Teams!$D$79/1000000,0)</f>
        <v>0</v>
      </c>
      <c r="BE45" s="44">
        <f>BE$5*IF(AND(BE$4&gt;=Teams!$D$80,Teams!$D$49=1),Teams!$D$44*Params!$E$10*Teams!$D$45*Teams!$D$75+Teams!$D$44*Params!$E$10*Teams!$D$47*Teams!$D$76/1000000+Teams!$D$77+Teams!$D$50*Teams!$D$78+BE39*Teams!$D$51*Teams!$D$79/1000000,0)</f>
        <v>0</v>
      </c>
      <c r="BF45" s="44">
        <f>BF$5*IF(AND(BF$4&gt;=Teams!$D$80,Teams!$D$49=1),Teams!$D$44*Params!$E$10*Teams!$D$45*Teams!$D$75+Teams!$D$44*Params!$E$10*Teams!$D$47*Teams!$D$76/1000000+Teams!$D$77+Teams!$D$50*Teams!$D$78+BF39*Teams!$D$51*Teams!$D$79/1000000,0)</f>
        <v>0</v>
      </c>
      <c r="BG45" s="44">
        <f>BG$5*IF(AND(BG$4&gt;=Teams!$D$80,Teams!$D$49=1),Teams!$D$44*Params!$E$10*Teams!$D$45*Teams!$D$75+Teams!$D$44*Params!$E$10*Teams!$D$47*Teams!$D$76/1000000+Teams!$D$77+Teams!$D$50*Teams!$D$78+BG39*Teams!$D$51*Teams!$D$79/1000000,0)</f>
        <v>0</v>
      </c>
      <c r="BH45" s="44">
        <f>BH$5*IF(AND(BH$4&gt;=Teams!$D$80,Teams!$D$49=1),Teams!$D$44*Params!$E$10*Teams!$D$45*Teams!$D$75+Teams!$D$44*Params!$E$10*Teams!$D$47*Teams!$D$76/1000000+Teams!$D$77+Teams!$D$50*Teams!$D$78+BH39*Teams!$D$51*Teams!$D$79/1000000,0)</f>
        <v>0</v>
      </c>
      <c r="BI45" s="44">
        <f>BI$5*IF(AND(BI$4&gt;=Teams!$D$80,Teams!$D$49=1),Teams!$D$44*Params!$E$10*Teams!$D$45*Teams!$D$75+Teams!$D$44*Params!$E$10*Teams!$D$47*Teams!$D$76/1000000+Teams!$D$77+Teams!$D$50*Teams!$D$78+BI39*Teams!$D$51*Teams!$D$79/1000000,0)</f>
        <v>0</v>
      </c>
      <c r="BJ45" s="44">
        <f>BJ$5*IF(AND(BJ$4&gt;=Teams!$D$80,Teams!$D$49=1),Teams!$D$44*Params!$E$10*Teams!$D$45*Teams!$D$75+Teams!$D$44*Params!$E$10*Teams!$D$47*Teams!$D$76/1000000+Teams!$D$77+Teams!$D$50*Teams!$D$78+BJ39*Teams!$D$51*Teams!$D$79/1000000,0)</f>
        <v>0</v>
      </c>
      <c r="BK45" s="44">
        <f>BK$5*IF(AND(BK$4&gt;=Teams!$D$80,Teams!$D$49=1),Teams!$D$44*Params!$E$10*Teams!$D$45*Teams!$D$75+Teams!$D$44*Params!$E$10*Teams!$D$47*Teams!$D$76/1000000+Teams!$D$77+Teams!$D$50*Teams!$D$78+BK39*Teams!$D$51*Teams!$D$79/1000000,0)</f>
        <v>0</v>
      </c>
      <c r="BL45" s="44">
        <f>BL$5*IF(AND(BL$4&gt;=Teams!$D$80,Teams!$D$49=1),Teams!$D$44*Params!$E$10*Teams!$D$45*Teams!$D$75+Teams!$D$44*Params!$E$10*Teams!$D$47*Teams!$D$76/1000000+Teams!$D$77+Teams!$D$50*Teams!$D$78+BL39*Teams!$D$51*Teams!$D$79/1000000,0)</f>
        <v>0</v>
      </c>
    </row>
    <row r="46" spans="1:64" x14ac:dyDescent="0.3">
      <c r="A46" s="8" t="s">
        <v>671</v>
      </c>
      <c r="B46" s="18" t="s">
        <v>169</v>
      </c>
      <c r="C46" s="44">
        <f t="shared" si="11"/>
        <v>7200</v>
      </c>
      <c r="E46" s="44">
        <f>E$5*IF(E$4&gt;=Teams!$D$80,Teams!$D$43*Params!$E$6*Org!$B$10*Params!$E$7/12,0)</f>
        <v>200</v>
      </c>
      <c r="F46" s="44">
        <f>F$5*IF(F$4&gt;=Teams!$D$80,Teams!$D$43*Params!$E$6*Org!$B$10*Params!$E$7/12,0)</f>
        <v>200</v>
      </c>
      <c r="G46" s="44">
        <f>G$5*IF(G$4&gt;=Teams!$D$80,Teams!$D$43*Params!$E$6*Org!$B$10*Params!$E$7/12,0)</f>
        <v>200</v>
      </c>
      <c r="H46" s="44">
        <f>H$5*IF(H$4&gt;=Teams!$D$80,Teams!$D$43*Params!$E$6*Org!$B$10*Params!$E$7/12,0)</f>
        <v>200</v>
      </c>
      <c r="I46" s="44">
        <f>I$5*IF(I$4&gt;=Teams!$D$80,Teams!$D$43*Params!$E$6*Org!$B$10*Params!$E$7/12,0)</f>
        <v>200</v>
      </c>
      <c r="J46" s="44">
        <f>J$5*IF(J$4&gt;=Teams!$D$80,Teams!$D$43*Params!$E$6*Org!$B$10*Params!$E$7/12,0)</f>
        <v>200</v>
      </c>
      <c r="K46" s="44">
        <f>K$5*IF(K$4&gt;=Teams!$D$80,Teams!$D$43*Params!$E$6*Org!$B$10*Params!$E$7/12,0)</f>
        <v>200</v>
      </c>
      <c r="L46" s="44">
        <f>L$5*IF(L$4&gt;=Teams!$D$80,Teams!$D$43*Params!$E$6*Org!$B$10*Params!$E$7/12,0)</f>
        <v>200</v>
      </c>
      <c r="M46" s="44">
        <f>M$5*IF(M$4&gt;=Teams!$D$80,Teams!$D$43*Params!$E$6*Org!$B$10*Params!$E$7/12,0)</f>
        <v>200</v>
      </c>
      <c r="N46" s="44">
        <f>N$5*IF(N$4&gt;=Teams!$D$80,Teams!$D$43*Params!$E$6*Org!$B$10*Params!$E$7/12,0)</f>
        <v>200</v>
      </c>
      <c r="O46" s="44">
        <f>O$5*IF(O$4&gt;=Teams!$D$80,Teams!$D$43*Params!$E$6*Org!$B$10*Params!$E$7/12,0)</f>
        <v>200</v>
      </c>
      <c r="P46" s="44">
        <f>P$5*IF(P$4&gt;=Teams!$D$80,Teams!$D$43*Params!$E$6*Org!$B$10*Params!$E$7/12,0)</f>
        <v>200</v>
      </c>
      <c r="Q46" s="44">
        <f>Q$5*IF(Q$4&gt;=Teams!$D$80,Teams!$D$43*Params!$E$6*Org!$B$10*Params!$E$7/12,0)</f>
        <v>200</v>
      </c>
      <c r="R46" s="44">
        <f>R$5*IF(R$4&gt;=Teams!$D$80,Teams!$D$43*Params!$E$6*Org!$B$10*Params!$E$7/12,0)</f>
        <v>200</v>
      </c>
      <c r="S46" s="44">
        <f>S$5*IF(S$4&gt;=Teams!$D$80,Teams!$D$43*Params!$E$6*Org!$B$10*Params!$E$7/12,0)</f>
        <v>200</v>
      </c>
      <c r="T46" s="44">
        <f>T$5*IF(T$4&gt;=Teams!$D$80,Teams!$D$43*Params!$E$6*Org!$B$10*Params!$E$7/12,0)</f>
        <v>200</v>
      </c>
      <c r="U46" s="44">
        <f>U$5*IF(U$4&gt;=Teams!$D$80,Teams!$D$43*Params!$E$6*Org!$B$10*Params!$E$7/12,0)</f>
        <v>200</v>
      </c>
      <c r="V46" s="44">
        <f>V$5*IF(V$4&gt;=Teams!$D$80,Teams!$D$43*Params!$E$6*Org!$B$10*Params!$E$7/12,0)</f>
        <v>200</v>
      </c>
      <c r="W46" s="44">
        <f>W$5*IF(W$4&gt;=Teams!$D$80,Teams!$D$43*Params!$E$6*Org!$B$10*Params!$E$7/12,0)</f>
        <v>200</v>
      </c>
      <c r="X46" s="44">
        <f>X$5*IF(X$4&gt;=Teams!$D$80,Teams!$D$43*Params!$E$6*Org!$B$10*Params!$E$7/12,0)</f>
        <v>200</v>
      </c>
      <c r="Y46" s="44">
        <f>Y$5*IF(Y$4&gt;=Teams!$D$80,Teams!$D$43*Params!$E$6*Org!$B$10*Params!$E$7/12,0)</f>
        <v>200</v>
      </c>
      <c r="Z46" s="44">
        <f>Z$5*IF(Z$4&gt;=Teams!$D$80,Teams!$D$43*Params!$E$6*Org!$B$10*Params!$E$7/12,0)</f>
        <v>200</v>
      </c>
      <c r="AA46" s="44">
        <f>AA$5*IF(AA$4&gt;=Teams!$D$80,Teams!$D$43*Params!$E$6*Org!$B$10*Params!$E$7/12,0)</f>
        <v>200</v>
      </c>
      <c r="AB46" s="44">
        <f>AB$5*IF(AB$4&gt;=Teams!$D$80,Teams!$D$43*Params!$E$6*Org!$B$10*Params!$E$7/12,0)</f>
        <v>200</v>
      </c>
      <c r="AC46" s="44">
        <f>AC$5*IF(AC$4&gt;=Teams!$D$80,Teams!$D$43*Params!$E$6*Org!$B$10*Params!$E$7/12,0)</f>
        <v>200</v>
      </c>
      <c r="AD46" s="44">
        <f>AD$5*IF(AD$4&gt;=Teams!$D$80,Teams!$D$43*Params!$E$6*Org!$B$10*Params!$E$7/12,0)</f>
        <v>200</v>
      </c>
      <c r="AE46" s="44">
        <f>AE$5*IF(AE$4&gt;=Teams!$D$80,Teams!$D$43*Params!$E$6*Org!$B$10*Params!$E$7/12,0)</f>
        <v>200</v>
      </c>
      <c r="AF46" s="44">
        <f>AF$5*IF(AF$4&gt;=Teams!$D$80,Teams!$D$43*Params!$E$6*Org!$B$10*Params!$E$7/12,0)</f>
        <v>200</v>
      </c>
      <c r="AG46" s="44">
        <f>AG$5*IF(AG$4&gt;=Teams!$D$80,Teams!$D$43*Params!$E$6*Org!$B$10*Params!$E$7/12,0)</f>
        <v>200</v>
      </c>
      <c r="AH46" s="44">
        <f>AH$5*IF(AH$4&gt;=Teams!$D$80,Teams!$D$43*Params!$E$6*Org!$B$10*Params!$E$7/12,0)</f>
        <v>200</v>
      </c>
      <c r="AI46" s="44">
        <f>AI$5*IF(AI$4&gt;=Teams!$D$80,Teams!$D$43*Params!$E$6*Org!$B$10*Params!$E$7/12,0)</f>
        <v>200</v>
      </c>
      <c r="AJ46" s="44">
        <f>AJ$5*IF(AJ$4&gt;=Teams!$D$80,Teams!$D$43*Params!$E$6*Org!$B$10*Params!$E$7/12,0)</f>
        <v>200</v>
      </c>
      <c r="AK46" s="44">
        <f>AK$5*IF(AK$4&gt;=Teams!$D$80,Teams!$D$43*Params!$E$6*Org!$B$10*Params!$E$7/12,0)</f>
        <v>200</v>
      </c>
      <c r="AL46" s="44">
        <f>AL$5*IF(AL$4&gt;=Teams!$D$80,Teams!$D$43*Params!$E$6*Org!$B$10*Params!$E$7/12,0)</f>
        <v>200</v>
      </c>
      <c r="AM46" s="44">
        <f>AM$5*IF(AM$4&gt;=Teams!$D$80,Teams!$D$43*Params!$E$6*Org!$B$10*Params!$E$7/12,0)</f>
        <v>200</v>
      </c>
      <c r="AN46" s="44">
        <f>AN$5*IF(AN$4&gt;=Teams!$D$80,Teams!$D$43*Params!$E$6*Org!$B$10*Params!$E$7/12,0)</f>
        <v>200</v>
      </c>
      <c r="AO46" s="44">
        <f>AO$5*IF(AO$4&gt;=Teams!$D$80,Teams!$D$43*Params!$E$6*Org!$B$10*Params!$E$7/12,0)</f>
        <v>0</v>
      </c>
      <c r="AP46" s="44">
        <f>AP$5*IF(AP$4&gt;=Teams!$D$80,Teams!$D$43*Params!$E$6*Org!$B$10*Params!$E$7/12,0)</f>
        <v>0</v>
      </c>
      <c r="AQ46" s="44">
        <f>AQ$5*IF(AQ$4&gt;=Teams!$D$80,Teams!$D$43*Params!$E$6*Org!$B$10*Params!$E$7/12,0)</f>
        <v>0</v>
      </c>
      <c r="AR46" s="44">
        <f>AR$5*IF(AR$4&gt;=Teams!$D$80,Teams!$D$43*Params!$E$6*Org!$B$10*Params!$E$7/12,0)</f>
        <v>0</v>
      </c>
      <c r="AS46" s="44">
        <f>AS$5*IF(AS$4&gt;=Teams!$D$80,Teams!$D$43*Params!$E$6*Org!$B$10*Params!$E$7/12,0)</f>
        <v>0</v>
      </c>
      <c r="AT46" s="44">
        <f>AT$5*IF(AT$4&gt;=Teams!$D$80,Teams!$D$43*Params!$E$6*Org!$B$10*Params!$E$7/12,0)</f>
        <v>0</v>
      </c>
      <c r="AU46" s="44">
        <f>AU$5*IF(AU$4&gt;=Teams!$D$80,Teams!$D$43*Params!$E$6*Org!$B$10*Params!$E$7/12,0)</f>
        <v>0</v>
      </c>
      <c r="AV46" s="44">
        <f>AV$5*IF(AV$4&gt;=Teams!$D$80,Teams!$D$43*Params!$E$6*Org!$B$10*Params!$E$7/12,0)</f>
        <v>0</v>
      </c>
      <c r="AW46" s="44">
        <f>AW$5*IF(AW$4&gt;=Teams!$D$80,Teams!$D$43*Params!$E$6*Org!$B$10*Params!$E$7/12,0)</f>
        <v>0</v>
      </c>
      <c r="AX46" s="44">
        <f>AX$5*IF(AX$4&gt;=Teams!$D$80,Teams!$D$43*Params!$E$6*Org!$B$10*Params!$E$7/12,0)</f>
        <v>0</v>
      </c>
      <c r="AY46" s="44">
        <f>AY$5*IF(AY$4&gt;=Teams!$D$80,Teams!$D$43*Params!$E$6*Org!$B$10*Params!$E$7/12,0)</f>
        <v>0</v>
      </c>
      <c r="AZ46" s="44">
        <f>AZ$5*IF(AZ$4&gt;=Teams!$D$80,Teams!$D$43*Params!$E$6*Org!$B$10*Params!$E$7/12,0)</f>
        <v>0</v>
      </c>
      <c r="BA46" s="44">
        <f>BA$5*IF(BA$4&gt;=Teams!$D$80,Teams!$D$43*Params!$E$6*Org!$B$10*Params!$E$7/12,0)</f>
        <v>0</v>
      </c>
      <c r="BB46" s="44">
        <f>BB$5*IF(BB$4&gt;=Teams!$D$80,Teams!$D$43*Params!$E$6*Org!$B$10*Params!$E$7/12,0)</f>
        <v>0</v>
      </c>
      <c r="BC46" s="44">
        <f>BC$5*IF(BC$4&gt;=Teams!$D$80,Teams!$D$43*Params!$E$6*Org!$B$10*Params!$E$7/12,0)</f>
        <v>0</v>
      </c>
      <c r="BD46" s="44">
        <f>BD$5*IF(BD$4&gt;=Teams!$D$80,Teams!$D$43*Params!$E$6*Org!$B$10*Params!$E$7/12,0)</f>
        <v>0</v>
      </c>
      <c r="BE46" s="44">
        <f>BE$5*IF(BE$4&gt;=Teams!$D$80,Teams!$D$43*Params!$E$6*Org!$B$10*Params!$E$7/12,0)</f>
        <v>0</v>
      </c>
      <c r="BF46" s="44">
        <f>BF$5*IF(BF$4&gt;=Teams!$D$80,Teams!$D$43*Params!$E$6*Org!$B$10*Params!$E$7/12,0)</f>
        <v>0</v>
      </c>
      <c r="BG46" s="44">
        <f>BG$5*IF(BG$4&gt;=Teams!$D$80,Teams!$D$43*Params!$E$6*Org!$B$10*Params!$E$7/12,0)</f>
        <v>0</v>
      </c>
      <c r="BH46" s="44">
        <f>BH$5*IF(BH$4&gt;=Teams!$D$80,Teams!$D$43*Params!$E$6*Org!$B$10*Params!$E$7/12,0)</f>
        <v>0</v>
      </c>
      <c r="BI46" s="44">
        <f>BI$5*IF(BI$4&gt;=Teams!$D$80,Teams!$D$43*Params!$E$6*Org!$B$10*Params!$E$7/12,0)</f>
        <v>0</v>
      </c>
      <c r="BJ46" s="44">
        <f>BJ$5*IF(BJ$4&gt;=Teams!$D$80,Teams!$D$43*Params!$E$6*Org!$B$10*Params!$E$7/12,0)</f>
        <v>0</v>
      </c>
      <c r="BK46" s="44">
        <f>BK$5*IF(BK$4&gt;=Teams!$D$80,Teams!$D$43*Params!$E$6*Org!$B$10*Params!$E$7/12,0)</f>
        <v>0</v>
      </c>
      <c r="BL46" s="44">
        <f>BL$5*IF(BL$4&gt;=Teams!$D$80,Teams!$D$43*Params!$E$6*Org!$B$10*Params!$E$7/12,0)</f>
        <v>0</v>
      </c>
    </row>
    <row r="47" spans="1:64" x14ac:dyDescent="0.3">
      <c r="A47" s="8" t="s">
        <v>672</v>
      </c>
      <c r="B47" s="18" t="s">
        <v>169</v>
      </c>
      <c r="C47" s="44">
        <f t="shared" si="11"/>
        <v>151680</v>
      </c>
      <c r="E47" s="44">
        <f>E$5*IF(E$4&gt;=Teams!$D$80,Params!$E$23*Params!$E$24/60*(Org!$B$10/Org!$B$11)+Params!$E$27/12*Params!$E$13*Org!$B$10+E38/1000*Params!$E$28*Params!$E$29*(Org!$B$10/Org!$B$11),0)</f>
        <v>3760</v>
      </c>
      <c r="F47" s="44">
        <f>F$5*IF(F$4&gt;=Teams!$D$80,Params!$E$23*Params!$E$24/60*(Org!$B$10/Org!$B$11)+Params!$E$27/12*Params!$E$13*Org!$B$10+F38/1000*Params!$E$28*Params!$E$29*(Org!$B$10/Org!$B$11),0)</f>
        <v>3920</v>
      </c>
      <c r="G47" s="44">
        <f>G$5*IF(G$4&gt;=Teams!$D$80,Params!$E$23*Params!$E$24/60*(Org!$B$10/Org!$B$11)+Params!$E$27/12*Params!$E$13*Org!$B$10+G38/1000*Params!$E$28*Params!$E$29*(Org!$B$10/Org!$B$11),0)</f>
        <v>4080</v>
      </c>
      <c r="H47" s="44">
        <f>H$5*IF(H$4&gt;=Teams!$D$80,Params!$E$23*Params!$E$24/60*(Org!$B$10/Org!$B$11)+Params!$E$27/12*Params!$E$13*Org!$B$10+H38/1000*Params!$E$28*Params!$E$29*(Org!$B$10/Org!$B$11),0)</f>
        <v>4240</v>
      </c>
      <c r="I47" s="44">
        <f>I$5*IF(I$4&gt;=Teams!$D$80,Params!$E$23*Params!$E$24/60*(Org!$B$10/Org!$B$11)+Params!$E$27/12*Params!$E$13*Org!$B$10+I38/1000*Params!$E$28*Params!$E$29*(Org!$B$10/Org!$B$11),0)</f>
        <v>4240</v>
      </c>
      <c r="J47" s="44">
        <f>J$5*IF(J$4&gt;=Teams!$D$80,Params!$E$23*Params!$E$24/60*(Org!$B$10/Org!$B$11)+Params!$E$27/12*Params!$E$13*Org!$B$10+J38/1000*Params!$E$28*Params!$E$29*(Org!$B$10/Org!$B$11),0)</f>
        <v>4240</v>
      </c>
      <c r="K47" s="44">
        <f>K$5*IF(K$4&gt;=Teams!$D$80,Params!$E$23*Params!$E$24/60*(Org!$B$10/Org!$B$11)+Params!$E$27/12*Params!$E$13*Org!$B$10+K38/1000*Params!$E$28*Params!$E$29*(Org!$B$10/Org!$B$11),0)</f>
        <v>4240</v>
      </c>
      <c r="L47" s="44">
        <f>L$5*IF(L$4&gt;=Teams!$D$80,Params!$E$23*Params!$E$24/60*(Org!$B$10/Org!$B$11)+Params!$E$27/12*Params!$E$13*Org!$B$10+L38/1000*Params!$E$28*Params!$E$29*(Org!$B$10/Org!$B$11),0)</f>
        <v>4240</v>
      </c>
      <c r="M47" s="44">
        <f>M$5*IF(M$4&gt;=Teams!$D$80,Params!$E$23*Params!$E$24/60*(Org!$B$10/Org!$B$11)+Params!$E$27/12*Params!$E$13*Org!$B$10+M38/1000*Params!$E$28*Params!$E$29*(Org!$B$10/Org!$B$11),0)</f>
        <v>4240</v>
      </c>
      <c r="N47" s="44">
        <f>N$5*IF(N$4&gt;=Teams!$D$80,Params!$E$23*Params!$E$24/60*(Org!$B$10/Org!$B$11)+Params!$E$27/12*Params!$E$13*Org!$B$10+N38/1000*Params!$E$28*Params!$E$29*(Org!$B$10/Org!$B$11),0)</f>
        <v>4240</v>
      </c>
      <c r="O47" s="44">
        <f>O$5*IF(O$4&gt;=Teams!$D$80,Params!$E$23*Params!$E$24/60*(Org!$B$10/Org!$B$11)+Params!$E$27/12*Params!$E$13*Org!$B$10+O38/1000*Params!$E$28*Params!$E$29*(Org!$B$10/Org!$B$11),0)</f>
        <v>4240</v>
      </c>
      <c r="P47" s="44">
        <f>P$5*IF(P$4&gt;=Teams!$D$80,Params!$E$23*Params!$E$24/60*(Org!$B$10/Org!$B$11)+Params!$E$27/12*Params!$E$13*Org!$B$10+P38/1000*Params!$E$28*Params!$E$29*(Org!$B$10/Org!$B$11),0)</f>
        <v>4240</v>
      </c>
      <c r="Q47" s="44">
        <f>Q$5*IF(Q$4&gt;=Teams!$D$80,Params!$E$23*Params!$E$24/60*(Org!$B$10/Org!$B$11)+Params!$E$27/12*Params!$E$13*Org!$B$10+Q38/1000*Params!$E$28*Params!$E$29*(Org!$B$10/Org!$B$11),0)</f>
        <v>4240</v>
      </c>
      <c r="R47" s="44">
        <f>R$5*IF(R$4&gt;=Teams!$D$80,Params!$E$23*Params!$E$24/60*(Org!$B$10/Org!$B$11)+Params!$E$27/12*Params!$E$13*Org!$B$10+R38/1000*Params!$E$28*Params!$E$29*(Org!$B$10/Org!$B$11),0)</f>
        <v>4240</v>
      </c>
      <c r="S47" s="44">
        <f>S$5*IF(S$4&gt;=Teams!$D$80,Params!$E$23*Params!$E$24/60*(Org!$B$10/Org!$B$11)+Params!$E$27/12*Params!$E$13*Org!$B$10+S38/1000*Params!$E$28*Params!$E$29*(Org!$B$10/Org!$B$11),0)</f>
        <v>4240</v>
      </c>
      <c r="T47" s="44">
        <f>T$5*IF(T$4&gt;=Teams!$D$80,Params!$E$23*Params!$E$24/60*(Org!$B$10/Org!$B$11)+Params!$E$27/12*Params!$E$13*Org!$B$10+T38/1000*Params!$E$28*Params!$E$29*(Org!$B$10/Org!$B$11),0)</f>
        <v>4240</v>
      </c>
      <c r="U47" s="44">
        <f>U$5*IF(U$4&gt;=Teams!$D$80,Params!$E$23*Params!$E$24/60*(Org!$B$10/Org!$B$11)+Params!$E$27/12*Params!$E$13*Org!$B$10+U38/1000*Params!$E$28*Params!$E$29*(Org!$B$10/Org!$B$11),0)</f>
        <v>4240</v>
      </c>
      <c r="V47" s="44">
        <f>V$5*IF(V$4&gt;=Teams!$D$80,Params!$E$23*Params!$E$24/60*(Org!$B$10/Org!$B$11)+Params!$E$27/12*Params!$E$13*Org!$B$10+V38/1000*Params!$E$28*Params!$E$29*(Org!$B$10/Org!$B$11),0)</f>
        <v>4240</v>
      </c>
      <c r="W47" s="44">
        <f>W$5*IF(W$4&gt;=Teams!$D$80,Params!$E$23*Params!$E$24/60*(Org!$B$10/Org!$B$11)+Params!$E$27/12*Params!$E$13*Org!$B$10+W38/1000*Params!$E$28*Params!$E$29*(Org!$B$10/Org!$B$11),0)</f>
        <v>4240</v>
      </c>
      <c r="X47" s="44">
        <f>X$5*IF(X$4&gt;=Teams!$D$80,Params!$E$23*Params!$E$24/60*(Org!$B$10/Org!$B$11)+Params!$E$27/12*Params!$E$13*Org!$B$10+X38/1000*Params!$E$28*Params!$E$29*(Org!$B$10/Org!$B$11),0)</f>
        <v>4240</v>
      </c>
      <c r="Y47" s="44">
        <f>Y$5*IF(Y$4&gt;=Teams!$D$80,Params!$E$23*Params!$E$24/60*(Org!$B$10/Org!$B$11)+Params!$E$27/12*Params!$E$13*Org!$B$10+Y38/1000*Params!$E$28*Params!$E$29*(Org!$B$10/Org!$B$11),0)</f>
        <v>4240</v>
      </c>
      <c r="Z47" s="44">
        <f>Z$5*IF(Z$4&gt;=Teams!$D$80,Params!$E$23*Params!$E$24/60*(Org!$B$10/Org!$B$11)+Params!$E$27/12*Params!$E$13*Org!$B$10+Z38/1000*Params!$E$28*Params!$E$29*(Org!$B$10/Org!$B$11),0)</f>
        <v>4240</v>
      </c>
      <c r="AA47" s="44">
        <f>AA$5*IF(AA$4&gt;=Teams!$D$80,Params!$E$23*Params!$E$24/60*(Org!$B$10/Org!$B$11)+Params!$E$27/12*Params!$E$13*Org!$B$10+AA38/1000*Params!$E$28*Params!$E$29*(Org!$B$10/Org!$B$11),0)</f>
        <v>4240</v>
      </c>
      <c r="AB47" s="44">
        <f>AB$5*IF(AB$4&gt;=Teams!$D$80,Params!$E$23*Params!$E$24/60*(Org!$B$10/Org!$B$11)+Params!$E$27/12*Params!$E$13*Org!$B$10+AB38/1000*Params!$E$28*Params!$E$29*(Org!$B$10/Org!$B$11),0)</f>
        <v>4240</v>
      </c>
      <c r="AC47" s="44">
        <f>AC$5*IF(AC$4&gt;=Teams!$D$80,Params!$E$23*Params!$E$24/60*(Org!$B$10/Org!$B$11)+Params!$E$27/12*Params!$E$13*Org!$B$10+AC38/1000*Params!$E$28*Params!$E$29*(Org!$B$10/Org!$B$11),0)</f>
        <v>4240</v>
      </c>
      <c r="AD47" s="44">
        <f>AD$5*IF(AD$4&gt;=Teams!$D$80,Params!$E$23*Params!$E$24/60*(Org!$B$10/Org!$B$11)+Params!$E$27/12*Params!$E$13*Org!$B$10+AD38/1000*Params!$E$28*Params!$E$29*(Org!$B$10/Org!$B$11),0)</f>
        <v>4240</v>
      </c>
      <c r="AE47" s="44">
        <f>AE$5*IF(AE$4&gt;=Teams!$D$80,Params!$E$23*Params!$E$24/60*(Org!$B$10/Org!$B$11)+Params!$E$27/12*Params!$E$13*Org!$B$10+AE38/1000*Params!$E$28*Params!$E$29*(Org!$B$10/Org!$B$11),0)</f>
        <v>4240</v>
      </c>
      <c r="AF47" s="44">
        <f>AF$5*IF(AF$4&gt;=Teams!$D$80,Params!$E$23*Params!$E$24/60*(Org!$B$10/Org!$B$11)+Params!$E$27/12*Params!$E$13*Org!$B$10+AF38/1000*Params!$E$28*Params!$E$29*(Org!$B$10/Org!$B$11),0)</f>
        <v>4240</v>
      </c>
      <c r="AG47" s="44">
        <f>AG$5*IF(AG$4&gt;=Teams!$D$80,Params!$E$23*Params!$E$24/60*(Org!$B$10/Org!$B$11)+Params!$E$27/12*Params!$E$13*Org!$B$10+AG38/1000*Params!$E$28*Params!$E$29*(Org!$B$10/Org!$B$11),0)</f>
        <v>4240</v>
      </c>
      <c r="AH47" s="44">
        <f>AH$5*IF(AH$4&gt;=Teams!$D$80,Params!$E$23*Params!$E$24/60*(Org!$B$10/Org!$B$11)+Params!$E$27/12*Params!$E$13*Org!$B$10+AH38/1000*Params!$E$28*Params!$E$29*(Org!$B$10/Org!$B$11),0)</f>
        <v>4240</v>
      </c>
      <c r="AI47" s="44">
        <f>AI$5*IF(AI$4&gt;=Teams!$D$80,Params!$E$23*Params!$E$24/60*(Org!$B$10/Org!$B$11)+Params!$E$27/12*Params!$E$13*Org!$B$10+AI38/1000*Params!$E$28*Params!$E$29*(Org!$B$10/Org!$B$11),0)</f>
        <v>4240</v>
      </c>
      <c r="AJ47" s="44">
        <f>AJ$5*IF(AJ$4&gt;=Teams!$D$80,Params!$E$23*Params!$E$24/60*(Org!$B$10/Org!$B$11)+Params!$E$27/12*Params!$E$13*Org!$B$10+AJ38/1000*Params!$E$28*Params!$E$29*(Org!$B$10/Org!$B$11),0)</f>
        <v>4240</v>
      </c>
      <c r="AK47" s="44">
        <f>AK$5*IF(AK$4&gt;=Teams!$D$80,Params!$E$23*Params!$E$24/60*(Org!$B$10/Org!$B$11)+Params!$E$27/12*Params!$E$13*Org!$B$10+AK38/1000*Params!$E$28*Params!$E$29*(Org!$B$10/Org!$B$11),0)</f>
        <v>4240</v>
      </c>
      <c r="AL47" s="44">
        <f>AL$5*IF(AL$4&gt;=Teams!$D$80,Params!$E$23*Params!$E$24/60*(Org!$B$10/Org!$B$11)+Params!$E$27/12*Params!$E$13*Org!$B$10+AL38/1000*Params!$E$28*Params!$E$29*(Org!$B$10/Org!$B$11),0)</f>
        <v>4240</v>
      </c>
      <c r="AM47" s="44">
        <f>AM$5*IF(AM$4&gt;=Teams!$D$80,Params!$E$23*Params!$E$24/60*(Org!$B$10/Org!$B$11)+Params!$E$27/12*Params!$E$13*Org!$B$10+AM38/1000*Params!$E$28*Params!$E$29*(Org!$B$10/Org!$B$11),0)</f>
        <v>4240</v>
      </c>
      <c r="AN47" s="44">
        <f>AN$5*IF(AN$4&gt;=Teams!$D$80,Params!$E$23*Params!$E$24/60*(Org!$B$10/Org!$B$11)+Params!$E$27/12*Params!$E$13*Org!$B$10+AN38/1000*Params!$E$28*Params!$E$29*(Org!$B$10/Org!$B$11),0)</f>
        <v>4240</v>
      </c>
      <c r="AO47" s="44">
        <f>AO$5*IF(AO$4&gt;=Teams!$D$80,Params!$E$23*Params!$E$24/60*(Org!$B$10/Org!$B$11)+Params!$E$27/12*Params!$E$13*Org!$B$10+AO38/1000*Params!$E$28*Params!$E$29*(Org!$B$10/Org!$B$11),0)</f>
        <v>0</v>
      </c>
      <c r="AP47" s="44">
        <f>AP$5*IF(AP$4&gt;=Teams!$D$80,Params!$E$23*Params!$E$24/60*(Org!$B$10/Org!$B$11)+Params!$E$27/12*Params!$E$13*Org!$B$10+AP38/1000*Params!$E$28*Params!$E$29*(Org!$B$10/Org!$B$11),0)</f>
        <v>0</v>
      </c>
      <c r="AQ47" s="44">
        <f>AQ$5*IF(AQ$4&gt;=Teams!$D$80,Params!$E$23*Params!$E$24/60*(Org!$B$10/Org!$B$11)+Params!$E$27/12*Params!$E$13*Org!$B$10+AQ38/1000*Params!$E$28*Params!$E$29*(Org!$B$10/Org!$B$11),0)</f>
        <v>0</v>
      </c>
      <c r="AR47" s="44">
        <f>AR$5*IF(AR$4&gt;=Teams!$D$80,Params!$E$23*Params!$E$24/60*(Org!$B$10/Org!$B$11)+Params!$E$27/12*Params!$E$13*Org!$B$10+AR38/1000*Params!$E$28*Params!$E$29*(Org!$B$10/Org!$B$11),0)</f>
        <v>0</v>
      </c>
      <c r="AS47" s="44">
        <f>AS$5*IF(AS$4&gt;=Teams!$D$80,Params!$E$23*Params!$E$24/60*(Org!$B$10/Org!$B$11)+Params!$E$27/12*Params!$E$13*Org!$B$10+AS38/1000*Params!$E$28*Params!$E$29*(Org!$B$10/Org!$B$11),0)</f>
        <v>0</v>
      </c>
      <c r="AT47" s="44">
        <f>AT$5*IF(AT$4&gt;=Teams!$D$80,Params!$E$23*Params!$E$24/60*(Org!$B$10/Org!$B$11)+Params!$E$27/12*Params!$E$13*Org!$B$10+AT38/1000*Params!$E$28*Params!$E$29*(Org!$B$10/Org!$B$11),0)</f>
        <v>0</v>
      </c>
      <c r="AU47" s="44">
        <f>AU$5*IF(AU$4&gt;=Teams!$D$80,Params!$E$23*Params!$E$24/60*(Org!$B$10/Org!$B$11)+Params!$E$27/12*Params!$E$13*Org!$B$10+AU38/1000*Params!$E$28*Params!$E$29*(Org!$B$10/Org!$B$11),0)</f>
        <v>0</v>
      </c>
      <c r="AV47" s="44">
        <f>AV$5*IF(AV$4&gt;=Teams!$D$80,Params!$E$23*Params!$E$24/60*(Org!$B$10/Org!$B$11)+Params!$E$27/12*Params!$E$13*Org!$B$10+AV38/1000*Params!$E$28*Params!$E$29*(Org!$B$10/Org!$B$11),0)</f>
        <v>0</v>
      </c>
      <c r="AW47" s="44">
        <f>AW$5*IF(AW$4&gt;=Teams!$D$80,Params!$E$23*Params!$E$24/60*(Org!$B$10/Org!$B$11)+Params!$E$27/12*Params!$E$13*Org!$B$10+AW38/1000*Params!$E$28*Params!$E$29*(Org!$B$10/Org!$B$11),0)</f>
        <v>0</v>
      </c>
      <c r="AX47" s="44">
        <f>AX$5*IF(AX$4&gt;=Teams!$D$80,Params!$E$23*Params!$E$24/60*(Org!$B$10/Org!$B$11)+Params!$E$27/12*Params!$E$13*Org!$B$10+AX38/1000*Params!$E$28*Params!$E$29*(Org!$B$10/Org!$B$11),0)</f>
        <v>0</v>
      </c>
      <c r="AY47" s="44">
        <f>AY$5*IF(AY$4&gt;=Teams!$D$80,Params!$E$23*Params!$E$24/60*(Org!$B$10/Org!$B$11)+Params!$E$27/12*Params!$E$13*Org!$B$10+AY38/1000*Params!$E$28*Params!$E$29*(Org!$B$10/Org!$B$11),0)</f>
        <v>0</v>
      </c>
      <c r="AZ47" s="44">
        <f>AZ$5*IF(AZ$4&gt;=Teams!$D$80,Params!$E$23*Params!$E$24/60*(Org!$B$10/Org!$B$11)+Params!$E$27/12*Params!$E$13*Org!$B$10+AZ38/1000*Params!$E$28*Params!$E$29*(Org!$B$10/Org!$B$11),0)</f>
        <v>0</v>
      </c>
      <c r="BA47" s="44">
        <f>BA$5*IF(BA$4&gt;=Teams!$D$80,Params!$E$23*Params!$E$24/60*(Org!$B$10/Org!$B$11)+Params!$E$27/12*Params!$E$13*Org!$B$10+BA38/1000*Params!$E$28*Params!$E$29*(Org!$B$10/Org!$B$11),0)</f>
        <v>0</v>
      </c>
      <c r="BB47" s="44">
        <f>BB$5*IF(BB$4&gt;=Teams!$D$80,Params!$E$23*Params!$E$24/60*(Org!$B$10/Org!$B$11)+Params!$E$27/12*Params!$E$13*Org!$B$10+BB38/1000*Params!$E$28*Params!$E$29*(Org!$B$10/Org!$B$11),0)</f>
        <v>0</v>
      </c>
      <c r="BC47" s="44">
        <f>BC$5*IF(BC$4&gt;=Teams!$D$80,Params!$E$23*Params!$E$24/60*(Org!$B$10/Org!$B$11)+Params!$E$27/12*Params!$E$13*Org!$B$10+BC38/1000*Params!$E$28*Params!$E$29*(Org!$B$10/Org!$B$11),0)</f>
        <v>0</v>
      </c>
      <c r="BD47" s="44">
        <f>BD$5*IF(BD$4&gt;=Teams!$D$80,Params!$E$23*Params!$E$24/60*(Org!$B$10/Org!$B$11)+Params!$E$27/12*Params!$E$13*Org!$B$10+BD38/1000*Params!$E$28*Params!$E$29*(Org!$B$10/Org!$B$11),0)</f>
        <v>0</v>
      </c>
      <c r="BE47" s="44">
        <f>BE$5*IF(BE$4&gt;=Teams!$D$80,Params!$E$23*Params!$E$24/60*(Org!$B$10/Org!$B$11)+Params!$E$27/12*Params!$E$13*Org!$B$10+BE38/1000*Params!$E$28*Params!$E$29*(Org!$B$10/Org!$B$11),0)</f>
        <v>0</v>
      </c>
      <c r="BF47" s="44">
        <f>BF$5*IF(BF$4&gt;=Teams!$D$80,Params!$E$23*Params!$E$24/60*(Org!$B$10/Org!$B$11)+Params!$E$27/12*Params!$E$13*Org!$B$10+BF38/1000*Params!$E$28*Params!$E$29*(Org!$B$10/Org!$B$11),0)</f>
        <v>0</v>
      </c>
      <c r="BG47" s="44">
        <f>BG$5*IF(BG$4&gt;=Teams!$D$80,Params!$E$23*Params!$E$24/60*(Org!$B$10/Org!$B$11)+Params!$E$27/12*Params!$E$13*Org!$B$10+BG38/1000*Params!$E$28*Params!$E$29*(Org!$B$10/Org!$B$11),0)</f>
        <v>0</v>
      </c>
      <c r="BH47" s="44">
        <f>BH$5*IF(BH$4&gt;=Teams!$D$80,Params!$E$23*Params!$E$24/60*(Org!$B$10/Org!$B$11)+Params!$E$27/12*Params!$E$13*Org!$B$10+BH38/1000*Params!$E$28*Params!$E$29*(Org!$B$10/Org!$B$11),0)</f>
        <v>0</v>
      </c>
      <c r="BI47" s="44">
        <f>BI$5*IF(BI$4&gt;=Teams!$D$80,Params!$E$23*Params!$E$24/60*(Org!$B$10/Org!$B$11)+Params!$E$27/12*Params!$E$13*Org!$B$10+BI38/1000*Params!$E$28*Params!$E$29*(Org!$B$10/Org!$B$11),0)</f>
        <v>0</v>
      </c>
      <c r="BJ47" s="44">
        <f>BJ$5*IF(BJ$4&gt;=Teams!$D$80,Params!$E$23*Params!$E$24/60*(Org!$B$10/Org!$B$11)+Params!$E$27/12*Params!$E$13*Org!$B$10+BJ38/1000*Params!$E$28*Params!$E$29*(Org!$B$10/Org!$B$11),0)</f>
        <v>0</v>
      </c>
      <c r="BK47" s="44">
        <f>BK$5*IF(BK$4&gt;=Teams!$D$80,Params!$E$23*Params!$E$24/60*(Org!$B$10/Org!$B$11)+Params!$E$27/12*Params!$E$13*Org!$B$10+BK38/1000*Params!$E$28*Params!$E$29*(Org!$B$10/Org!$B$11),0)</f>
        <v>0</v>
      </c>
      <c r="BL47" s="44">
        <f>BL$5*IF(BL$4&gt;=Teams!$D$80,Params!$E$23*Params!$E$24/60*(Org!$B$10/Org!$B$11)+Params!$E$27/12*Params!$E$13*Org!$B$10+BL38/1000*Params!$E$28*Params!$E$29*(Org!$B$10/Org!$B$11),0)</f>
        <v>0</v>
      </c>
    </row>
    <row r="48" spans="1:64" x14ac:dyDescent="0.3">
      <c r="A48" s="8" t="s">
        <v>673</v>
      </c>
      <c r="B48" s="18" t="s">
        <v>604</v>
      </c>
      <c r="C48" s="44">
        <f t="shared" si="11"/>
        <v>12800</v>
      </c>
      <c r="E48" s="44">
        <f>E$5*IF(AND(E$4&gt;Teams!$D$80,MOD(E$4-Teams!$D$80,MAX(1,ROUND(Params!$E$25,0)))=0),(Params!$E$26+Params!$E$17*Params!$E$16)*Org!$B$10,0)</f>
        <v>0</v>
      </c>
      <c r="F48" s="44">
        <f>F$5*IF(AND(F$4&gt;Teams!$D$80,MOD(F$4-Teams!$D$80,MAX(1,ROUND(Params!$E$25,0)))=0),(Params!$E$26+Params!$E$17*Params!$E$16)*Org!$B$10,0)</f>
        <v>0</v>
      </c>
      <c r="G48" s="44">
        <f>G$5*IF(AND(G$4&gt;Teams!$D$80,MOD(G$4-Teams!$D$80,MAX(1,ROUND(Params!$E$25,0)))=0),(Params!$E$26+Params!$E$17*Params!$E$16)*Org!$B$10,0)</f>
        <v>0</v>
      </c>
      <c r="H48" s="44">
        <f>H$5*IF(AND(H$4&gt;Teams!$D$80,MOD(H$4-Teams!$D$80,MAX(1,ROUND(Params!$E$25,0)))=0),(Params!$E$26+Params!$E$17*Params!$E$16)*Org!$B$10,0)</f>
        <v>0</v>
      </c>
      <c r="I48" s="44">
        <f>I$5*IF(AND(I$4&gt;Teams!$D$80,MOD(I$4-Teams!$D$80,MAX(1,ROUND(Params!$E$25,0)))=0),(Params!$E$26+Params!$E$17*Params!$E$16)*Org!$B$10,0)</f>
        <v>0</v>
      </c>
      <c r="J48" s="44">
        <f>J$5*IF(AND(J$4&gt;Teams!$D$80,MOD(J$4-Teams!$D$80,MAX(1,ROUND(Params!$E$25,0)))=0),(Params!$E$26+Params!$E$17*Params!$E$16)*Org!$B$10,0)</f>
        <v>0</v>
      </c>
      <c r="K48" s="44">
        <f>K$5*IF(AND(K$4&gt;Teams!$D$80,MOD(K$4-Teams!$D$80,MAX(1,ROUND(Params!$E$25,0)))=0),(Params!$E$26+Params!$E$17*Params!$E$16)*Org!$B$10,0)</f>
        <v>0</v>
      </c>
      <c r="L48" s="44">
        <f>L$5*IF(AND(L$4&gt;Teams!$D$80,MOD(L$4-Teams!$D$80,MAX(1,ROUND(Params!$E$25,0)))=0),(Params!$E$26+Params!$E$17*Params!$E$16)*Org!$B$10,0)</f>
        <v>0</v>
      </c>
      <c r="M48" s="44">
        <f>M$5*IF(AND(M$4&gt;Teams!$D$80,MOD(M$4-Teams!$D$80,MAX(1,ROUND(Params!$E$25,0)))=0),(Params!$E$26+Params!$E$17*Params!$E$16)*Org!$B$10,0)</f>
        <v>0</v>
      </c>
      <c r="N48" s="44">
        <f>N$5*IF(AND(N$4&gt;Teams!$D$80,MOD(N$4-Teams!$D$80,MAX(1,ROUND(Params!$E$25,0)))=0),(Params!$E$26+Params!$E$17*Params!$E$16)*Org!$B$10,0)</f>
        <v>0</v>
      </c>
      <c r="O48" s="44">
        <f>O$5*IF(AND(O$4&gt;Teams!$D$80,MOD(O$4-Teams!$D$80,MAX(1,ROUND(Params!$E$25,0)))=0),(Params!$E$26+Params!$E$17*Params!$E$16)*Org!$B$10,0)</f>
        <v>0</v>
      </c>
      <c r="P48" s="44">
        <f>P$5*IF(AND(P$4&gt;Teams!$D$80,MOD(P$4-Teams!$D$80,MAX(1,ROUND(Params!$E$25,0)))=0),(Params!$E$26+Params!$E$17*Params!$E$16)*Org!$B$10,0)</f>
        <v>0</v>
      </c>
      <c r="Q48" s="44">
        <f>Q$5*IF(AND(Q$4&gt;Teams!$D$80,MOD(Q$4-Teams!$D$80,MAX(1,ROUND(Params!$E$25,0)))=0),(Params!$E$26+Params!$E$17*Params!$E$16)*Org!$B$10,0)</f>
        <v>0</v>
      </c>
      <c r="R48" s="44">
        <f>R$5*IF(AND(R$4&gt;Teams!$D$80,MOD(R$4-Teams!$D$80,MAX(1,ROUND(Params!$E$25,0)))=0),(Params!$E$26+Params!$E$17*Params!$E$16)*Org!$B$10,0)</f>
        <v>0</v>
      </c>
      <c r="S48" s="44">
        <f>S$5*IF(AND(S$4&gt;Teams!$D$80,MOD(S$4-Teams!$D$80,MAX(1,ROUND(Params!$E$25,0)))=0),(Params!$E$26+Params!$E$17*Params!$E$16)*Org!$B$10,0)</f>
        <v>0</v>
      </c>
      <c r="T48" s="44">
        <f>T$5*IF(AND(T$4&gt;Teams!$D$80,MOD(T$4-Teams!$D$80,MAX(1,ROUND(Params!$E$25,0)))=0),(Params!$E$26+Params!$E$17*Params!$E$16)*Org!$B$10,0)</f>
        <v>6400</v>
      </c>
      <c r="U48" s="44">
        <f>U$5*IF(AND(U$4&gt;Teams!$D$80,MOD(U$4-Teams!$D$80,MAX(1,ROUND(Params!$E$25,0)))=0),(Params!$E$26+Params!$E$17*Params!$E$16)*Org!$B$10,0)</f>
        <v>0</v>
      </c>
      <c r="V48" s="44">
        <f>V$5*IF(AND(V$4&gt;Teams!$D$80,MOD(V$4-Teams!$D$80,MAX(1,ROUND(Params!$E$25,0)))=0),(Params!$E$26+Params!$E$17*Params!$E$16)*Org!$B$10,0)</f>
        <v>0</v>
      </c>
      <c r="W48" s="44">
        <f>W$5*IF(AND(W$4&gt;Teams!$D$80,MOD(W$4-Teams!$D$80,MAX(1,ROUND(Params!$E$25,0)))=0),(Params!$E$26+Params!$E$17*Params!$E$16)*Org!$B$10,0)</f>
        <v>0</v>
      </c>
      <c r="X48" s="44">
        <f>X$5*IF(AND(X$4&gt;Teams!$D$80,MOD(X$4-Teams!$D$80,MAX(1,ROUND(Params!$E$25,0)))=0),(Params!$E$26+Params!$E$17*Params!$E$16)*Org!$B$10,0)</f>
        <v>0</v>
      </c>
      <c r="Y48" s="44">
        <f>Y$5*IF(AND(Y$4&gt;Teams!$D$80,MOD(Y$4-Teams!$D$80,MAX(1,ROUND(Params!$E$25,0)))=0),(Params!$E$26+Params!$E$17*Params!$E$16)*Org!$B$10,0)</f>
        <v>0</v>
      </c>
      <c r="Z48" s="44">
        <f>Z$5*IF(AND(Z$4&gt;Teams!$D$80,MOD(Z$4-Teams!$D$80,MAX(1,ROUND(Params!$E$25,0)))=0),(Params!$E$26+Params!$E$17*Params!$E$16)*Org!$B$10,0)</f>
        <v>0</v>
      </c>
      <c r="AA48" s="44">
        <f>AA$5*IF(AND(AA$4&gt;Teams!$D$80,MOD(AA$4-Teams!$D$80,MAX(1,ROUND(Params!$E$25,0)))=0),(Params!$E$26+Params!$E$17*Params!$E$16)*Org!$B$10,0)</f>
        <v>0</v>
      </c>
      <c r="AB48" s="44">
        <f>AB$5*IF(AND(AB$4&gt;Teams!$D$80,MOD(AB$4-Teams!$D$80,MAX(1,ROUND(Params!$E$25,0)))=0),(Params!$E$26+Params!$E$17*Params!$E$16)*Org!$B$10,0)</f>
        <v>0</v>
      </c>
      <c r="AC48" s="44">
        <f>AC$5*IF(AND(AC$4&gt;Teams!$D$80,MOD(AC$4-Teams!$D$80,MAX(1,ROUND(Params!$E$25,0)))=0),(Params!$E$26+Params!$E$17*Params!$E$16)*Org!$B$10,0)</f>
        <v>0</v>
      </c>
      <c r="AD48" s="44">
        <f>AD$5*IF(AND(AD$4&gt;Teams!$D$80,MOD(AD$4-Teams!$D$80,MAX(1,ROUND(Params!$E$25,0)))=0),(Params!$E$26+Params!$E$17*Params!$E$16)*Org!$B$10,0)</f>
        <v>0</v>
      </c>
      <c r="AE48" s="44">
        <f>AE$5*IF(AND(AE$4&gt;Teams!$D$80,MOD(AE$4-Teams!$D$80,MAX(1,ROUND(Params!$E$25,0)))=0),(Params!$E$26+Params!$E$17*Params!$E$16)*Org!$B$10,0)</f>
        <v>0</v>
      </c>
      <c r="AF48" s="44">
        <f>AF$5*IF(AND(AF$4&gt;Teams!$D$80,MOD(AF$4-Teams!$D$80,MAX(1,ROUND(Params!$E$25,0)))=0),(Params!$E$26+Params!$E$17*Params!$E$16)*Org!$B$10,0)</f>
        <v>0</v>
      </c>
      <c r="AG48" s="44">
        <f>AG$5*IF(AND(AG$4&gt;Teams!$D$80,MOD(AG$4-Teams!$D$80,MAX(1,ROUND(Params!$E$25,0)))=0),(Params!$E$26+Params!$E$17*Params!$E$16)*Org!$B$10,0)</f>
        <v>0</v>
      </c>
      <c r="AH48" s="44">
        <f>AH$5*IF(AND(AH$4&gt;Teams!$D$80,MOD(AH$4-Teams!$D$80,MAX(1,ROUND(Params!$E$25,0)))=0),(Params!$E$26+Params!$E$17*Params!$E$16)*Org!$B$10,0)</f>
        <v>0</v>
      </c>
      <c r="AI48" s="44">
        <f>AI$5*IF(AND(AI$4&gt;Teams!$D$80,MOD(AI$4-Teams!$D$80,MAX(1,ROUND(Params!$E$25,0)))=0),(Params!$E$26+Params!$E$17*Params!$E$16)*Org!$B$10,0)</f>
        <v>6400</v>
      </c>
      <c r="AJ48" s="44">
        <f>AJ$5*IF(AND(AJ$4&gt;Teams!$D$80,MOD(AJ$4-Teams!$D$80,MAX(1,ROUND(Params!$E$25,0)))=0),(Params!$E$26+Params!$E$17*Params!$E$16)*Org!$B$10,0)</f>
        <v>0</v>
      </c>
      <c r="AK48" s="44">
        <f>AK$5*IF(AND(AK$4&gt;Teams!$D$80,MOD(AK$4-Teams!$D$80,MAX(1,ROUND(Params!$E$25,0)))=0),(Params!$E$26+Params!$E$17*Params!$E$16)*Org!$B$10,0)</f>
        <v>0</v>
      </c>
      <c r="AL48" s="44">
        <f>AL$5*IF(AND(AL$4&gt;Teams!$D$80,MOD(AL$4-Teams!$D$80,MAX(1,ROUND(Params!$E$25,0)))=0),(Params!$E$26+Params!$E$17*Params!$E$16)*Org!$B$10,0)</f>
        <v>0</v>
      </c>
      <c r="AM48" s="44">
        <f>AM$5*IF(AND(AM$4&gt;Teams!$D$80,MOD(AM$4-Teams!$D$80,MAX(1,ROUND(Params!$E$25,0)))=0),(Params!$E$26+Params!$E$17*Params!$E$16)*Org!$B$10,0)</f>
        <v>0</v>
      </c>
      <c r="AN48" s="44">
        <f>AN$5*IF(AND(AN$4&gt;Teams!$D$80,MOD(AN$4-Teams!$D$80,MAX(1,ROUND(Params!$E$25,0)))=0),(Params!$E$26+Params!$E$17*Params!$E$16)*Org!$B$10,0)</f>
        <v>0</v>
      </c>
      <c r="AO48" s="44">
        <f>AO$5*IF(AND(AO$4&gt;Teams!$D$80,MOD(AO$4-Teams!$D$80,MAX(1,ROUND(Params!$E$25,0)))=0),(Params!$E$26+Params!$E$17*Params!$E$16)*Org!$B$10,0)</f>
        <v>0</v>
      </c>
      <c r="AP48" s="44">
        <f>AP$5*IF(AND(AP$4&gt;Teams!$D$80,MOD(AP$4-Teams!$D$80,MAX(1,ROUND(Params!$E$25,0)))=0),(Params!$E$26+Params!$E$17*Params!$E$16)*Org!$B$10,0)</f>
        <v>0</v>
      </c>
      <c r="AQ48" s="44">
        <f>AQ$5*IF(AND(AQ$4&gt;Teams!$D$80,MOD(AQ$4-Teams!$D$80,MAX(1,ROUND(Params!$E$25,0)))=0),(Params!$E$26+Params!$E$17*Params!$E$16)*Org!$B$10,0)</f>
        <v>0</v>
      </c>
      <c r="AR48" s="44">
        <f>AR$5*IF(AND(AR$4&gt;Teams!$D$80,MOD(AR$4-Teams!$D$80,MAX(1,ROUND(Params!$E$25,0)))=0),(Params!$E$26+Params!$E$17*Params!$E$16)*Org!$B$10,0)</f>
        <v>0</v>
      </c>
      <c r="AS48" s="44">
        <f>AS$5*IF(AND(AS$4&gt;Teams!$D$80,MOD(AS$4-Teams!$D$80,MAX(1,ROUND(Params!$E$25,0)))=0),(Params!$E$26+Params!$E$17*Params!$E$16)*Org!$B$10,0)</f>
        <v>0</v>
      </c>
      <c r="AT48" s="44">
        <f>AT$5*IF(AND(AT$4&gt;Teams!$D$80,MOD(AT$4-Teams!$D$80,MAX(1,ROUND(Params!$E$25,0)))=0),(Params!$E$26+Params!$E$17*Params!$E$16)*Org!$B$10,0)</f>
        <v>0</v>
      </c>
      <c r="AU48" s="44">
        <f>AU$5*IF(AND(AU$4&gt;Teams!$D$80,MOD(AU$4-Teams!$D$80,MAX(1,ROUND(Params!$E$25,0)))=0),(Params!$E$26+Params!$E$17*Params!$E$16)*Org!$B$10,0)</f>
        <v>0</v>
      </c>
      <c r="AV48" s="44">
        <f>AV$5*IF(AND(AV$4&gt;Teams!$D$80,MOD(AV$4-Teams!$D$80,MAX(1,ROUND(Params!$E$25,0)))=0),(Params!$E$26+Params!$E$17*Params!$E$16)*Org!$B$10,0)</f>
        <v>0</v>
      </c>
      <c r="AW48" s="44">
        <f>AW$5*IF(AND(AW$4&gt;Teams!$D$80,MOD(AW$4-Teams!$D$80,MAX(1,ROUND(Params!$E$25,0)))=0),(Params!$E$26+Params!$E$17*Params!$E$16)*Org!$B$10,0)</f>
        <v>0</v>
      </c>
      <c r="AX48" s="44">
        <f>AX$5*IF(AND(AX$4&gt;Teams!$D$80,MOD(AX$4-Teams!$D$80,MAX(1,ROUND(Params!$E$25,0)))=0),(Params!$E$26+Params!$E$17*Params!$E$16)*Org!$B$10,0)</f>
        <v>0</v>
      </c>
      <c r="AY48" s="44">
        <f>AY$5*IF(AND(AY$4&gt;Teams!$D$80,MOD(AY$4-Teams!$D$80,MAX(1,ROUND(Params!$E$25,0)))=0),(Params!$E$26+Params!$E$17*Params!$E$16)*Org!$B$10,0)</f>
        <v>0</v>
      </c>
      <c r="AZ48" s="44">
        <f>AZ$5*IF(AND(AZ$4&gt;Teams!$D$80,MOD(AZ$4-Teams!$D$80,MAX(1,ROUND(Params!$E$25,0)))=0),(Params!$E$26+Params!$E$17*Params!$E$16)*Org!$B$10,0)</f>
        <v>0</v>
      </c>
      <c r="BA48" s="44">
        <f>BA$5*IF(AND(BA$4&gt;Teams!$D$80,MOD(BA$4-Teams!$D$80,MAX(1,ROUND(Params!$E$25,0)))=0),(Params!$E$26+Params!$E$17*Params!$E$16)*Org!$B$10,0)</f>
        <v>0</v>
      </c>
      <c r="BB48" s="44">
        <f>BB$5*IF(AND(BB$4&gt;Teams!$D$80,MOD(BB$4-Teams!$D$80,MAX(1,ROUND(Params!$E$25,0)))=0),(Params!$E$26+Params!$E$17*Params!$E$16)*Org!$B$10,0)</f>
        <v>0</v>
      </c>
      <c r="BC48" s="44">
        <f>BC$5*IF(AND(BC$4&gt;Teams!$D$80,MOD(BC$4-Teams!$D$80,MAX(1,ROUND(Params!$E$25,0)))=0),(Params!$E$26+Params!$E$17*Params!$E$16)*Org!$B$10,0)</f>
        <v>0</v>
      </c>
      <c r="BD48" s="44">
        <f>BD$5*IF(AND(BD$4&gt;Teams!$D$80,MOD(BD$4-Teams!$D$80,MAX(1,ROUND(Params!$E$25,0)))=0),(Params!$E$26+Params!$E$17*Params!$E$16)*Org!$B$10,0)</f>
        <v>0</v>
      </c>
      <c r="BE48" s="44">
        <f>BE$5*IF(AND(BE$4&gt;Teams!$D$80,MOD(BE$4-Teams!$D$80,MAX(1,ROUND(Params!$E$25,0)))=0),(Params!$E$26+Params!$E$17*Params!$E$16)*Org!$B$10,0)</f>
        <v>0</v>
      </c>
      <c r="BF48" s="44">
        <f>BF$5*IF(AND(BF$4&gt;Teams!$D$80,MOD(BF$4-Teams!$D$80,MAX(1,ROUND(Params!$E$25,0)))=0),(Params!$E$26+Params!$E$17*Params!$E$16)*Org!$B$10,0)</f>
        <v>0</v>
      </c>
      <c r="BG48" s="44">
        <f>BG$5*IF(AND(BG$4&gt;Teams!$D$80,MOD(BG$4-Teams!$D$80,MAX(1,ROUND(Params!$E$25,0)))=0),(Params!$E$26+Params!$E$17*Params!$E$16)*Org!$B$10,0)</f>
        <v>0</v>
      </c>
      <c r="BH48" s="44">
        <f>BH$5*IF(AND(BH$4&gt;Teams!$D$80,MOD(BH$4-Teams!$D$80,MAX(1,ROUND(Params!$E$25,0)))=0),(Params!$E$26+Params!$E$17*Params!$E$16)*Org!$B$10,0)</f>
        <v>0</v>
      </c>
      <c r="BI48" s="44">
        <f>BI$5*IF(AND(BI$4&gt;Teams!$D$80,MOD(BI$4-Teams!$D$80,MAX(1,ROUND(Params!$E$25,0)))=0),(Params!$E$26+Params!$E$17*Params!$E$16)*Org!$B$10,0)</f>
        <v>0</v>
      </c>
      <c r="BJ48" s="44">
        <f>BJ$5*IF(AND(BJ$4&gt;Teams!$D$80,MOD(BJ$4-Teams!$D$80,MAX(1,ROUND(Params!$E$25,0)))=0),(Params!$E$26+Params!$E$17*Params!$E$16)*Org!$B$10,0)</f>
        <v>0</v>
      </c>
      <c r="BK48" s="44">
        <f>BK$5*IF(AND(BK$4&gt;Teams!$D$80,MOD(BK$4-Teams!$D$80,MAX(1,ROUND(Params!$E$25,0)))=0),(Params!$E$26+Params!$E$17*Params!$E$16)*Org!$B$10,0)</f>
        <v>0</v>
      </c>
      <c r="BL48" s="44">
        <f>BL$5*IF(AND(BL$4&gt;Teams!$D$80,MOD(BL$4-Teams!$D$80,MAX(1,ROUND(Params!$E$25,0)))=0),(Params!$E$26+Params!$E$17*Params!$E$16)*Org!$B$10,0)</f>
        <v>0</v>
      </c>
    </row>
    <row r="49" spans="1:64" x14ac:dyDescent="0.3">
      <c r="A49" s="8" t="s">
        <v>674</v>
      </c>
      <c r="B49" s="18" t="s">
        <v>604</v>
      </c>
      <c r="C49" s="44">
        <f t="shared" si="11"/>
        <v>2070662.399999999</v>
      </c>
      <c r="E49" s="44">
        <f>E$5*E39*MIN(1,Teams!$D$41*Params!$E$35)*Params!$E$36/60*Teams!$D$42</f>
        <v>15004.8</v>
      </c>
      <c r="F49" s="44">
        <f>F$5*F39*MIN(1,Teams!$D$41*Params!$E$35)*Params!$E$36/60*Teams!$D$42</f>
        <v>30009.599999999999</v>
      </c>
      <c r="G49" s="44">
        <f>G$5*G39*MIN(1,Teams!$D$41*Params!$E$35)*Params!$E$36/60*Teams!$D$42</f>
        <v>45014.400000000001</v>
      </c>
      <c r="H49" s="44">
        <f>H$5*H39*MIN(1,Teams!$D$41*Params!$E$35)*Params!$E$36/60*Teams!$D$42</f>
        <v>60019.199999999997</v>
      </c>
      <c r="I49" s="44">
        <f>I$5*I39*MIN(1,Teams!$D$41*Params!$E$35)*Params!$E$36/60*Teams!$D$42</f>
        <v>60019.199999999997</v>
      </c>
      <c r="J49" s="44">
        <f>J$5*J39*MIN(1,Teams!$D$41*Params!$E$35)*Params!$E$36/60*Teams!$D$42</f>
        <v>60019.199999999997</v>
      </c>
      <c r="K49" s="44">
        <f>K$5*K39*MIN(1,Teams!$D$41*Params!$E$35)*Params!$E$36/60*Teams!$D$42</f>
        <v>60019.199999999997</v>
      </c>
      <c r="L49" s="44">
        <f>L$5*L39*MIN(1,Teams!$D$41*Params!$E$35)*Params!$E$36/60*Teams!$D$42</f>
        <v>60019.199999999997</v>
      </c>
      <c r="M49" s="44">
        <f>M$5*M39*MIN(1,Teams!$D$41*Params!$E$35)*Params!$E$36/60*Teams!$D$42</f>
        <v>60019.199999999997</v>
      </c>
      <c r="N49" s="44">
        <f>N$5*N39*MIN(1,Teams!$D$41*Params!$E$35)*Params!$E$36/60*Teams!$D$42</f>
        <v>60019.199999999997</v>
      </c>
      <c r="O49" s="44">
        <f>O$5*O39*MIN(1,Teams!$D$41*Params!$E$35)*Params!$E$36/60*Teams!$D$42</f>
        <v>60019.199999999997</v>
      </c>
      <c r="P49" s="44">
        <f>P$5*P39*MIN(1,Teams!$D$41*Params!$E$35)*Params!$E$36/60*Teams!$D$42</f>
        <v>60019.199999999997</v>
      </c>
      <c r="Q49" s="44">
        <f>Q$5*Q39*MIN(1,Teams!$D$41*Params!$E$35)*Params!$E$36/60*Teams!$D$42</f>
        <v>60019.199999999997</v>
      </c>
      <c r="R49" s="44">
        <f>R$5*R39*MIN(1,Teams!$D$41*Params!$E$35)*Params!$E$36/60*Teams!$D$42</f>
        <v>60019.199999999997</v>
      </c>
      <c r="S49" s="44">
        <f>S$5*S39*MIN(1,Teams!$D$41*Params!$E$35)*Params!$E$36/60*Teams!$D$42</f>
        <v>60019.199999999997</v>
      </c>
      <c r="T49" s="44">
        <f>T$5*T39*MIN(1,Teams!$D$41*Params!$E$35)*Params!$E$36/60*Teams!$D$42</f>
        <v>60019.199999999997</v>
      </c>
      <c r="U49" s="44">
        <f>U$5*U39*MIN(1,Teams!$D$41*Params!$E$35)*Params!$E$36/60*Teams!$D$42</f>
        <v>60019.199999999997</v>
      </c>
      <c r="V49" s="44">
        <f>V$5*V39*MIN(1,Teams!$D$41*Params!$E$35)*Params!$E$36/60*Teams!$D$42</f>
        <v>60019.199999999997</v>
      </c>
      <c r="W49" s="44">
        <f>W$5*W39*MIN(1,Teams!$D$41*Params!$E$35)*Params!$E$36/60*Teams!$D$42</f>
        <v>60019.199999999997</v>
      </c>
      <c r="X49" s="44">
        <f>X$5*X39*MIN(1,Teams!$D$41*Params!$E$35)*Params!$E$36/60*Teams!$D$42</f>
        <v>60019.199999999997</v>
      </c>
      <c r="Y49" s="44">
        <f>Y$5*Y39*MIN(1,Teams!$D$41*Params!$E$35)*Params!$E$36/60*Teams!$D$42</f>
        <v>60019.199999999997</v>
      </c>
      <c r="Z49" s="44">
        <f>Z$5*Z39*MIN(1,Teams!$D$41*Params!$E$35)*Params!$E$36/60*Teams!$D$42</f>
        <v>60019.199999999997</v>
      </c>
      <c r="AA49" s="44">
        <f>AA$5*AA39*MIN(1,Teams!$D$41*Params!$E$35)*Params!$E$36/60*Teams!$D$42</f>
        <v>60019.199999999997</v>
      </c>
      <c r="AB49" s="44">
        <f>AB$5*AB39*MIN(1,Teams!$D$41*Params!$E$35)*Params!$E$36/60*Teams!$D$42</f>
        <v>60019.199999999997</v>
      </c>
      <c r="AC49" s="44">
        <f>AC$5*AC39*MIN(1,Teams!$D$41*Params!$E$35)*Params!$E$36/60*Teams!$D$42</f>
        <v>60019.199999999997</v>
      </c>
      <c r="AD49" s="44">
        <f>AD$5*AD39*MIN(1,Teams!$D$41*Params!$E$35)*Params!$E$36/60*Teams!$D$42</f>
        <v>60019.199999999997</v>
      </c>
      <c r="AE49" s="44">
        <f>AE$5*AE39*MIN(1,Teams!$D$41*Params!$E$35)*Params!$E$36/60*Teams!$D$42</f>
        <v>60019.199999999997</v>
      </c>
      <c r="AF49" s="44">
        <f>AF$5*AF39*MIN(1,Teams!$D$41*Params!$E$35)*Params!$E$36/60*Teams!$D$42</f>
        <v>60019.199999999997</v>
      </c>
      <c r="AG49" s="44">
        <f>AG$5*AG39*MIN(1,Teams!$D$41*Params!$E$35)*Params!$E$36/60*Teams!$D$42</f>
        <v>60019.199999999997</v>
      </c>
      <c r="AH49" s="44">
        <f>AH$5*AH39*MIN(1,Teams!$D$41*Params!$E$35)*Params!$E$36/60*Teams!$D$42</f>
        <v>60019.199999999997</v>
      </c>
      <c r="AI49" s="44">
        <f>AI$5*AI39*MIN(1,Teams!$D$41*Params!$E$35)*Params!$E$36/60*Teams!$D$42</f>
        <v>60019.199999999997</v>
      </c>
      <c r="AJ49" s="44">
        <f>AJ$5*AJ39*MIN(1,Teams!$D$41*Params!$E$35)*Params!$E$36/60*Teams!$D$42</f>
        <v>60019.199999999997</v>
      </c>
      <c r="AK49" s="44">
        <f>AK$5*AK39*MIN(1,Teams!$D$41*Params!$E$35)*Params!$E$36/60*Teams!$D$42</f>
        <v>60019.199999999997</v>
      </c>
      <c r="AL49" s="44">
        <f>AL$5*AL39*MIN(1,Teams!$D$41*Params!$E$35)*Params!$E$36/60*Teams!$D$42</f>
        <v>60019.199999999997</v>
      </c>
      <c r="AM49" s="44">
        <f>AM$5*AM39*MIN(1,Teams!$D$41*Params!$E$35)*Params!$E$36/60*Teams!$D$42</f>
        <v>60019.199999999997</v>
      </c>
      <c r="AN49" s="44">
        <f>AN$5*AN39*MIN(1,Teams!$D$41*Params!$E$35)*Params!$E$36/60*Teams!$D$42</f>
        <v>60019.199999999997</v>
      </c>
      <c r="AO49" s="44">
        <f>AO$5*AO39*MIN(1,Teams!$D$41*Params!$E$35)*Params!$E$36/60*Teams!$D$42</f>
        <v>0</v>
      </c>
      <c r="AP49" s="44">
        <f>AP$5*AP39*MIN(1,Teams!$D$41*Params!$E$35)*Params!$E$36/60*Teams!$D$42</f>
        <v>0</v>
      </c>
      <c r="AQ49" s="44">
        <f>AQ$5*AQ39*MIN(1,Teams!$D$41*Params!$E$35)*Params!$E$36/60*Teams!$D$42</f>
        <v>0</v>
      </c>
      <c r="AR49" s="44">
        <f>AR$5*AR39*MIN(1,Teams!$D$41*Params!$E$35)*Params!$E$36/60*Teams!$D$42</f>
        <v>0</v>
      </c>
      <c r="AS49" s="44">
        <f>AS$5*AS39*MIN(1,Teams!$D$41*Params!$E$35)*Params!$E$36/60*Teams!$D$42</f>
        <v>0</v>
      </c>
      <c r="AT49" s="44">
        <f>AT$5*AT39*MIN(1,Teams!$D$41*Params!$E$35)*Params!$E$36/60*Teams!$D$42</f>
        <v>0</v>
      </c>
      <c r="AU49" s="44">
        <f>AU$5*AU39*MIN(1,Teams!$D$41*Params!$E$35)*Params!$E$36/60*Teams!$D$42</f>
        <v>0</v>
      </c>
      <c r="AV49" s="44">
        <f>AV$5*AV39*MIN(1,Teams!$D$41*Params!$E$35)*Params!$E$36/60*Teams!$D$42</f>
        <v>0</v>
      </c>
      <c r="AW49" s="44">
        <f>AW$5*AW39*MIN(1,Teams!$D$41*Params!$E$35)*Params!$E$36/60*Teams!$D$42</f>
        <v>0</v>
      </c>
      <c r="AX49" s="44">
        <f>AX$5*AX39*MIN(1,Teams!$D$41*Params!$E$35)*Params!$E$36/60*Teams!$D$42</f>
        <v>0</v>
      </c>
      <c r="AY49" s="44">
        <f>AY$5*AY39*MIN(1,Teams!$D$41*Params!$E$35)*Params!$E$36/60*Teams!$D$42</f>
        <v>0</v>
      </c>
      <c r="AZ49" s="44">
        <f>AZ$5*AZ39*MIN(1,Teams!$D$41*Params!$E$35)*Params!$E$36/60*Teams!$D$42</f>
        <v>0</v>
      </c>
      <c r="BA49" s="44">
        <f>BA$5*BA39*MIN(1,Teams!$D$41*Params!$E$35)*Params!$E$36/60*Teams!$D$42</f>
        <v>0</v>
      </c>
      <c r="BB49" s="44">
        <f>BB$5*BB39*MIN(1,Teams!$D$41*Params!$E$35)*Params!$E$36/60*Teams!$D$42</f>
        <v>0</v>
      </c>
      <c r="BC49" s="44">
        <f>BC$5*BC39*MIN(1,Teams!$D$41*Params!$E$35)*Params!$E$36/60*Teams!$D$42</f>
        <v>0</v>
      </c>
      <c r="BD49" s="44">
        <f>BD$5*BD39*MIN(1,Teams!$D$41*Params!$E$35)*Params!$E$36/60*Teams!$D$42</f>
        <v>0</v>
      </c>
      <c r="BE49" s="44">
        <f>BE$5*BE39*MIN(1,Teams!$D$41*Params!$E$35)*Params!$E$36/60*Teams!$D$42</f>
        <v>0</v>
      </c>
      <c r="BF49" s="44">
        <f>BF$5*BF39*MIN(1,Teams!$D$41*Params!$E$35)*Params!$E$36/60*Teams!$D$42</f>
        <v>0</v>
      </c>
      <c r="BG49" s="44">
        <f>BG$5*BG39*MIN(1,Teams!$D$41*Params!$E$35)*Params!$E$36/60*Teams!$D$42</f>
        <v>0</v>
      </c>
      <c r="BH49" s="44">
        <f>BH$5*BH39*MIN(1,Teams!$D$41*Params!$E$35)*Params!$E$36/60*Teams!$D$42</f>
        <v>0</v>
      </c>
      <c r="BI49" s="44">
        <f>BI$5*BI39*MIN(1,Teams!$D$41*Params!$E$35)*Params!$E$36/60*Teams!$D$42</f>
        <v>0</v>
      </c>
      <c r="BJ49" s="44">
        <f>BJ$5*BJ39*MIN(1,Teams!$D$41*Params!$E$35)*Params!$E$36/60*Teams!$D$42</f>
        <v>0</v>
      </c>
      <c r="BK49" s="44">
        <f>BK$5*BK39*MIN(1,Teams!$D$41*Params!$E$35)*Params!$E$36/60*Teams!$D$42</f>
        <v>0</v>
      </c>
      <c r="BL49" s="44">
        <f>BL$5*BL39*MIN(1,Teams!$D$41*Params!$E$35)*Params!$E$36/60*Teams!$D$42</f>
        <v>0</v>
      </c>
    </row>
    <row r="50" spans="1:64" x14ac:dyDescent="0.3">
      <c r="A50" s="8" t="s">
        <v>675</v>
      </c>
      <c r="B50" s="18" t="s">
        <v>169</v>
      </c>
      <c r="C50" s="44">
        <f t="shared" si="11"/>
        <v>35200.000000000022</v>
      </c>
      <c r="E50" s="44">
        <f>E$5*IF(E$4&gt;=Teams!$D$80,E37/1000*IF(E$4-Teams!$D$80&lt;6,Params!$E$37,Params!$E$38)*Org!$B$10*Org!$B$12/12,0)</f>
        <v>2933.3333333333335</v>
      </c>
      <c r="F50" s="44">
        <f>F$5*IF(F$4&gt;=Teams!$D$80,F37/1000*IF(F$4-Teams!$D$80&lt;6,Params!$E$37,Params!$E$38)*Org!$B$10*Org!$B$12/12,0)</f>
        <v>2933.3333333333335</v>
      </c>
      <c r="G50" s="44">
        <f>G$5*IF(G$4&gt;=Teams!$D$80,G37/1000*IF(G$4-Teams!$D$80&lt;6,Params!$E$37,Params!$E$38)*Org!$B$10*Org!$B$12/12,0)</f>
        <v>2933.3333333333335</v>
      </c>
      <c r="H50" s="44">
        <f>H$5*IF(H$4&gt;=Teams!$D$80,H37/1000*IF(H$4-Teams!$D$80&lt;6,Params!$E$37,Params!$E$38)*Org!$B$10*Org!$B$12/12,0)</f>
        <v>2933.3333333333335</v>
      </c>
      <c r="I50" s="44">
        <f>I$5*IF(I$4&gt;=Teams!$D$80,I37/1000*IF(I$4-Teams!$D$80&lt;6,Params!$E$37,Params!$E$38)*Org!$B$10*Org!$B$12/12,0)</f>
        <v>2933.3333333333335</v>
      </c>
      <c r="J50" s="44">
        <f>J$5*IF(J$4&gt;=Teams!$D$80,J37/1000*IF(J$4-Teams!$D$80&lt;6,Params!$E$37,Params!$E$38)*Org!$B$10*Org!$B$12/12,0)</f>
        <v>2933.3333333333335</v>
      </c>
      <c r="K50" s="44">
        <f>K$5*IF(K$4&gt;=Teams!$D$80,K37/1000*IF(K$4-Teams!$D$80&lt;6,Params!$E$37,Params!$E$38)*Org!$B$10*Org!$B$12/12,0)</f>
        <v>586.66666666666686</v>
      </c>
      <c r="L50" s="44">
        <f>L$5*IF(L$4&gt;=Teams!$D$80,L37/1000*IF(L$4-Teams!$D$80&lt;6,Params!$E$37,Params!$E$38)*Org!$B$10*Org!$B$12/12,0)</f>
        <v>586.66666666666686</v>
      </c>
      <c r="M50" s="44">
        <f>M$5*IF(M$4&gt;=Teams!$D$80,M37/1000*IF(M$4-Teams!$D$80&lt;6,Params!$E$37,Params!$E$38)*Org!$B$10*Org!$B$12/12,0)</f>
        <v>586.66666666666686</v>
      </c>
      <c r="N50" s="44">
        <f>N$5*IF(N$4&gt;=Teams!$D$80,N37/1000*IF(N$4-Teams!$D$80&lt;6,Params!$E$37,Params!$E$38)*Org!$B$10*Org!$B$12/12,0)</f>
        <v>586.66666666666686</v>
      </c>
      <c r="O50" s="44">
        <f>O$5*IF(O$4&gt;=Teams!$D$80,O37/1000*IF(O$4-Teams!$D$80&lt;6,Params!$E$37,Params!$E$38)*Org!$B$10*Org!$B$12/12,0)</f>
        <v>586.66666666666686</v>
      </c>
      <c r="P50" s="44">
        <f>P$5*IF(P$4&gt;=Teams!$D$80,P37/1000*IF(P$4-Teams!$D$80&lt;6,Params!$E$37,Params!$E$38)*Org!$B$10*Org!$B$12/12,0)</f>
        <v>586.66666666666686</v>
      </c>
      <c r="Q50" s="44">
        <f>Q$5*IF(Q$4&gt;=Teams!$D$80,Q37/1000*IF(Q$4-Teams!$D$80&lt;6,Params!$E$37,Params!$E$38)*Org!$B$10*Org!$B$12/12,0)</f>
        <v>586.66666666666686</v>
      </c>
      <c r="R50" s="44">
        <f>R$5*IF(R$4&gt;=Teams!$D$80,R37/1000*IF(R$4-Teams!$D$80&lt;6,Params!$E$37,Params!$E$38)*Org!$B$10*Org!$B$12/12,0)</f>
        <v>586.66666666666686</v>
      </c>
      <c r="S50" s="44">
        <f>S$5*IF(S$4&gt;=Teams!$D$80,S37/1000*IF(S$4-Teams!$D$80&lt;6,Params!$E$37,Params!$E$38)*Org!$B$10*Org!$B$12/12,0)</f>
        <v>586.66666666666686</v>
      </c>
      <c r="T50" s="44">
        <f>T$5*IF(T$4&gt;=Teams!$D$80,T37/1000*IF(T$4-Teams!$D$80&lt;6,Params!$E$37,Params!$E$38)*Org!$B$10*Org!$B$12/12,0)</f>
        <v>586.66666666666686</v>
      </c>
      <c r="U50" s="44">
        <f>U$5*IF(U$4&gt;=Teams!$D$80,U37/1000*IF(U$4-Teams!$D$80&lt;6,Params!$E$37,Params!$E$38)*Org!$B$10*Org!$B$12/12,0)</f>
        <v>586.66666666666686</v>
      </c>
      <c r="V50" s="44">
        <f>V$5*IF(V$4&gt;=Teams!$D$80,V37/1000*IF(V$4-Teams!$D$80&lt;6,Params!$E$37,Params!$E$38)*Org!$B$10*Org!$B$12/12,0)</f>
        <v>586.66666666666686</v>
      </c>
      <c r="W50" s="44">
        <f>W$5*IF(W$4&gt;=Teams!$D$80,W37/1000*IF(W$4-Teams!$D$80&lt;6,Params!$E$37,Params!$E$38)*Org!$B$10*Org!$B$12/12,0)</f>
        <v>586.66666666666686</v>
      </c>
      <c r="X50" s="44">
        <f>X$5*IF(X$4&gt;=Teams!$D$80,X37/1000*IF(X$4-Teams!$D$80&lt;6,Params!$E$37,Params!$E$38)*Org!$B$10*Org!$B$12/12,0)</f>
        <v>586.66666666666686</v>
      </c>
      <c r="Y50" s="44">
        <f>Y$5*IF(Y$4&gt;=Teams!$D$80,Y37/1000*IF(Y$4-Teams!$D$80&lt;6,Params!$E$37,Params!$E$38)*Org!$B$10*Org!$B$12/12,0)</f>
        <v>586.66666666666686</v>
      </c>
      <c r="Z50" s="44">
        <f>Z$5*IF(Z$4&gt;=Teams!$D$80,Z37/1000*IF(Z$4-Teams!$D$80&lt;6,Params!$E$37,Params!$E$38)*Org!$B$10*Org!$B$12/12,0)</f>
        <v>586.66666666666686</v>
      </c>
      <c r="AA50" s="44">
        <f>AA$5*IF(AA$4&gt;=Teams!$D$80,AA37/1000*IF(AA$4-Teams!$D$80&lt;6,Params!$E$37,Params!$E$38)*Org!$B$10*Org!$B$12/12,0)</f>
        <v>586.66666666666686</v>
      </c>
      <c r="AB50" s="44">
        <f>AB$5*IF(AB$4&gt;=Teams!$D$80,AB37/1000*IF(AB$4-Teams!$D$80&lt;6,Params!$E$37,Params!$E$38)*Org!$B$10*Org!$B$12/12,0)</f>
        <v>586.66666666666686</v>
      </c>
      <c r="AC50" s="44">
        <f>AC$5*IF(AC$4&gt;=Teams!$D$80,AC37/1000*IF(AC$4-Teams!$D$80&lt;6,Params!$E$37,Params!$E$38)*Org!$B$10*Org!$B$12/12,0)</f>
        <v>586.66666666666686</v>
      </c>
      <c r="AD50" s="44">
        <f>AD$5*IF(AD$4&gt;=Teams!$D$80,AD37/1000*IF(AD$4-Teams!$D$80&lt;6,Params!$E$37,Params!$E$38)*Org!$B$10*Org!$B$12/12,0)</f>
        <v>586.66666666666686</v>
      </c>
      <c r="AE50" s="44">
        <f>AE$5*IF(AE$4&gt;=Teams!$D$80,AE37/1000*IF(AE$4-Teams!$D$80&lt;6,Params!$E$37,Params!$E$38)*Org!$B$10*Org!$B$12/12,0)</f>
        <v>586.66666666666686</v>
      </c>
      <c r="AF50" s="44">
        <f>AF$5*IF(AF$4&gt;=Teams!$D$80,AF37/1000*IF(AF$4-Teams!$D$80&lt;6,Params!$E$37,Params!$E$38)*Org!$B$10*Org!$B$12/12,0)</f>
        <v>586.66666666666686</v>
      </c>
      <c r="AG50" s="44">
        <f>AG$5*IF(AG$4&gt;=Teams!$D$80,AG37/1000*IF(AG$4-Teams!$D$80&lt;6,Params!$E$37,Params!$E$38)*Org!$B$10*Org!$B$12/12,0)</f>
        <v>586.66666666666686</v>
      </c>
      <c r="AH50" s="44">
        <f>AH$5*IF(AH$4&gt;=Teams!$D$80,AH37/1000*IF(AH$4-Teams!$D$80&lt;6,Params!$E$37,Params!$E$38)*Org!$B$10*Org!$B$12/12,0)</f>
        <v>586.66666666666686</v>
      </c>
      <c r="AI50" s="44">
        <f>AI$5*IF(AI$4&gt;=Teams!$D$80,AI37/1000*IF(AI$4-Teams!$D$80&lt;6,Params!$E$37,Params!$E$38)*Org!$B$10*Org!$B$12/12,0)</f>
        <v>586.66666666666686</v>
      </c>
      <c r="AJ50" s="44">
        <f>AJ$5*IF(AJ$4&gt;=Teams!$D$80,AJ37/1000*IF(AJ$4-Teams!$D$80&lt;6,Params!$E$37,Params!$E$38)*Org!$B$10*Org!$B$12/12,0)</f>
        <v>586.66666666666686</v>
      </c>
      <c r="AK50" s="44">
        <f>AK$5*IF(AK$4&gt;=Teams!$D$80,AK37/1000*IF(AK$4-Teams!$D$80&lt;6,Params!$E$37,Params!$E$38)*Org!$B$10*Org!$B$12/12,0)</f>
        <v>586.66666666666686</v>
      </c>
      <c r="AL50" s="44">
        <f>AL$5*IF(AL$4&gt;=Teams!$D$80,AL37/1000*IF(AL$4-Teams!$D$80&lt;6,Params!$E$37,Params!$E$38)*Org!$B$10*Org!$B$12/12,0)</f>
        <v>586.66666666666686</v>
      </c>
      <c r="AM50" s="44">
        <f>AM$5*IF(AM$4&gt;=Teams!$D$80,AM37/1000*IF(AM$4-Teams!$D$80&lt;6,Params!$E$37,Params!$E$38)*Org!$B$10*Org!$B$12/12,0)</f>
        <v>586.66666666666686</v>
      </c>
      <c r="AN50" s="44">
        <f>AN$5*IF(AN$4&gt;=Teams!$D$80,AN37/1000*IF(AN$4-Teams!$D$80&lt;6,Params!$E$37,Params!$E$38)*Org!$B$10*Org!$B$12/12,0)</f>
        <v>586.66666666666686</v>
      </c>
      <c r="AO50" s="44">
        <f>AO$5*IF(AO$4&gt;=Teams!$D$80,AO37/1000*IF(AO$4-Teams!$D$80&lt;6,Params!$E$37,Params!$E$38)*Org!$B$10*Org!$B$12/12,0)</f>
        <v>0</v>
      </c>
      <c r="AP50" s="44">
        <f>AP$5*IF(AP$4&gt;=Teams!$D$80,AP37/1000*IF(AP$4-Teams!$D$80&lt;6,Params!$E$37,Params!$E$38)*Org!$B$10*Org!$B$12/12,0)</f>
        <v>0</v>
      </c>
      <c r="AQ50" s="44">
        <f>AQ$5*IF(AQ$4&gt;=Teams!$D$80,AQ37/1000*IF(AQ$4-Teams!$D$80&lt;6,Params!$E$37,Params!$E$38)*Org!$B$10*Org!$B$12/12,0)</f>
        <v>0</v>
      </c>
      <c r="AR50" s="44">
        <f>AR$5*IF(AR$4&gt;=Teams!$D$80,AR37/1000*IF(AR$4-Teams!$D$80&lt;6,Params!$E$37,Params!$E$38)*Org!$B$10*Org!$B$12/12,0)</f>
        <v>0</v>
      </c>
      <c r="AS50" s="44">
        <f>AS$5*IF(AS$4&gt;=Teams!$D$80,AS37/1000*IF(AS$4-Teams!$D$80&lt;6,Params!$E$37,Params!$E$38)*Org!$B$10*Org!$B$12/12,0)</f>
        <v>0</v>
      </c>
      <c r="AT50" s="44">
        <f>AT$5*IF(AT$4&gt;=Teams!$D$80,AT37/1000*IF(AT$4-Teams!$D$80&lt;6,Params!$E$37,Params!$E$38)*Org!$B$10*Org!$B$12/12,0)</f>
        <v>0</v>
      </c>
      <c r="AU50" s="44">
        <f>AU$5*IF(AU$4&gt;=Teams!$D$80,AU37/1000*IF(AU$4-Teams!$D$80&lt;6,Params!$E$37,Params!$E$38)*Org!$B$10*Org!$B$12/12,0)</f>
        <v>0</v>
      </c>
      <c r="AV50" s="44">
        <f>AV$5*IF(AV$4&gt;=Teams!$D$80,AV37/1000*IF(AV$4-Teams!$D$80&lt;6,Params!$E$37,Params!$E$38)*Org!$B$10*Org!$B$12/12,0)</f>
        <v>0</v>
      </c>
      <c r="AW50" s="44">
        <f>AW$5*IF(AW$4&gt;=Teams!$D$80,AW37/1000*IF(AW$4-Teams!$D$80&lt;6,Params!$E$37,Params!$E$38)*Org!$B$10*Org!$B$12/12,0)</f>
        <v>0</v>
      </c>
      <c r="AX50" s="44">
        <f>AX$5*IF(AX$4&gt;=Teams!$D$80,AX37/1000*IF(AX$4-Teams!$D$80&lt;6,Params!$E$37,Params!$E$38)*Org!$B$10*Org!$B$12/12,0)</f>
        <v>0</v>
      </c>
      <c r="AY50" s="44">
        <f>AY$5*IF(AY$4&gt;=Teams!$D$80,AY37/1000*IF(AY$4-Teams!$D$80&lt;6,Params!$E$37,Params!$E$38)*Org!$B$10*Org!$B$12/12,0)</f>
        <v>0</v>
      </c>
      <c r="AZ50" s="44">
        <f>AZ$5*IF(AZ$4&gt;=Teams!$D$80,AZ37/1000*IF(AZ$4-Teams!$D$80&lt;6,Params!$E$37,Params!$E$38)*Org!$B$10*Org!$B$12/12,0)</f>
        <v>0</v>
      </c>
      <c r="BA50" s="44">
        <f>BA$5*IF(BA$4&gt;=Teams!$D$80,BA37/1000*IF(BA$4-Teams!$D$80&lt;6,Params!$E$37,Params!$E$38)*Org!$B$10*Org!$B$12/12,0)</f>
        <v>0</v>
      </c>
      <c r="BB50" s="44">
        <f>BB$5*IF(BB$4&gt;=Teams!$D$80,BB37/1000*IF(BB$4-Teams!$D$80&lt;6,Params!$E$37,Params!$E$38)*Org!$B$10*Org!$B$12/12,0)</f>
        <v>0</v>
      </c>
      <c r="BC50" s="44">
        <f>BC$5*IF(BC$4&gt;=Teams!$D$80,BC37/1000*IF(BC$4-Teams!$D$80&lt;6,Params!$E$37,Params!$E$38)*Org!$B$10*Org!$B$12/12,0)</f>
        <v>0</v>
      </c>
      <c r="BD50" s="44">
        <f>BD$5*IF(BD$4&gt;=Teams!$D$80,BD37/1000*IF(BD$4-Teams!$D$80&lt;6,Params!$E$37,Params!$E$38)*Org!$B$10*Org!$B$12/12,0)</f>
        <v>0</v>
      </c>
      <c r="BE50" s="44">
        <f>BE$5*IF(BE$4&gt;=Teams!$D$80,BE37/1000*IF(BE$4-Teams!$D$80&lt;6,Params!$E$37,Params!$E$38)*Org!$B$10*Org!$B$12/12,0)</f>
        <v>0</v>
      </c>
      <c r="BF50" s="44">
        <f>BF$5*IF(BF$4&gt;=Teams!$D$80,BF37/1000*IF(BF$4-Teams!$D$80&lt;6,Params!$E$37,Params!$E$38)*Org!$B$10*Org!$B$12/12,0)</f>
        <v>0</v>
      </c>
      <c r="BG50" s="44">
        <f>BG$5*IF(BG$4&gt;=Teams!$D$80,BG37/1000*IF(BG$4-Teams!$D$80&lt;6,Params!$E$37,Params!$E$38)*Org!$B$10*Org!$B$12/12,0)</f>
        <v>0</v>
      </c>
      <c r="BH50" s="44">
        <f>BH$5*IF(BH$4&gt;=Teams!$D$80,BH37/1000*IF(BH$4-Teams!$D$80&lt;6,Params!$E$37,Params!$E$38)*Org!$B$10*Org!$B$12/12,0)</f>
        <v>0</v>
      </c>
      <c r="BI50" s="44">
        <f>BI$5*IF(BI$4&gt;=Teams!$D$80,BI37/1000*IF(BI$4-Teams!$D$80&lt;6,Params!$E$37,Params!$E$38)*Org!$B$10*Org!$B$12/12,0)</f>
        <v>0</v>
      </c>
      <c r="BJ50" s="44">
        <f>BJ$5*IF(BJ$4&gt;=Teams!$D$80,BJ37/1000*IF(BJ$4-Teams!$D$80&lt;6,Params!$E$37,Params!$E$38)*Org!$B$10*Org!$B$12/12,0)</f>
        <v>0</v>
      </c>
      <c r="BK50" s="44">
        <f>BK$5*IF(BK$4&gt;=Teams!$D$80,BK37/1000*IF(BK$4-Teams!$D$80&lt;6,Params!$E$37,Params!$E$38)*Org!$B$10*Org!$B$12/12,0)</f>
        <v>0</v>
      </c>
      <c r="BL50" s="44">
        <f>BL$5*IF(BL$4&gt;=Teams!$D$80,BL37/1000*IF(BL$4-Teams!$D$80&lt;6,Params!$E$37,Params!$E$38)*Org!$B$10*Org!$B$12/12,0)</f>
        <v>0</v>
      </c>
    </row>
    <row r="51" spans="1:64" x14ac:dyDescent="0.3">
      <c r="A51" s="8" t="s">
        <v>676</v>
      </c>
      <c r="B51" s="18" t="s">
        <v>169</v>
      </c>
      <c r="C51" s="44">
        <f t="shared" si="11"/>
        <v>28800</v>
      </c>
      <c r="D51" s="44">
        <f>Teams!$D$5*((Teams!$D$43*Params!$E$4+Teams!$D$44/100000*Params!$E$5+Teams!$D$43*Params!$E$6)*Org!$B$10)</f>
        <v>28800</v>
      </c>
    </row>
    <row r="52" spans="1:64" x14ac:dyDescent="0.3">
      <c r="A52" s="8" t="s">
        <v>677</v>
      </c>
      <c r="B52" s="18" t="s">
        <v>435</v>
      </c>
      <c r="C52" s="44">
        <f t="shared" si="11"/>
        <v>251</v>
      </c>
      <c r="D52" s="44">
        <f>Teams!$D$5*(Teams!$D$49*(Teams!$D$44*Teams!$D$45*Teams!$D$75+Teams!$D$44*Teams!$D$47*Teams!$D$76/1000000))</f>
        <v>251</v>
      </c>
    </row>
    <row r="53" spans="1:64" x14ac:dyDescent="0.3">
      <c r="A53" s="8" t="s">
        <v>678</v>
      </c>
      <c r="B53" s="18" t="s">
        <v>169</v>
      </c>
      <c r="C53" s="44">
        <f t="shared" si="11"/>
        <v>48000</v>
      </c>
      <c r="D53" s="44">
        <f>Teams!$D$5*((Params!$E$13+Params!$E$16)*Org!$B$10)</f>
        <v>48000</v>
      </c>
    </row>
    <row r="54" spans="1:64" x14ac:dyDescent="0.3">
      <c r="A54" s="8" t="s">
        <v>679</v>
      </c>
      <c r="B54" s="18" t="s">
        <v>169</v>
      </c>
      <c r="C54" s="44">
        <f t="shared" si="11"/>
        <v>128000</v>
      </c>
      <c r="D54" s="44">
        <f>Teams!$D$5*(Teams!$D$18*Teams!$D$19*Params!$E$34*(Org!$B$10/Org!$B$11))</f>
        <v>128000</v>
      </c>
    </row>
    <row r="55" spans="1:64" x14ac:dyDescent="0.3">
      <c r="A55" s="8" t="s">
        <v>11</v>
      </c>
      <c r="C55" s="44">
        <f t="shared" si="11"/>
        <v>13763200.000000006</v>
      </c>
      <c r="E55" s="44">
        <f>E$5*E39*Teams!$D$55/60*Teams!$D$56*INDEX(Params!$D$41:$F$41,Org!$B$17)*Teams!$D$57</f>
        <v>99733.333333333343</v>
      </c>
      <c r="F55" s="44">
        <f>F$5*F39*Teams!$D$55/60*Teams!$D$56*INDEX(Params!$D$41:$F$41,Org!$B$17)*Teams!$D$57</f>
        <v>199466.66666666669</v>
      </c>
      <c r="G55" s="44">
        <f>G$5*G39*Teams!$D$55/60*Teams!$D$56*INDEX(Params!$D$41:$F$41,Org!$B$17)*Teams!$D$57</f>
        <v>299200</v>
      </c>
      <c r="H55" s="44">
        <f>H$5*H39*Teams!$D$55/60*Teams!$D$56*INDEX(Params!$D$41:$F$41,Org!$B$17)*Teams!$D$57</f>
        <v>398933.33333333337</v>
      </c>
      <c r="I55" s="44">
        <f>I$5*I39*Teams!$D$55/60*Teams!$D$56*INDEX(Params!$D$41:$F$41,Org!$B$17)*Teams!$D$57</f>
        <v>398933.33333333337</v>
      </c>
      <c r="J55" s="44">
        <f>J$5*J39*Teams!$D$55/60*Teams!$D$56*INDEX(Params!$D$41:$F$41,Org!$B$17)*Teams!$D$57</f>
        <v>398933.33333333337</v>
      </c>
      <c r="K55" s="44">
        <f>K$5*K39*Teams!$D$55/60*Teams!$D$56*INDEX(Params!$D$41:$F$41,Org!$B$17)*Teams!$D$57</f>
        <v>398933.33333333337</v>
      </c>
      <c r="L55" s="44">
        <f>L$5*L39*Teams!$D$55/60*Teams!$D$56*INDEX(Params!$D$41:$F$41,Org!$B$17)*Teams!$D$57</f>
        <v>398933.33333333337</v>
      </c>
      <c r="M55" s="44">
        <f>M$5*M39*Teams!$D$55/60*Teams!$D$56*INDEX(Params!$D$41:$F$41,Org!$B$17)*Teams!$D$57</f>
        <v>398933.33333333337</v>
      </c>
      <c r="N55" s="44">
        <f>N$5*N39*Teams!$D$55/60*Teams!$D$56*INDEX(Params!$D$41:$F$41,Org!$B$17)*Teams!$D$57</f>
        <v>398933.33333333337</v>
      </c>
      <c r="O55" s="44">
        <f>O$5*O39*Teams!$D$55/60*Teams!$D$56*INDEX(Params!$D$41:$F$41,Org!$B$17)*Teams!$D$57</f>
        <v>398933.33333333337</v>
      </c>
      <c r="P55" s="44">
        <f>P$5*P39*Teams!$D$55/60*Teams!$D$56*INDEX(Params!$D$41:$F$41,Org!$B$17)*Teams!$D$57</f>
        <v>398933.33333333337</v>
      </c>
      <c r="Q55" s="44">
        <f>Q$5*Q39*Teams!$D$55/60*Teams!$D$56*INDEX(Params!$D$41:$F$41,Org!$B$17)*Teams!$D$57</f>
        <v>398933.33333333337</v>
      </c>
      <c r="R55" s="44">
        <f>R$5*R39*Teams!$D$55/60*Teams!$D$56*INDEX(Params!$D$41:$F$41,Org!$B$17)*Teams!$D$57</f>
        <v>398933.33333333337</v>
      </c>
      <c r="S55" s="44">
        <f>S$5*S39*Teams!$D$55/60*Teams!$D$56*INDEX(Params!$D$41:$F$41,Org!$B$17)*Teams!$D$57</f>
        <v>398933.33333333337</v>
      </c>
      <c r="T55" s="44">
        <f>T$5*T39*Teams!$D$55/60*Teams!$D$56*INDEX(Params!$D$41:$F$41,Org!$B$17)*Teams!$D$57</f>
        <v>398933.33333333337</v>
      </c>
      <c r="U55" s="44">
        <f>U$5*U39*Teams!$D$55/60*Teams!$D$56*INDEX(Params!$D$41:$F$41,Org!$B$17)*Teams!$D$57</f>
        <v>398933.33333333337</v>
      </c>
      <c r="V55" s="44">
        <f>V$5*V39*Teams!$D$55/60*Teams!$D$56*INDEX(Params!$D$41:$F$41,Org!$B$17)*Teams!$D$57</f>
        <v>398933.33333333337</v>
      </c>
      <c r="W55" s="44">
        <f>W$5*W39*Teams!$D$55/60*Teams!$D$56*INDEX(Params!$D$41:$F$41,Org!$B$17)*Teams!$D$57</f>
        <v>398933.33333333337</v>
      </c>
      <c r="X55" s="44">
        <f>X$5*X39*Teams!$D$55/60*Teams!$D$56*INDEX(Params!$D$41:$F$41,Org!$B$17)*Teams!$D$57</f>
        <v>398933.33333333337</v>
      </c>
      <c r="Y55" s="44">
        <f>Y$5*Y39*Teams!$D$55/60*Teams!$D$56*INDEX(Params!$D$41:$F$41,Org!$B$17)*Teams!$D$57</f>
        <v>398933.33333333337</v>
      </c>
      <c r="Z55" s="44">
        <f>Z$5*Z39*Teams!$D$55/60*Teams!$D$56*INDEX(Params!$D$41:$F$41,Org!$B$17)*Teams!$D$57</f>
        <v>398933.33333333337</v>
      </c>
      <c r="AA55" s="44">
        <f>AA$5*AA39*Teams!$D$55/60*Teams!$D$56*INDEX(Params!$D$41:$F$41,Org!$B$17)*Teams!$D$57</f>
        <v>398933.33333333337</v>
      </c>
      <c r="AB55" s="44">
        <f>AB$5*AB39*Teams!$D$55/60*Teams!$D$56*INDEX(Params!$D$41:$F$41,Org!$B$17)*Teams!$D$57</f>
        <v>398933.33333333337</v>
      </c>
      <c r="AC55" s="44">
        <f>AC$5*AC39*Teams!$D$55/60*Teams!$D$56*INDEX(Params!$D$41:$F$41,Org!$B$17)*Teams!$D$57</f>
        <v>398933.33333333337</v>
      </c>
      <c r="AD55" s="44">
        <f>AD$5*AD39*Teams!$D$55/60*Teams!$D$56*INDEX(Params!$D$41:$F$41,Org!$B$17)*Teams!$D$57</f>
        <v>398933.33333333337</v>
      </c>
      <c r="AE55" s="44">
        <f>AE$5*AE39*Teams!$D$55/60*Teams!$D$56*INDEX(Params!$D$41:$F$41,Org!$B$17)*Teams!$D$57</f>
        <v>398933.33333333337</v>
      </c>
      <c r="AF55" s="44">
        <f>AF$5*AF39*Teams!$D$55/60*Teams!$D$56*INDEX(Params!$D$41:$F$41,Org!$B$17)*Teams!$D$57</f>
        <v>398933.33333333337</v>
      </c>
      <c r="AG55" s="44">
        <f>AG$5*AG39*Teams!$D$55/60*Teams!$D$56*INDEX(Params!$D$41:$F$41,Org!$B$17)*Teams!$D$57</f>
        <v>398933.33333333337</v>
      </c>
      <c r="AH55" s="44">
        <f>AH$5*AH39*Teams!$D$55/60*Teams!$D$56*INDEX(Params!$D$41:$F$41,Org!$B$17)*Teams!$D$57</f>
        <v>398933.33333333337</v>
      </c>
      <c r="AI55" s="44">
        <f>AI$5*AI39*Teams!$D$55/60*Teams!$D$56*INDEX(Params!$D$41:$F$41,Org!$B$17)*Teams!$D$57</f>
        <v>398933.33333333337</v>
      </c>
      <c r="AJ55" s="44">
        <f>AJ$5*AJ39*Teams!$D$55/60*Teams!$D$56*INDEX(Params!$D$41:$F$41,Org!$B$17)*Teams!$D$57</f>
        <v>398933.33333333337</v>
      </c>
      <c r="AK55" s="44">
        <f>AK$5*AK39*Teams!$D$55/60*Teams!$D$56*INDEX(Params!$D$41:$F$41,Org!$B$17)*Teams!$D$57</f>
        <v>398933.33333333337</v>
      </c>
      <c r="AL55" s="44">
        <f>AL$5*AL39*Teams!$D$55/60*Teams!$D$56*INDEX(Params!$D$41:$F$41,Org!$B$17)*Teams!$D$57</f>
        <v>398933.33333333337</v>
      </c>
      <c r="AM55" s="44">
        <f>AM$5*AM39*Teams!$D$55/60*Teams!$D$56*INDEX(Params!$D$41:$F$41,Org!$B$17)*Teams!$D$57</f>
        <v>398933.33333333337</v>
      </c>
      <c r="AN55" s="44">
        <f>AN$5*AN39*Teams!$D$55/60*Teams!$D$56*INDEX(Params!$D$41:$F$41,Org!$B$17)*Teams!$D$57</f>
        <v>398933.33333333337</v>
      </c>
      <c r="AO55" s="44">
        <f>AO$5*AO39*Teams!$D$55/60*Teams!$D$56*INDEX(Params!$D$41:$F$41,Org!$B$17)*Teams!$D$57</f>
        <v>0</v>
      </c>
      <c r="AP55" s="44">
        <f>AP$5*AP39*Teams!$D$55/60*Teams!$D$56*INDEX(Params!$D$41:$F$41,Org!$B$17)*Teams!$D$57</f>
        <v>0</v>
      </c>
      <c r="AQ55" s="44">
        <f>AQ$5*AQ39*Teams!$D$55/60*Teams!$D$56*INDEX(Params!$D$41:$F$41,Org!$B$17)*Teams!$D$57</f>
        <v>0</v>
      </c>
      <c r="AR55" s="44">
        <f>AR$5*AR39*Teams!$D$55/60*Teams!$D$56*INDEX(Params!$D$41:$F$41,Org!$B$17)*Teams!$D$57</f>
        <v>0</v>
      </c>
      <c r="AS55" s="44">
        <f>AS$5*AS39*Teams!$D$55/60*Teams!$D$56*INDEX(Params!$D$41:$F$41,Org!$B$17)*Teams!$D$57</f>
        <v>0</v>
      </c>
      <c r="AT55" s="44">
        <f>AT$5*AT39*Teams!$D$55/60*Teams!$D$56*INDEX(Params!$D$41:$F$41,Org!$B$17)*Teams!$D$57</f>
        <v>0</v>
      </c>
      <c r="AU55" s="44">
        <f>AU$5*AU39*Teams!$D$55/60*Teams!$D$56*INDEX(Params!$D$41:$F$41,Org!$B$17)*Teams!$D$57</f>
        <v>0</v>
      </c>
      <c r="AV55" s="44">
        <f>AV$5*AV39*Teams!$D$55/60*Teams!$D$56*INDEX(Params!$D$41:$F$41,Org!$B$17)*Teams!$D$57</f>
        <v>0</v>
      </c>
      <c r="AW55" s="44">
        <f>AW$5*AW39*Teams!$D$55/60*Teams!$D$56*INDEX(Params!$D$41:$F$41,Org!$B$17)*Teams!$D$57</f>
        <v>0</v>
      </c>
      <c r="AX55" s="44">
        <f>AX$5*AX39*Teams!$D$55/60*Teams!$D$56*INDEX(Params!$D$41:$F$41,Org!$B$17)*Teams!$D$57</f>
        <v>0</v>
      </c>
      <c r="AY55" s="44">
        <f>AY$5*AY39*Teams!$D$55/60*Teams!$D$56*INDEX(Params!$D$41:$F$41,Org!$B$17)*Teams!$D$57</f>
        <v>0</v>
      </c>
      <c r="AZ55" s="44">
        <f>AZ$5*AZ39*Teams!$D$55/60*Teams!$D$56*INDEX(Params!$D$41:$F$41,Org!$B$17)*Teams!$D$57</f>
        <v>0</v>
      </c>
      <c r="BA55" s="44">
        <f>BA$5*BA39*Teams!$D$55/60*Teams!$D$56*INDEX(Params!$D$41:$F$41,Org!$B$17)*Teams!$D$57</f>
        <v>0</v>
      </c>
      <c r="BB55" s="44">
        <f>BB$5*BB39*Teams!$D$55/60*Teams!$D$56*INDEX(Params!$D$41:$F$41,Org!$B$17)*Teams!$D$57</f>
        <v>0</v>
      </c>
      <c r="BC55" s="44">
        <f>BC$5*BC39*Teams!$D$55/60*Teams!$D$56*INDEX(Params!$D$41:$F$41,Org!$B$17)*Teams!$D$57</f>
        <v>0</v>
      </c>
      <c r="BD55" s="44">
        <f>BD$5*BD39*Teams!$D$55/60*Teams!$D$56*INDEX(Params!$D$41:$F$41,Org!$B$17)*Teams!$D$57</f>
        <v>0</v>
      </c>
      <c r="BE55" s="44">
        <f>BE$5*BE39*Teams!$D$55/60*Teams!$D$56*INDEX(Params!$D$41:$F$41,Org!$B$17)*Teams!$D$57</f>
        <v>0</v>
      </c>
      <c r="BF55" s="44">
        <f>BF$5*BF39*Teams!$D$55/60*Teams!$D$56*INDEX(Params!$D$41:$F$41,Org!$B$17)*Teams!$D$57</f>
        <v>0</v>
      </c>
      <c r="BG55" s="44">
        <f>BG$5*BG39*Teams!$D$55/60*Teams!$D$56*INDEX(Params!$D$41:$F$41,Org!$B$17)*Teams!$D$57</f>
        <v>0</v>
      </c>
      <c r="BH55" s="44">
        <f>BH$5*BH39*Teams!$D$55/60*Teams!$D$56*INDEX(Params!$D$41:$F$41,Org!$B$17)*Teams!$D$57</f>
        <v>0</v>
      </c>
      <c r="BI55" s="44">
        <f>BI$5*BI39*Teams!$D$55/60*Teams!$D$56*INDEX(Params!$D$41:$F$41,Org!$B$17)*Teams!$D$57</f>
        <v>0</v>
      </c>
      <c r="BJ55" s="44">
        <f>BJ$5*BJ39*Teams!$D$55/60*Teams!$D$56*INDEX(Params!$D$41:$F$41,Org!$B$17)*Teams!$D$57</f>
        <v>0</v>
      </c>
      <c r="BK55" s="44">
        <f>BK$5*BK39*Teams!$D$55/60*Teams!$D$56*INDEX(Params!$D$41:$F$41,Org!$B$17)*Teams!$D$57</f>
        <v>0</v>
      </c>
      <c r="BL55" s="44">
        <f>BL$5*BL39*Teams!$D$55/60*Teams!$D$56*INDEX(Params!$D$41:$F$41,Org!$B$17)*Teams!$D$57</f>
        <v>0</v>
      </c>
    </row>
    <row r="56" spans="1:64" x14ac:dyDescent="0.3">
      <c r="A56" s="8" t="s">
        <v>701</v>
      </c>
      <c r="C56" s="44">
        <f t="shared" si="11"/>
        <v>3529280.7615999975</v>
      </c>
      <c r="D56" s="44">
        <f t="shared" ref="D56:AI56" si="12">SUM(D40:D54)</f>
        <v>205051</v>
      </c>
      <c r="E56" s="44">
        <f t="shared" si="12"/>
        <v>35448.146533333333</v>
      </c>
      <c r="F56" s="44">
        <f t="shared" si="12"/>
        <v>56092.229733333334</v>
      </c>
      <c r="G56" s="44">
        <f t="shared" si="12"/>
        <v>76736.312933333335</v>
      </c>
      <c r="H56" s="44">
        <f t="shared" si="12"/>
        <v>97380.396133333328</v>
      </c>
      <c r="I56" s="44">
        <f t="shared" si="12"/>
        <v>97380.396133333328</v>
      </c>
      <c r="J56" s="44">
        <f t="shared" si="12"/>
        <v>97380.396133333328</v>
      </c>
      <c r="K56" s="44">
        <f t="shared" si="12"/>
        <v>95033.729466666671</v>
      </c>
      <c r="L56" s="44">
        <f t="shared" si="12"/>
        <v>95033.729466666671</v>
      </c>
      <c r="M56" s="44">
        <f t="shared" si="12"/>
        <v>95033.729466666671</v>
      </c>
      <c r="N56" s="44">
        <f t="shared" si="12"/>
        <v>95033.729466666671</v>
      </c>
      <c r="O56" s="44">
        <f t="shared" si="12"/>
        <v>95033.729466666671</v>
      </c>
      <c r="P56" s="44">
        <f t="shared" si="12"/>
        <v>95033.729466666671</v>
      </c>
      <c r="Q56" s="44">
        <f t="shared" si="12"/>
        <v>95033.729466666671</v>
      </c>
      <c r="R56" s="44">
        <f t="shared" si="12"/>
        <v>95033.729466666671</v>
      </c>
      <c r="S56" s="44">
        <f t="shared" si="12"/>
        <v>95033.729466666671</v>
      </c>
      <c r="T56" s="44">
        <f t="shared" si="12"/>
        <v>101433.72946666667</v>
      </c>
      <c r="U56" s="44">
        <f t="shared" si="12"/>
        <v>95033.729466666671</v>
      </c>
      <c r="V56" s="44">
        <f t="shared" si="12"/>
        <v>95033.729466666671</v>
      </c>
      <c r="W56" s="44">
        <f t="shared" si="12"/>
        <v>95033.729466666671</v>
      </c>
      <c r="X56" s="44">
        <f t="shared" si="12"/>
        <v>95033.729466666671</v>
      </c>
      <c r="Y56" s="44">
        <f t="shared" si="12"/>
        <v>95033.729466666671</v>
      </c>
      <c r="Z56" s="44">
        <f t="shared" si="12"/>
        <v>95033.729466666671</v>
      </c>
      <c r="AA56" s="44">
        <f t="shared" si="12"/>
        <v>95033.729466666671</v>
      </c>
      <c r="AB56" s="44">
        <f t="shared" si="12"/>
        <v>95033.729466666671</v>
      </c>
      <c r="AC56" s="44">
        <f t="shared" si="12"/>
        <v>95033.729466666671</v>
      </c>
      <c r="AD56" s="44">
        <f t="shared" si="12"/>
        <v>95033.729466666671</v>
      </c>
      <c r="AE56" s="44">
        <f t="shared" si="12"/>
        <v>95033.729466666671</v>
      </c>
      <c r="AF56" s="44">
        <f t="shared" si="12"/>
        <v>95033.729466666671</v>
      </c>
      <c r="AG56" s="44">
        <f t="shared" si="12"/>
        <v>95033.729466666671</v>
      </c>
      <c r="AH56" s="44">
        <f t="shared" si="12"/>
        <v>95033.729466666671</v>
      </c>
      <c r="AI56" s="44">
        <f t="shared" si="12"/>
        <v>101433.72946666667</v>
      </c>
      <c r="AJ56" s="44">
        <f t="shared" ref="AJ56:BL56" si="13">SUM(AJ40:AJ54)</f>
        <v>95033.729466666671</v>
      </c>
      <c r="AK56" s="44">
        <f t="shared" si="13"/>
        <v>95033.729466666671</v>
      </c>
      <c r="AL56" s="44">
        <f t="shared" si="13"/>
        <v>95033.729466666671</v>
      </c>
      <c r="AM56" s="44">
        <f t="shared" si="13"/>
        <v>95033.729466666671</v>
      </c>
      <c r="AN56" s="44">
        <f t="shared" si="13"/>
        <v>95033.729466666671</v>
      </c>
      <c r="AO56" s="44">
        <f t="shared" si="13"/>
        <v>0</v>
      </c>
      <c r="AP56" s="44">
        <f t="shared" si="13"/>
        <v>0</v>
      </c>
      <c r="AQ56" s="44">
        <f t="shared" si="13"/>
        <v>0</v>
      </c>
      <c r="AR56" s="44">
        <f t="shared" si="13"/>
        <v>0</v>
      </c>
      <c r="AS56" s="44">
        <f t="shared" si="13"/>
        <v>0</v>
      </c>
      <c r="AT56" s="44">
        <f t="shared" si="13"/>
        <v>0</v>
      </c>
      <c r="AU56" s="44">
        <f t="shared" si="13"/>
        <v>0</v>
      </c>
      <c r="AV56" s="44">
        <f t="shared" si="13"/>
        <v>0</v>
      </c>
      <c r="AW56" s="44">
        <f t="shared" si="13"/>
        <v>0</v>
      </c>
      <c r="AX56" s="44">
        <f t="shared" si="13"/>
        <v>0</v>
      </c>
      <c r="AY56" s="44">
        <f t="shared" si="13"/>
        <v>0</v>
      </c>
      <c r="AZ56" s="44">
        <f t="shared" si="13"/>
        <v>0</v>
      </c>
      <c r="BA56" s="44">
        <f t="shared" si="13"/>
        <v>0</v>
      </c>
      <c r="BB56" s="44">
        <f t="shared" si="13"/>
        <v>0</v>
      </c>
      <c r="BC56" s="44">
        <f t="shared" si="13"/>
        <v>0</v>
      </c>
      <c r="BD56" s="44">
        <f t="shared" si="13"/>
        <v>0</v>
      </c>
      <c r="BE56" s="44">
        <f t="shared" si="13"/>
        <v>0</v>
      </c>
      <c r="BF56" s="44">
        <f t="shared" si="13"/>
        <v>0</v>
      </c>
      <c r="BG56" s="44">
        <f t="shared" si="13"/>
        <v>0</v>
      </c>
      <c r="BH56" s="44">
        <f t="shared" si="13"/>
        <v>0</v>
      </c>
      <c r="BI56" s="44">
        <f t="shared" si="13"/>
        <v>0</v>
      </c>
      <c r="BJ56" s="44">
        <f t="shared" si="13"/>
        <v>0</v>
      </c>
      <c r="BK56" s="44">
        <f t="shared" si="13"/>
        <v>0</v>
      </c>
      <c r="BL56" s="44">
        <f t="shared" si="13"/>
        <v>0</v>
      </c>
    </row>
    <row r="57" spans="1:64" x14ac:dyDescent="0.3">
      <c r="A57" s="8" t="s">
        <v>702</v>
      </c>
      <c r="C57" s="44">
        <f t="shared" si="11"/>
        <v>1285113.6044249828</v>
      </c>
      <c r="D57" s="44">
        <f t="shared" ref="D57:AI57" si="14">$C$169*D158</f>
        <v>86072.235208902639</v>
      </c>
      <c r="E57" s="44">
        <f t="shared" si="14"/>
        <v>33264.229150890598</v>
      </c>
      <c r="F57" s="44">
        <f t="shared" si="14"/>
        <v>33274.158905753284</v>
      </c>
      <c r="G57" s="44">
        <f t="shared" si="14"/>
        <v>33286.379293515805</v>
      </c>
      <c r="H57" s="44">
        <f t="shared" si="14"/>
        <v>33299.186575023872</v>
      </c>
      <c r="I57" s="44">
        <f t="shared" si="14"/>
        <v>33305.975313641866</v>
      </c>
      <c r="J57" s="44">
        <f t="shared" si="14"/>
        <v>33309.445179243259</v>
      </c>
      <c r="K57" s="44">
        <f t="shared" si="14"/>
        <v>33310.066493267048</v>
      </c>
      <c r="L57" s="44">
        <f t="shared" si="14"/>
        <v>33310.066493267048</v>
      </c>
      <c r="M57" s="44">
        <f t="shared" si="14"/>
        <v>33310.066493267048</v>
      </c>
      <c r="N57" s="44">
        <f t="shared" si="14"/>
        <v>33310.066493267048</v>
      </c>
      <c r="O57" s="44">
        <f t="shared" si="14"/>
        <v>33310.066493267048</v>
      </c>
      <c r="P57" s="44">
        <f t="shared" si="14"/>
        <v>33310.066493267048</v>
      </c>
      <c r="Q57" s="44">
        <f t="shared" si="14"/>
        <v>33310.066493267048</v>
      </c>
      <c r="R57" s="44">
        <f t="shared" si="14"/>
        <v>33310.066493267048</v>
      </c>
      <c r="S57" s="44">
        <f t="shared" si="14"/>
        <v>33310.066493267048</v>
      </c>
      <c r="T57" s="44">
        <f t="shared" si="14"/>
        <v>33310.066493267048</v>
      </c>
      <c r="U57" s="44">
        <f t="shared" si="14"/>
        <v>33310.066493267048</v>
      </c>
      <c r="V57" s="44">
        <f t="shared" si="14"/>
        <v>33310.066493267048</v>
      </c>
      <c r="W57" s="44">
        <f t="shared" si="14"/>
        <v>33310.066493267048</v>
      </c>
      <c r="X57" s="44">
        <f t="shared" si="14"/>
        <v>33310.066493267048</v>
      </c>
      <c r="Y57" s="44">
        <f t="shared" si="14"/>
        <v>33310.066493267048</v>
      </c>
      <c r="Z57" s="44">
        <f t="shared" si="14"/>
        <v>33310.066493267048</v>
      </c>
      <c r="AA57" s="44">
        <f t="shared" si="14"/>
        <v>33310.066493267048</v>
      </c>
      <c r="AB57" s="44">
        <f t="shared" si="14"/>
        <v>33310.066493267048</v>
      </c>
      <c r="AC57" s="44">
        <f t="shared" si="14"/>
        <v>33310.066493267048</v>
      </c>
      <c r="AD57" s="44">
        <f t="shared" si="14"/>
        <v>33310.066493267048</v>
      </c>
      <c r="AE57" s="44">
        <f t="shared" si="14"/>
        <v>33310.066493267048</v>
      </c>
      <c r="AF57" s="44">
        <f t="shared" si="14"/>
        <v>33310.066493267048</v>
      </c>
      <c r="AG57" s="44">
        <f t="shared" si="14"/>
        <v>33310.066493267048</v>
      </c>
      <c r="AH57" s="44">
        <f t="shared" si="14"/>
        <v>33310.066493267048</v>
      </c>
      <c r="AI57" s="44">
        <f t="shared" si="14"/>
        <v>33310.066493267048</v>
      </c>
      <c r="AJ57" s="44">
        <f t="shared" ref="AJ57:BL57" si="15">$C$169*AJ158</f>
        <v>33310.066493267048</v>
      </c>
      <c r="AK57" s="44">
        <f t="shared" si="15"/>
        <v>33310.066493267048</v>
      </c>
      <c r="AL57" s="44">
        <f t="shared" si="15"/>
        <v>33310.066493267048</v>
      </c>
      <c r="AM57" s="44">
        <f t="shared" si="15"/>
        <v>33310.066493267048</v>
      </c>
      <c r="AN57" s="44">
        <f t="shared" si="15"/>
        <v>33310.066493267048</v>
      </c>
      <c r="AO57" s="44">
        <f t="shared" si="15"/>
        <v>0</v>
      </c>
      <c r="AP57" s="44">
        <f t="shared" si="15"/>
        <v>0</v>
      </c>
      <c r="AQ57" s="44">
        <f t="shared" si="15"/>
        <v>0</v>
      </c>
      <c r="AR57" s="44">
        <f t="shared" si="15"/>
        <v>0</v>
      </c>
      <c r="AS57" s="44">
        <f t="shared" si="15"/>
        <v>0</v>
      </c>
      <c r="AT57" s="44">
        <f t="shared" si="15"/>
        <v>0</v>
      </c>
      <c r="AU57" s="44">
        <f t="shared" si="15"/>
        <v>0</v>
      </c>
      <c r="AV57" s="44">
        <f t="shared" si="15"/>
        <v>0</v>
      </c>
      <c r="AW57" s="44">
        <f t="shared" si="15"/>
        <v>0</v>
      </c>
      <c r="AX57" s="44">
        <f t="shared" si="15"/>
        <v>0</v>
      </c>
      <c r="AY57" s="44">
        <f t="shared" si="15"/>
        <v>0</v>
      </c>
      <c r="AZ57" s="44">
        <f t="shared" si="15"/>
        <v>0</v>
      </c>
      <c r="BA57" s="44">
        <f t="shared" si="15"/>
        <v>0</v>
      </c>
      <c r="BB57" s="44">
        <f t="shared" si="15"/>
        <v>0</v>
      </c>
      <c r="BC57" s="44">
        <f t="shared" si="15"/>
        <v>0</v>
      </c>
      <c r="BD57" s="44">
        <f t="shared" si="15"/>
        <v>0</v>
      </c>
      <c r="BE57" s="44">
        <f t="shared" si="15"/>
        <v>0</v>
      </c>
      <c r="BF57" s="44">
        <f t="shared" si="15"/>
        <v>0</v>
      </c>
      <c r="BG57" s="44">
        <f t="shared" si="15"/>
        <v>0</v>
      </c>
      <c r="BH57" s="44">
        <f t="shared" si="15"/>
        <v>0</v>
      </c>
      <c r="BI57" s="44">
        <f t="shared" si="15"/>
        <v>0</v>
      </c>
      <c r="BJ57" s="44">
        <f t="shared" si="15"/>
        <v>0</v>
      </c>
      <c r="BK57" s="44">
        <f t="shared" si="15"/>
        <v>0</v>
      </c>
      <c r="BL57" s="44">
        <f t="shared" si="15"/>
        <v>0</v>
      </c>
    </row>
    <row r="58" spans="1:64" x14ac:dyDescent="0.3">
      <c r="A58" s="8" t="s">
        <v>1012</v>
      </c>
      <c r="C58" s="44">
        <f t="shared" si="11"/>
        <v>8948805.6339750122</v>
      </c>
      <c r="D58" s="44">
        <f t="shared" ref="D58:AI58" si="16">D55-D56-D57</f>
        <v>-291123.23520890262</v>
      </c>
      <c r="E58" s="44">
        <f t="shared" si="16"/>
        <v>31020.957649109412</v>
      </c>
      <c r="F58" s="44">
        <f t="shared" si="16"/>
        <v>110100.27802758006</v>
      </c>
      <c r="G58" s="44">
        <f t="shared" si="16"/>
        <v>189177.30777315085</v>
      </c>
      <c r="H58" s="44">
        <f t="shared" si="16"/>
        <v>268253.75062497618</v>
      </c>
      <c r="I58" s="44">
        <f t="shared" si="16"/>
        <v>268246.96188635816</v>
      </c>
      <c r="J58" s="44">
        <f t="shared" si="16"/>
        <v>268243.49202075676</v>
      </c>
      <c r="K58" s="44">
        <f t="shared" si="16"/>
        <v>270589.53737339959</v>
      </c>
      <c r="L58" s="44">
        <f t="shared" si="16"/>
        <v>270589.53737339959</v>
      </c>
      <c r="M58" s="44">
        <f t="shared" si="16"/>
        <v>270589.53737339959</v>
      </c>
      <c r="N58" s="44">
        <f t="shared" si="16"/>
        <v>270589.53737339959</v>
      </c>
      <c r="O58" s="44">
        <f t="shared" si="16"/>
        <v>270589.53737339959</v>
      </c>
      <c r="P58" s="44">
        <f t="shared" si="16"/>
        <v>270589.53737339959</v>
      </c>
      <c r="Q58" s="44">
        <f t="shared" si="16"/>
        <v>270589.53737339959</v>
      </c>
      <c r="R58" s="44">
        <f t="shared" si="16"/>
        <v>270589.53737339959</v>
      </c>
      <c r="S58" s="44">
        <f t="shared" si="16"/>
        <v>270589.53737339959</v>
      </c>
      <c r="T58" s="44">
        <f t="shared" si="16"/>
        <v>264189.53737339959</v>
      </c>
      <c r="U58" s="44">
        <f t="shared" si="16"/>
        <v>270589.53737339959</v>
      </c>
      <c r="V58" s="44">
        <f t="shared" si="16"/>
        <v>270589.53737339959</v>
      </c>
      <c r="W58" s="44">
        <f t="shared" si="16"/>
        <v>270589.53737339959</v>
      </c>
      <c r="X58" s="44">
        <f t="shared" si="16"/>
        <v>270589.53737339959</v>
      </c>
      <c r="Y58" s="44">
        <f t="shared" si="16"/>
        <v>270589.53737339959</v>
      </c>
      <c r="Z58" s="44">
        <f t="shared" si="16"/>
        <v>270589.53737339959</v>
      </c>
      <c r="AA58" s="44">
        <f t="shared" si="16"/>
        <v>270589.53737339959</v>
      </c>
      <c r="AB58" s="44">
        <f t="shared" si="16"/>
        <v>270589.53737339959</v>
      </c>
      <c r="AC58" s="44">
        <f t="shared" si="16"/>
        <v>270589.53737339959</v>
      </c>
      <c r="AD58" s="44">
        <f t="shared" si="16"/>
        <v>270589.53737339959</v>
      </c>
      <c r="AE58" s="44">
        <f t="shared" si="16"/>
        <v>270589.53737339959</v>
      </c>
      <c r="AF58" s="44">
        <f t="shared" si="16"/>
        <v>270589.53737339959</v>
      </c>
      <c r="AG58" s="44">
        <f t="shared" si="16"/>
        <v>270589.53737339959</v>
      </c>
      <c r="AH58" s="44">
        <f t="shared" si="16"/>
        <v>270589.53737339959</v>
      </c>
      <c r="AI58" s="44">
        <f t="shared" si="16"/>
        <v>264189.53737339959</v>
      </c>
      <c r="AJ58" s="44">
        <f t="shared" ref="AJ58:BO58" si="17">AJ55-AJ56-AJ57</f>
        <v>270589.53737339959</v>
      </c>
      <c r="AK58" s="44">
        <f t="shared" si="17"/>
        <v>270589.53737339959</v>
      </c>
      <c r="AL58" s="44">
        <f t="shared" si="17"/>
        <v>270589.53737339959</v>
      </c>
      <c r="AM58" s="44">
        <f t="shared" si="17"/>
        <v>270589.53737339959</v>
      </c>
      <c r="AN58" s="44">
        <f t="shared" si="17"/>
        <v>270589.53737339959</v>
      </c>
      <c r="AO58" s="44">
        <f t="shared" si="17"/>
        <v>0</v>
      </c>
      <c r="AP58" s="44">
        <f t="shared" si="17"/>
        <v>0</v>
      </c>
      <c r="AQ58" s="44">
        <f t="shared" si="17"/>
        <v>0</v>
      </c>
      <c r="AR58" s="44">
        <f t="shared" si="17"/>
        <v>0</v>
      </c>
      <c r="AS58" s="44">
        <f t="shared" si="17"/>
        <v>0</v>
      </c>
      <c r="AT58" s="44">
        <f t="shared" si="17"/>
        <v>0</v>
      </c>
      <c r="AU58" s="44">
        <f t="shared" si="17"/>
        <v>0</v>
      </c>
      <c r="AV58" s="44">
        <f t="shared" si="17"/>
        <v>0</v>
      </c>
      <c r="AW58" s="44">
        <f t="shared" si="17"/>
        <v>0</v>
      </c>
      <c r="AX58" s="44">
        <f t="shared" si="17"/>
        <v>0</v>
      </c>
      <c r="AY58" s="44">
        <f t="shared" si="17"/>
        <v>0</v>
      </c>
      <c r="AZ58" s="44">
        <f t="shared" si="17"/>
        <v>0</v>
      </c>
      <c r="BA58" s="44">
        <f t="shared" si="17"/>
        <v>0</v>
      </c>
      <c r="BB58" s="44">
        <f t="shared" si="17"/>
        <v>0</v>
      </c>
      <c r="BC58" s="44">
        <f t="shared" si="17"/>
        <v>0</v>
      </c>
      <c r="BD58" s="44">
        <f t="shared" si="17"/>
        <v>0</v>
      </c>
      <c r="BE58" s="44">
        <f t="shared" si="17"/>
        <v>0</v>
      </c>
      <c r="BF58" s="44">
        <f t="shared" si="17"/>
        <v>0</v>
      </c>
      <c r="BG58" s="44">
        <f t="shared" si="17"/>
        <v>0</v>
      </c>
      <c r="BH58" s="44">
        <f t="shared" si="17"/>
        <v>0</v>
      </c>
      <c r="BI58" s="44">
        <f t="shared" si="17"/>
        <v>0</v>
      </c>
      <c r="BJ58" s="44">
        <f t="shared" si="17"/>
        <v>0</v>
      </c>
      <c r="BK58" s="44">
        <f t="shared" si="17"/>
        <v>0</v>
      </c>
      <c r="BL58" s="44">
        <f t="shared" si="17"/>
        <v>0</v>
      </c>
    </row>
    <row r="59" spans="1:64" x14ac:dyDescent="0.3">
      <c r="A59" s="8" t="s">
        <v>1013</v>
      </c>
      <c r="D59" s="44">
        <f>D58</f>
        <v>-291123.23520890262</v>
      </c>
      <c r="E59" s="44">
        <f t="shared" ref="E59:AJ59" si="18">D59+E58</f>
        <v>-260102.27755979321</v>
      </c>
      <c r="F59" s="44">
        <f t="shared" si="18"/>
        <v>-150001.99953221314</v>
      </c>
      <c r="G59" s="44">
        <f t="shared" si="18"/>
        <v>39175.308240937709</v>
      </c>
      <c r="H59" s="44">
        <f t="shared" si="18"/>
        <v>307429.05886591389</v>
      </c>
      <c r="I59" s="44">
        <f t="shared" si="18"/>
        <v>575676.0207522721</v>
      </c>
      <c r="J59" s="44">
        <f t="shared" si="18"/>
        <v>843919.51277302881</v>
      </c>
      <c r="K59" s="44">
        <f t="shared" si="18"/>
        <v>1114509.0501464284</v>
      </c>
      <c r="L59" s="44">
        <f t="shared" si="18"/>
        <v>1385098.587519828</v>
      </c>
      <c r="M59" s="44">
        <f t="shared" si="18"/>
        <v>1655688.1248932276</v>
      </c>
      <c r="N59" s="44">
        <f t="shared" si="18"/>
        <v>1926277.6622666272</v>
      </c>
      <c r="O59" s="44">
        <f t="shared" si="18"/>
        <v>2196867.1996400268</v>
      </c>
      <c r="P59" s="44">
        <f t="shared" si="18"/>
        <v>2467456.7370134266</v>
      </c>
      <c r="Q59" s="44">
        <f t="shared" si="18"/>
        <v>2738046.274386826</v>
      </c>
      <c r="R59" s="44">
        <f t="shared" si="18"/>
        <v>3008635.8117602253</v>
      </c>
      <c r="S59" s="44">
        <f t="shared" si="18"/>
        <v>3279225.3491336247</v>
      </c>
      <c r="T59" s="44">
        <f t="shared" si="18"/>
        <v>3543414.8865070241</v>
      </c>
      <c r="U59" s="44">
        <f t="shared" si="18"/>
        <v>3814004.4238804234</v>
      </c>
      <c r="V59" s="44">
        <f t="shared" si="18"/>
        <v>4084593.9612538228</v>
      </c>
      <c r="W59" s="44">
        <f t="shared" si="18"/>
        <v>4355183.4986272221</v>
      </c>
      <c r="X59" s="44">
        <f t="shared" si="18"/>
        <v>4625773.0360006215</v>
      </c>
      <c r="Y59" s="44">
        <f t="shared" si="18"/>
        <v>4896362.5733740209</v>
      </c>
      <c r="Z59" s="44">
        <f t="shared" si="18"/>
        <v>5166952.1107474202</v>
      </c>
      <c r="AA59" s="44">
        <f t="shared" si="18"/>
        <v>5437541.6481208196</v>
      </c>
      <c r="AB59" s="44">
        <f t="shared" si="18"/>
        <v>5708131.185494219</v>
      </c>
      <c r="AC59" s="44">
        <f t="shared" si="18"/>
        <v>5978720.7228676183</v>
      </c>
      <c r="AD59" s="44">
        <f t="shared" si="18"/>
        <v>6249310.2602410177</v>
      </c>
      <c r="AE59" s="44">
        <f t="shared" si="18"/>
        <v>6519899.797614417</v>
      </c>
      <c r="AF59" s="44">
        <f t="shared" si="18"/>
        <v>6790489.3349878164</v>
      </c>
      <c r="AG59" s="44">
        <f t="shared" si="18"/>
        <v>7061078.8723612158</v>
      </c>
      <c r="AH59" s="44">
        <f t="shared" si="18"/>
        <v>7331668.4097346151</v>
      </c>
      <c r="AI59" s="44">
        <f t="shared" si="18"/>
        <v>7595857.9471080145</v>
      </c>
      <c r="AJ59" s="44">
        <f t="shared" si="18"/>
        <v>7866447.4844814138</v>
      </c>
      <c r="AK59" s="44">
        <f t="shared" ref="AK59:BP59" si="19">AJ59+AK58</f>
        <v>8137037.0218548132</v>
      </c>
      <c r="AL59" s="44">
        <f t="shared" si="19"/>
        <v>8407626.5592282135</v>
      </c>
      <c r="AM59" s="44">
        <f t="shared" si="19"/>
        <v>8678216.0966016129</v>
      </c>
      <c r="AN59" s="44">
        <f t="shared" si="19"/>
        <v>8948805.6339750122</v>
      </c>
      <c r="AO59" s="44">
        <f t="shared" si="19"/>
        <v>8948805.6339750122</v>
      </c>
      <c r="AP59" s="44">
        <f t="shared" si="19"/>
        <v>8948805.6339750122</v>
      </c>
      <c r="AQ59" s="44">
        <f t="shared" si="19"/>
        <v>8948805.6339750122</v>
      </c>
      <c r="AR59" s="44">
        <f t="shared" si="19"/>
        <v>8948805.6339750122</v>
      </c>
      <c r="AS59" s="44">
        <f t="shared" si="19"/>
        <v>8948805.6339750122</v>
      </c>
      <c r="AT59" s="44">
        <f t="shared" si="19"/>
        <v>8948805.6339750122</v>
      </c>
      <c r="AU59" s="44">
        <f t="shared" si="19"/>
        <v>8948805.6339750122</v>
      </c>
      <c r="AV59" s="44">
        <f t="shared" si="19"/>
        <v>8948805.6339750122</v>
      </c>
      <c r="AW59" s="44">
        <f t="shared" si="19"/>
        <v>8948805.6339750122</v>
      </c>
      <c r="AX59" s="44">
        <f t="shared" si="19"/>
        <v>8948805.6339750122</v>
      </c>
      <c r="AY59" s="44">
        <f t="shared" si="19"/>
        <v>8948805.6339750122</v>
      </c>
      <c r="AZ59" s="44">
        <f t="shared" si="19"/>
        <v>8948805.6339750122</v>
      </c>
      <c r="BA59" s="44">
        <f t="shared" si="19"/>
        <v>8948805.6339750122</v>
      </c>
      <c r="BB59" s="44">
        <f t="shared" si="19"/>
        <v>8948805.6339750122</v>
      </c>
      <c r="BC59" s="44">
        <f t="shared" si="19"/>
        <v>8948805.6339750122</v>
      </c>
      <c r="BD59" s="44">
        <f t="shared" si="19"/>
        <v>8948805.6339750122</v>
      </c>
      <c r="BE59" s="44">
        <f t="shared" si="19"/>
        <v>8948805.6339750122</v>
      </c>
      <c r="BF59" s="44">
        <f t="shared" si="19"/>
        <v>8948805.6339750122</v>
      </c>
      <c r="BG59" s="44">
        <f t="shared" si="19"/>
        <v>8948805.6339750122</v>
      </c>
      <c r="BH59" s="44">
        <f t="shared" si="19"/>
        <v>8948805.6339750122</v>
      </c>
      <c r="BI59" s="44">
        <f t="shared" si="19"/>
        <v>8948805.6339750122</v>
      </c>
      <c r="BJ59" s="44">
        <f t="shared" si="19"/>
        <v>8948805.6339750122</v>
      </c>
      <c r="BK59" s="44">
        <f t="shared" si="19"/>
        <v>8948805.6339750122</v>
      </c>
      <c r="BL59" s="44">
        <f t="shared" si="19"/>
        <v>8948805.6339750122</v>
      </c>
    </row>
    <row r="60" spans="1:64" x14ac:dyDescent="0.3">
      <c r="A60" s="8" t="s">
        <v>1014</v>
      </c>
      <c r="C60" s="22">
        <f>IF(COUNT(E60:BL60)=0,"None",MIN(E60:BL60))</f>
        <v>3</v>
      </c>
      <c r="E60" s="22" t="str">
        <f>IF(AND(E$4&lt;=Org!$B$5,E59&gt;=0),E$4,"")</f>
        <v/>
      </c>
      <c r="F60" s="22" t="str">
        <f>IF(AND(F$4&lt;=Org!$B$5,F59&gt;=0),F$4,"")</f>
        <v/>
      </c>
      <c r="G60" s="22">
        <f>IF(AND(G$4&lt;=Org!$B$5,G59&gt;=0),G$4,"")</f>
        <v>3</v>
      </c>
      <c r="H60" s="22">
        <f>IF(AND(H$4&lt;=Org!$B$5,H59&gt;=0),H$4,"")</f>
        <v>4</v>
      </c>
      <c r="I60" s="22">
        <f>IF(AND(I$4&lt;=Org!$B$5,I59&gt;=0),I$4,"")</f>
        <v>5</v>
      </c>
      <c r="J60" s="22">
        <f>IF(AND(J$4&lt;=Org!$B$5,J59&gt;=0),J$4,"")</f>
        <v>6</v>
      </c>
      <c r="K60" s="22">
        <f>IF(AND(K$4&lt;=Org!$B$5,K59&gt;=0),K$4,"")</f>
        <v>7</v>
      </c>
      <c r="L60" s="22">
        <f>IF(AND(L$4&lt;=Org!$B$5,L59&gt;=0),L$4,"")</f>
        <v>8</v>
      </c>
      <c r="M60" s="22">
        <f>IF(AND(M$4&lt;=Org!$B$5,M59&gt;=0),M$4,"")</f>
        <v>9</v>
      </c>
      <c r="N60" s="22">
        <f>IF(AND(N$4&lt;=Org!$B$5,N59&gt;=0),N$4,"")</f>
        <v>10</v>
      </c>
      <c r="O60" s="22">
        <f>IF(AND(O$4&lt;=Org!$B$5,O59&gt;=0),O$4,"")</f>
        <v>11</v>
      </c>
      <c r="P60" s="22">
        <f>IF(AND(P$4&lt;=Org!$B$5,P59&gt;=0),P$4,"")</f>
        <v>12</v>
      </c>
      <c r="Q60" s="22">
        <f>IF(AND(Q$4&lt;=Org!$B$5,Q59&gt;=0),Q$4,"")</f>
        <v>13</v>
      </c>
      <c r="R60" s="22">
        <f>IF(AND(R$4&lt;=Org!$B$5,R59&gt;=0),R$4,"")</f>
        <v>14</v>
      </c>
      <c r="S60" s="22">
        <f>IF(AND(S$4&lt;=Org!$B$5,S59&gt;=0),S$4,"")</f>
        <v>15</v>
      </c>
      <c r="T60" s="22">
        <f>IF(AND(T$4&lt;=Org!$B$5,T59&gt;=0),T$4,"")</f>
        <v>16</v>
      </c>
      <c r="U60" s="22">
        <f>IF(AND(U$4&lt;=Org!$B$5,U59&gt;=0),U$4,"")</f>
        <v>17</v>
      </c>
      <c r="V60" s="22">
        <f>IF(AND(V$4&lt;=Org!$B$5,V59&gt;=0),V$4,"")</f>
        <v>18</v>
      </c>
      <c r="W60" s="22">
        <f>IF(AND(W$4&lt;=Org!$B$5,W59&gt;=0),W$4,"")</f>
        <v>19</v>
      </c>
      <c r="X60" s="22">
        <f>IF(AND(X$4&lt;=Org!$B$5,X59&gt;=0),X$4,"")</f>
        <v>20</v>
      </c>
      <c r="Y60" s="22">
        <f>IF(AND(Y$4&lt;=Org!$B$5,Y59&gt;=0),Y$4,"")</f>
        <v>21</v>
      </c>
      <c r="Z60" s="22">
        <f>IF(AND(Z$4&lt;=Org!$B$5,Z59&gt;=0),Z$4,"")</f>
        <v>22</v>
      </c>
      <c r="AA60" s="22">
        <f>IF(AND(AA$4&lt;=Org!$B$5,AA59&gt;=0),AA$4,"")</f>
        <v>23</v>
      </c>
      <c r="AB60" s="22">
        <f>IF(AND(AB$4&lt;=Org!$B$5,AB59&gt;=0),AB$4,"")</f>
        <v>24</v>
      </c>
      <c r="AC60" s="22">
        <f>IF(AND(AC$4&lt;=Org!$B$5,AC59&gt;=0),AC$4,"")</f>
        <v>25</v>
      </c>
      <c r="AD60" s="22">
        <f>IF(AND(AD$4&lt;=Org!$B$5,AD59&gt;=0),AD$4,"")</f>
        <v>26</v>
      </c>
      <c r="AE60" s="22">
        <f>IF(AND(AE$4&lt;=Org!$B$5,AE59&gt;=0),AE$4,"")</f>
        <v>27</v>
      </c>
      <c r="AF60" s="22">
        <f>IF(AND(AF$4&lt;=Org!$B$5,AF59&gt;=0),AF$4,"")</f>
        <v>28</v>
      </c>
      <c r="AG60" s="22">
        <f>IF(AND(AG$4&lt;=Org!$B$5,AG59&gt;=0),AG$4,"")</f>
        <v>29</v>
      </c>
      <c r="AH60" s="22">
        <f>IF(AND(AH$4&lt;=Org!$B$5,AH59&gt;=0),AH$4,"")</f>
        <v>30</v>
      </c>
      <c r="AI60" s="22">
        <f>IF(AND(AI$4&lt;=Org!$B$5,AI59&gt;=0),AI$4,"")</f>
        <v>31</v>
      </c>
      <c r="AJ60" s="22">
        <f>IF(AND(AJ$4&lt;=Org!$B$5,AJ59&gt;=0),AJ$4,"")</f>
        <v>32</v>
      </c>
      <c r="AK60" s="22">
        <f>IF(AND(AK$4&lt;=Org!$B$5,AK59&gt;=0),AK$4,"")</f>
        <v>33</v>
      </c>
      <c r="AL60" s="22">
        <f>IF(AND(AL$4&lt;=Org!$B$5,AL59&gt;=0),AL$4,"")</f>
        <v>34</v>
      </c>
      <c r="AM60" s="22">
        <f>IF(AND(AM$4&lt;=Org!$B$5,AM59&gt;=0),AM$4,"")</f>
        <v>35</v>
      </c>
      <c r="AN60" s="22">
        <f>IF(AND(AN$4&lt;=Org!$B$5,AN59&gt;=0),AN$4,"")</f>
        <v>36</v>
      </c>
      <c r="AO60" s="22" t="str">
        <f>IF(AND(AO$4&lt;=Org!$B$5,AO59&gt;=0),AO$4,"")</f>
        <v/>
      </c>
      <c r="AP60" s="22" t="str">
        <f>IF(AND(AP$4&lt;=Org!$B$5,AP59&gt;=0),AP$4,"")</f>
        <v/>
      </c>
      <c r="AQ60" s="22" t="str">
        <f>IF(AND(AQ$4&lt;=Org!$B$5,AQ59&gt;=0),AQ$4,"")</f>
        <v/>
      </c>
      <c r="AR60" s="22" t="str">
        <f>IF(AND(AR$4&lt;=Org!$B$5,AR59&gt;=0),AR$4,"")</f>
        <v/>
      </c>
      <c r="AS60" s="22" t="str">
        <f>IF(AND(AS$4&lt;=Org!$B$5,AS59&gt;=0),AS$4,"")</f>
        <v/>
      </c>
      <c r="AT60" s="22" t="str">
        <f>IF(AND(AT$4&lt;=Org!$B$5,AT59&gt;=0),AT$4,"")</f>
        <v/>
      </c>
      <c r="AU60" s="22" t="str">
        <f>IF(AND(AU$4&lt;=Org!$B$5,AU59&gt;=0),AU$4,"")</f>
        <v/>
      </c>
      <c r="AV60" s="22" t="str">
        <f>IF(AND(AV$4&lt;=Org!$B$5,AV59&gt;=0),AV$4,"")</f>
        <v/>
      </c>
      <c r="AW60" s="22" t="str">
        <f>IF(AND(AW$4&lt;=Org!$B$5,AW59&gt;=0),AW$4,"")</f>
        <v/>
      </c>
      <c r="AX60" s="22" t="str">
        <f>IF(AND(AX$4&lt;=Org!$B$5,AX59&gt;=0),AX$4,"")</f>
        <v/>
      </c>
      <c r="AY60" s="22" t="str">
        <f>IF(AND(AY$4&lt;=Org!$B$5,AY59&gt;=0),AY$4,"")</f>
        <v/>
      </c>
      <c r="AZ60" s="22" t="str">
        <f>IF(AND(AZ$4&lt;=Org!$B$5,AZ59&gt;=0),AZ$4,"")</f>
        <v/>
      </c>
      <c r="BA60" s="22" t="str">
        <f>IF(AND(BA$4&lt;=Org!$B$5,BA59&gt;=0),BA$4,"")</f>
        <v/>
      </c>
      <c r="BB60" s="22" t="str">
        <f>IF(AND(BB$4&lt;=Org!$B$5,BB59&gt;=0),BB$4,"")</f>
        <v/>
      </c>
      <c r="BC60" s="22" t="str">
        <f>IF(AND(BC$4&lt;=Org!$B$5,BC59&gt;=0),BC$4,"")</f>
        <v/>
      </c>
      <c r="BD60" s="22" t="str">
        <f>IF(AND(BD$4&lt;=Org!$B$5,BD59&gt;=0),BD$4,"")</f>
        <v/>
      </c>
      <c r="BE60" s="22" t="str">
        <f>IF(AND(BE$4&lt;=Org!$B$5,BE59&gt;=0),BE$4,"")</f>
        <v/>
      </c>
      <c r="BF60" s="22" t="str">
        <f>IF(AND(BF$4&lt;=Org!$B$5,BF59&gt;=0),BF$4,"")</f>
        <v/>
      </c>
      <c r="BG60" s="22" t="str">
        <f>IF(AND(BG$4&lt;=Org!$B$5,BG59&gt;=0),BG$4,"")</f>
        <v/>
      </c>
      <c r="BH60" s="22" t="str">
        <f>IF(AND(BH$4&lt;=Org!$B$5,BH59&gt;=0),BH$4,"")</f>
        <v/>
      </c>
      <c r="BI60" s="22" t="str">
        <f>IF(AND(BI$4&lt;=Org!$B$5,BI59&gt;=0),BI$4,"")</f>
        <v/>
      </c>
      <c r="BJ60" s="22" t="str">
        <f>IF(AND(BJ$4&lt;=Org!$B$5,BJ59&gt;=0),BJ$4,"")</f>
        <v/>
      </c>
      <c r="BK60" s="22" t="str">
        <f>IF(AND(BK$4&lt;=Org!$B$5,BK59&gt;=0),BK$4,"")</f>
        <v/>
      </c>
      <c r="BL60" s="22" t="str">
        <f>IF(AND(BL$4&lt;=Org!$B$5,BL59&gt;=0),BL$4,"")</f>
        <v/>
      </c>
    </row>
    <row r="62" spans="1:64" x14ac:dyDescent="0.3">
      <c r="A62" s="17" t="str">
        <f>Teams!$E$4</f>
        <v>Customer service agent</v>
      </c>
      <c r="B62" s="18" t="s">
        <v>1009</v>
      </c>
      <c r="C62" s="50">
        <f>(Teams!$E$29*(1-Teams!$E$31)*Params!$E$39*Params!$E$21*IF(Teams!$E$36="Yes",Params!$E$22,1)*Teams!$E$68*Teams!$E$70+Teams!$E$30*(1-Teams!$E$31)*Params!$E$39*Params!$E$21*IF(Teams!$E$36="Yes",Params!$E$22,1)*Teams!$E$69)/1000000*Teams!$E$71*Teams!$E$35</f>
        <v>0</v>
      </c>
    </row>
    <row r="63" spans="1:64" x14ac:dyDescent="0.3">
      <c r="A63" s="8" t="s">
        <v>1010</v>
      </c>
      <c r="E63" s="26">
        <f>IF(E$4&lt;Teams!$E$80,0,IF(Teams!$E$22="S",MIN(1,(E$4-Teams!$E$80+1)/Teams!$E$21)^2*(3-2*MIN(1,(E$4-Teams!$E$80+1)/Teams!$E$21)),MIN(1,(E$4-Teams!$E$80+1)/Teams!$E$21)))</f>
        <v>0</v>
      </c>
      <c r="F63" s="26">
        <f>IF(F$4&lt;Teams!$E$80,0,IF(Teams!$E$22="S",MIN(1,(F$4-Teams!$E$80+1)/Teams!$E$21)^2*(3-2*MIN(1,(F$4-Teams!$E$80+1)/Teams!$E$21)),MIN(1,(F$4-Teams!$E$80+1)/Teams!$E$21)))</f>
        <v>7.407407407407407E-2</v>
      </c>
      <c r="G63" s="26">
        <f>IF(G$4&lt;Teams!$E$80,0,IF(Teams!$E$22="S",MIN(1,(G$4-Teams!$E$80+1)/Teams!$E$21)^2*(3-2*MIN(1,(G$4-Teams!$E$80+1)/Teams!$E$21)),MIN(1,(G$4-Teams!$E$80+1)/Teams!$E$21)))</f>
        <v>0.25925925925925924</v>
      </c>
      <c r="H63" s="26">
        <f>IF(H$4&lt;Teams!$E$80,0,IF(Teams!$E$22="S",MIN(1,(H$4-Teams!$E$80+1)/Teams!$E$21)^2*(3-2*MIN(1,(H$4-Teams!$E$80+1)/Teams!$E$21)),MIN(1,(H$4-Teams!$E$80+1)/Teams!$E$21)))</f>
        <v>0.5</v>
      </c>
      <c r="I63" s="26">
        <f>IF(I$4&lt;Teams!$E$80,0,IF(Teams!$E$22="S",MIN(1,(I$4-Teams!$E$80+1)/Teams!$E$21)^2*(3-2*MIN(1,(I$4-Teams!$E$80+1)/Teams!$E$21)),MIN(1,(I$4-Teams!$E$80+1)/Teams!$E$21)))</f>
        <v>0.7407407407407407</v>
      </c>
      <c r="J63" s="26">
        <f>IF(J$4&lt;Teams!$E$80,0,IF(Teams!$E$22="S",MIN(1,(J$4-Teams!$E$80+1)/Teams!$E$21)^2*(3-2*MIN(1,(J$4-Teams!$E$80+1)/Teams!$E$21)),MIN(1,(J$4-Teams!$E$80+1)/Teams!$E$21)))</f>
        <v>0.92592592592592604</v>
      </c>
      <c r="K63" s="26">
        <f>IF(K$4&lt;Teams!$E$80,0,IF(Teams!$E$22="S",MIN(1,(K$4-Teams!$E$80+1)/Teams!$E$21)^2*(3-2*MIN(1,(K$4-Teams!$E$80+1)/Teams!$E$21)),MIN(1,(K$4-Teams!$E$80+1)/Teams!$E$21)))</f>
        <v>1</v>
      </c>
      <c r="L63" s="26">
        <f>IF(L$4&lt;Teams!$E$80,0,IF(Teams!$E$22="S",MIN(1,(L$4-Teams!$E$80+1)/Teams!$E$21)^2*(3-2*MIN(1,(L$4-Teams!$E$80+1)/Teams!$E$21)),MIN(1,(L$4-Teams!$E$80+1)/Teams!$E$21)))</f>
        <v>1</v>
      </c>
      <c r="M63" s="26">
        <f>IF(M$4&lt;Teams!$E$80,0,IF(Teams!$E$22="S",MIN(1,(M$4-Teams!$E$80+1)/Teams!$E$21)^2*(3-2*MIN(1,(M$4-Teams!$E$80+1)/Teams!$E$21)),MIN(1,(M$4-Teams!$E$80+1)/Teams!$E$21)))</f>
        <v>1</v>
      </c>
      <c r="N63" s="26">
        <f>IF(N$4&lt;Teams!$E$80,0,IF(Teams!$E$22="S",MIN(1,(N$4-Teams!$E$80+1)/Teams!$E$21)^2*(3-2*MIN(1,(N$4-Teams!$E$80+1)/Teams!$E$21)),MIN(1,(N$4-Teams!$E$80+1)/Teams!$E$21)))</f>
        <v>1</v>
      </c>
      <c r="O63" s="26">
        <f>IF(O$4&lt;Teams!$E$80,0,IF(Teams!$E$22="S",MIN(1,(O$4-Teams!$E$80+1)/Teams!$E$21)^2*(3-2*MIN(1,(O$4-Teams!$E$80+1)/Teams!$E$21)),MIN(1,(O$4-Teams!$E$80+1)/Teams!$E$21)))</f>
        <v>1</v>
      </c>
      <c r="P63" s="26">
        <f>IF(P$4&lt;Teams!$E$80,0,IF(Teams!$E$22="S",MIN(1,(P$4-Teams!$E$80+1)/Teams!$E$21)^2*(3-2*MIN(1,(P$4-Teams!$E$80+1)/Teams!$E$21)),MIN(1,(P$4-Teams!$E$80+1)/Teams!$E$21)))</f>
        <v>1</v>
      </c>
      <c r="Q63" s="26">
        <f>IF(Q$4&lt;Teams!$E$80,0,IF(Teams!$E$22="S",MIN(1,(Q$4-Teams!$E$80+1)/Teams!$E$21)^2*(3-2*MIN(1,(Q$4-Teams!$E$80+1)/Teams!$E$21)),MIN(1,(Q$4-Teams!$E$80+1)/Teams!$E$21)))</f>
        <v>1</v>
      </c>
      <c r="R63" s="26">
        <f>IF(R$4&lt;Teams!$E$80,0,IF(Teams!$E$22="S",MIN(1,(R$4-Teams!$E$80+1)/Teams!$E$21)^2*(3-2*MIN(1,(R$4-Teams!$E$80+1)/Teams!$E$21)),MIN(1,(R$4-Teams!$E$80+1)/Teams!$E$21)))</f>
        <v>1</v>
      </c>
      <c r="S63" s="26">
        <f>IF(S$4&lt;Teams!$E$80,0,IF(Teams!$E$22="S",MIN(1,(S$4-Teams!$E$80+1)/Teams!$E$21)^2*(3-2*MIN(1,(S$4-Teams!$E$80+1)/Teams!$E$21)),MIN(1,(S$4-Teams!$E$80+1)/Teams!$E$21)))</f>
        <v>1</v>
      </c>
      <c r="T63" s="26">
        <f>IF(T$4&lt;Teams!$E$80,0,IF(Teams!$E$22="S",MIN(1,(T$4-Teams!$E$80+1)/Teams!$E$21)^2*(3-2*MIN(1,(T$4-Teams!$E$80+1)/Teams!$E$21)),MIN(1,(T$4-Teams!$E$80+1)/Teams!$E$21)))</f>
        <v>1</v>
      </c>
      <c r="U63" s="26">
        <f>IF(U$4&lt;Teams!$E$80,0,IF(Teams!$E$22="S",MIN(1,(U$4-Teams!$E$80+1)/Teams!$E$21)^2*(3-2*MIN(1,(U$4-Teams!$E$80+1)/Teams!$E$21)),MIN(1,(U$4-Teams!$E$80+1)/Teams!$E$21)))</f>
        <v>1</v>
      </c>
      <c r="V63" s="26">
        <f>IF(V$4&lt;Teams!$E$80,0,IF(Teams!$E$22="S",MIN(1,(V$4-Teams!$E$80+1)/Teams!$E$21)^2*(3-2*MIN(1,(V$4-Teams!$E$80+1)/Teams!$E$21)),MIN(1,(V$4-Teams!$E$80+1)/Teams!$E$21)))</f>
        <v>1</v>
      </c>
      <c r="W63" s="26">
        <f>IF(W$4&lt;Teams!$E$80,0,IF(Teams!$E$22="S",MIN(1,(W$4-Teams!$E$80+1)/Teams!$E$21)^2*(3-2*MIN(1,(W$4-Teams!$E$80+1)/Teams!$E$21)),MIN(1,(W$4-Teams!$E$80+1)/Teams!$E$21)))</f>
        <v>1</v>
      </c>
      <c r="X63" s="26">
        <f>IF(X$4&lt;Teams!$E$80,0,IF(Teams!$E$22="S",MIN(1,(X$4-Teams!$E$80+1)/Teams!$E$21)^2*(3-2*MIN(1,(X$4-Teams!$E$80+1)/Teams!$E$21)),MIN(1,(X$4-Teams!$E$80+1)/Teams!$E$21)))</f>
        <v>1</v>
      </c>
      <c r="Y63" s="26">
        <f>IF(Y$4&lt;Teams!$E$80,0,IF(Teams!$E$22="S",MIN(1,(Y$4-Teams!$E$80+1)/Teams!$E$21)^2*(3-2*MIN(1,(Y$4-Teams!$E$80+1)/Teams!$E$21)),MIN(1,(Y$4-Teams!$E$80+1)/Teams!$E$21)))</f>
        <v>1</v>
      </c>
      <c r="Z63" s="26">
        <f>IF(Z$4&lt;Teams!$E$80,0,IF(Teams!$E$22="S",MIN(1,(Z$4-Teams!$E$80+1)/Teams!$E$21)^2*(3-2*MIN(1,(Z$4-Teams!$E$80+1)/Teams!$E$21)),MIN(1,(Z$4-Teams!$E$80+1)/Teams!$E$21)))</f>
        <v>1</v>
      </c>
      <c r="AA63" s="26">
        <f>IF(AA$4&lt;Teams!$E$80,0,IF(Teams!$E$22="S",MIN(1,(AA$4-Teams!$E$80+1)/Teams!$E$21)^2*(3-2*MIN(1,(AA$4-Teams!$E$80+1)/Teams!$E$21)),MIN(1,(AA$4-Teams!$E$80+1)/Teams!$E$21)))</f>
        <v>1</v>
      </c>
      <c r="AB63" s="26">
        <f>IF(AB$4&lt;Teams!$E$80,0,IF(Teams!$E$22="S",MIN(1,(AB$4-Teams!$E$80+1)/Teams!$E$21)^2*(3-2*MIN(1,(AB$4-Teams!$E$80+1)/Teams!$E$21)),MIN(1,(AB$4-Teams!$E$80+1)/Teams!$E$21)))</f>
        <v>1</v>
      </c>
      <c r="AC63" s="26">
        <f>IF(AC$4&lt;Teams!$E$80,0,IF(Teams!$E$22="S",MIN(1,(AC$4-Teams!$E$80+1)/Teams!$E$21)^2*(3-2*MIN(1,(AC$4-Teams!$E$80+1)/Teams!$E$21)),MIN(1,(AC$4-Teams!$E$80+1)/Teams!$E$21)))</f>
        <v>1</v>
      </c>
      <c r="AD63" s="26">
        <f>IF(AD$4&lt;Teams!$E$80,0,IF(Teams!$E$22="S",MIN(1,(AD$4-Teams!$E$80+1)/Teams!$E$21)^2*(3-2*MIN(1,(AD$4-Teams!$E$80+1)/Teams!$E$21)),MIN(1,(AD$4-Teams!$E$80+1)/Teams!$E$21)))</f>
        <v>1</v>
      </c>
      <c r="AE63" s="26">
        <f>IF(AE$4&lt;Teams!$E$80,0,IF(Teams!$E$22="S",MIN(1,(AE$4-Teams!$E$80+1)/Teams!$E$21)^2*(3-2*MIN(1,(AE$4-Teams!$E$80+1)/Teams!$E$21)),MIN(1,(AE$4-Teams!$E$80+1)/Teams!$E$21)))</f>
        <v>1</v>
      </c>
      <c r="AF63" s="26">
        <f>IF(AF$4&lt;Teams!$E$80,0,IF(Teams!$E$22="S",MIN(1,(AF$4-Teams!$E$80+1)/Teams!$E$21)^2*(3-2*MIN(1,(AF$4-Teams!$E$80+1)/Teams!$E$21)),MIN(1,(AF$4-Teams!$E$80+1)/Teams!$E$21)))</f>
        <v>1</v>
      </c>
      <c r="AG63" s="26">
        <f>IF(AG$4&lt;Teams!$E$80,0,IF(Teams!$E$22="S",MIN(1,(AG$4-Teams!$E$80+1)/Teams!$E$21)^2*(3-2*MIN(1,(AG$4-Teams!$E$80+1)/Teams!$E$21)),MIN(1,(AG$4-Teams!$E$80+1)/Teams!$E$21)))</f>
        <v>1</v>
      </c>
      <c r="AH63" s="26">
        <f>IF(AH$4&lt;Teams!$E$80,0,IF(Teams!$E$22="S",MIN(1,(AH$4-Teams!$E$80+1)/Teams!$E$21)^2*(3-2*MIN(1,(AH$4-Teams!$E$80+1)/Teams!$E$21)),MIN(1,(AH$4-Teams!$E$80+1)/Teams!$E$21)))</f>
        <v>1</v>
      </c>
      <c r="AI63" s="26">
        <f>IF(AI$4&lt;Teams!$E$80,0,IF(Teams!$E$22="S",MIN(1,(AI$4-Teams!$E$80+1)/Teams!$E$21)^2*(3-2*MIN(1,(AI$4-Teams!$E$80+1)/Teams!$E$21)),MIN(1,(AI$4-Teams!$E$80+1)/Teams!$E$21)))</f>
        <v>1</v>
      </c>
      <c r="AJ63" s="26">
        <f>IF(AJ$4&lt;Teams!$E$80,0,IF(Teams!$E$22="S",MIN(1,(AJ$4-Teams!$E$80+1)/Teams!$E$21)^2*(3-2*MIN(1,(AJ$4-Teams!$E$80+1)/Teams!$E$21)),MIN(1,(AJ$4-Teams!$E$80+1)/Teams!$E$21)))</f>
        <v>1</v>
      </c>
      <c r="AK63" s="26">
        <f>IF(AK$4&lt;Teams!$E$80,0,IF(Teams!$E$22="S",MIN(1,(AK$4-Teams!$E$80+1)/Teams!$E$21)^2*(3-2*MIN(1,(AK$4-Teams!$E$80+1)/Teams!$E$21)),MIN(1,(AK$4-Teams!$E$80+1)/Teams!$E$21)))</f>
        <v>1</v>
      </c>
      <c r="AL63" s="26">
        <f>IF(AL$4&lt;Teams!$E$80,0,IF(Teams!$E$22="S",MIN(1,(AL$4-Teams!$E$80+1)/Teams!$E$21)^2*(3-2*MIN(1,(AL$4-Teams!$E$80+1)/Teams!$E$21)),MIN(1,(AL$4-Teams!$E$80+1)/Teams!$E$21)))</f>
        <v>1</v>
      </c>
      <c r="AM63" s="26">
        <f>IF(AM$4&lt;Teams!$E$80,0,IF(Teams!$E$22="S",MIN(1,(AM$4-Teams!$E$80+1)/Teams!$E$21)^2*(3-2*MIN(1,(AM$4-Teams!$E$80+1)/Teams!$E$21)),MIN(1,(AM$4-Teams!$E$80+1)/Teams!$E$21)))</f>
        <v>1</v>
      </c>
      <c r="AN63" s="26">
        <f>IF(AN$4&lt;Teams!$E$80,0,IF(Teams!$E$22="S",MIN(1,(AN$4-Teams!$E$80+1)/Teams!$E$21)^2*(3-2*MIN(1,(AN$4-Teams!$E$80+1)/Teams!$E$21)),MIN(1,(AN$4-Teams!$E$80+1)/Teams!$E$21)))</f>
        <v>1</v>
      </c>
      <c r="AO63" s="26">
        <f>IF(AO$4&lt;Teams!$E$80,0,IF(Teams!$E$22="S",MIN(1,(AO$4-Teams!$E$80+1)/Teams!$E$21)^2*(3-2*MIN(1,(AO$4-Teams!$E$80+1)/Teams!$E$21)),MIN(1,(AO$4-Teams!$E$80+1)/Teams!$E$21)))</f>
        <v>1</v>
      </c>
      <c r="AP63" s="26">
        <f>IF(AP$4&lt;Teams!$E$80,0,IF(Teams!$E$22="S",MIN(1,(AP$4-Teams!$E$80+1)/Teams!$E$21)^2*(3-2*MIN(1,(AP$4-Teams!$E$80+1)/Teams!$E$21)),MIN(1,(AP$4-Teams!$E$80+1)/Teams!$E$21)))</f>
        <v>1</v>
      </c>
      <c r="AQ63" s="26">
        <f>IF(AQ$4&lt;Teams!$E$80,0,IF(Teams!$E$22="S",MIN(1,(AQ$4-Teams!$E$80+1)/Teams!$E$21)^2*(3-2*MIN(1,(AQ$4-Teams!$E$80+1)/Teams!$E$21)),MIN(1,(AQ$4-Teams!$E$80+1)/Teams!$E$21)))</f>
        <v>1</v>
      </c>
      <c r="AR63" s="26">
        <f>IF(AR$4&lt;Teams!$E$80,0,IF(Teams!$E$22="S",MIN(1,(AR$4-Teams!$E$80+1)/Teams!$E$21)^2*(3-2*MIN(1,(AR$4-Teams!$E$80+1)/Teams!$E$21)),MIN(1,(AR$4-Teams!$E$80+1)/Teams!$E$21)))</f>
        <v>1</v>
      </c>
      <c r="AS63" s="26">
        <f>IF(AS$4&lt;Teams!$E$80,0,IF(Teams!$E$22="S",MIN(1,(AS$4-Teams!$E$80+1)/Teams!$E$21)^2*(3-2*MIN(1,(AS$4-Teams!$E$80+1)/Teams!$E$21)),MIN(1,(AS$4-Teams!$E$80+1)/Teams!$E$21)))</f>
        <v>1</v>
      </c>
      <c r="AT63" s="26">
        <f>IF(AT$4&lt;Teams!$E$80,0,IF(Teams!$E$22="S",MIN(1,(AT$4-Teams!$E$80+1)/Teams!$E$21)^2*(3-2*MIN(1,(AT$4-Teams!$E$80+1)/Teams!$E$21)),MIN(1,(AT$4-Teams!$E$80+1)/Teams!$E$21)))</f>
        <v>1</v>
      </c>
      <c r="AU63" s="26">
        <f>IF(AU$4&lt;Teams!$E$80,0,IF(Teams!$E$22="S",MIN(1,(AU$4-Teams!$E$80+1)/Teams!$E$21)^2*(3-2*MIN(1,(AU$4-Teams!$E$80+1)/Teams!$E$21)),MIN(1,(AU$4-Teams!$E$80+1)/Teams!$E$21)))</f>
        <v>1</v>
      </c>
      <c r="AV63" s="26">
        <f>IF(AV$4&lt;Teams!$E$80,0,IF(Teams!$E$22="S",MIN(1,(AV$4-Teams!$E$80+1)/Teams!$E$21)^2*(3-2*MIN(1,(AV$4-Teams!$E$80+1)/Teams!$E$21)),MIN(1,(AV$4-Teams!$E$80+1)/Teams!$E$21)))</f>
        <v>1</v>
      </c>
      <c r="AW63" s="26">
        <f>IF(AW$4&lt;Teams!$E$80,0,IF(Teams!$E$22="S",MIN(1,(AW$4-Teams!$E$80+1)/Teams!$E$21)^2*(3-2*MIN(1,(AW$4-Teams!$E$80+1)/Teams!$E$21)),MIN(1,(AW$4-Teams!$E$80+1)/Teams!$E$21)))</f>
        <v>1</v>
      </c>
      <c r="AX63" s="26">
        <f>IF(AX$4&lt;Teams!$E$80,0,IF(Teams!$E$22="S",MIN(1,(AX$4-Teams!$E$80+1)/Teams!$E$21)^2*(3-2*MIN(1,(AX$4-Teams!$E$80+1)/Teams!$E$21)),MIN(1,(AX$4-Teams!$E$80+1)/Teams!$E$21)))</f>
        <v>1</v>
      </c>
      <c r="AY63" s="26">
        <f>IF(AY$4&lt;Teams!$E$80,0,IF(Teams!$E$22="S",MIN(1,(AY$4-Teams!$E$80+1)/Teams!$E$21)^2*(3-2*MIN(1,(AY$4-Teams!$E$80+1)/Teams!$E$21)),MIN(1,(AY$4-Teams!$E$80+1)/Teams!$E$21)))</f>
        <v>1</v>
      </c>
      <c r="AZ63" s="26">
        <f>IF(AZ$4&lt;Teams!$E$80,0,IF(Teams!$E$22="S",MIN(1,(AZ$4-Teams!$E$80+1)/Teams!$E$21)^2*(3-2*MIN(1,(AZ$4-Teams!$E$80+1)/Teams!$E$21)),MIN(1,(AZ$4-Teams!$E$80+1)/Teams!$E$21)))</f>
        <v>1</v>
      </c>
      <c r="BA63" s="26">
        <f>IF(BA$4&lt;Teams!$E$80,0,IF(Teams!$E$22="S",MIN(1,(BA$4-Teams!$E$80+1)/Teams!$E$21)^2*(3-2*MIN(1,(BA$4-Teams!$E$80+1)/Teams!$E$21)),MIN(1,(BA$4-Teams!$E$80+1)/Teams!$E$21)))</f>
        <v>1</v>
      </c>
      <c r="BB63" s="26">
        <f>IF(BB$4&lt;Teams!$E$80,0,IF(Teams!$E$22="S",MIN(1,(BB$4-Teams!$E$80+1)/Teams!$E$21)^2*(3-2*MIN(1,(BB$4-Teams!$E$80+1)/Teams!$E$21)),MIN(1,(BB$4-Teams!$E$80+1)/Teams!$E$21)))</f>
        <v>1</v>
      </c>
      <c r="BC63" s="26">
        <f>IF(BC$4&lt;Teams!$E$80,0,IF(Teams!$E$22="S",MIN(1,(BC$4-Teams!$E$80+1)/Teams!$E$21)^2*(3-2*MIN(1,(BC$4-Teams!$E$80+1)/Teams!$E$21)),MIN(1,(BC$4-Teams!$E$80+1)/Teams!$E$21)))</f>
        <v>1</v>
      </c>
      <c r="BD63" s="26">
        <f>IF(BD$4&lt;Teams!$E$80,0,IF(Teams!$E$22="S",MIN(1,(BD$4-Teams!$E$80+1)/Teams!$E$21)^2*(3-2*MIN(1,(BD$4-Teams!$E$80+1)/Teams!$E$21)),MIN(1,(BD$4-Teams!$E$80+1)/Teams!$E$21)))</f>
        <v>1</v>
      </c>
      <c r="BE63" s="26">
        <f>IF(BE$4&lt;Teams!$E$80,0,IF(Teams!$E$22="S",MIN(1,(BE$4-Teams!$E$80+1)/Teams!$E$21)^2*(3-2*MIN(1,(BE$4-Teams!$E$80+1)/Teams!$E$21)),MIN(1,(BE$4-Teams!$E$80+1)/Teams!$E$21)))</f>
        <v>1</v>
      </c>
      <c r="BF63" s="26">
        <f>IF(BF$4&lt;Teams!$E$80,0,IF(Teams!$E$22="S",MIN(1,(BF$4-Teams!$E$80+1)/Teams!$E$21)^2*(3-2*MIN(1,(BF$4-Teams!$E$80+1)/Teams!$E$21)),MIN(1,(BF$4-Teams!$E$80+1)/Teams!$E$21)))</f>
        <v>1</v>
      </c>
      <c r="BG63" s="26">
        <f>IF(BG$4&lt;Teams!$E$80,0,IF(Teams!$E$22="S",MIN(1,(BG$4-Teams!$E$80+1)/Teams!$E$21)^2*(3-2*MIN(1,(BG$4-Teams!$E$80+1)/Teams!$E$21)),MIN(1,(BG$4-Teams!$E$80+1)/Teams!$E$21)))</f>
        <v>1</v>
      </c>
      <c r="BH63" s="26">
        <f>IF(BH$4&lt;Teams!$E$80,0,IF(Teams!$E$22="S",MIN(1,(BH$4-Teams!$E$80+1)/Teams!$E$21)^2*(3-2*MIN(1,(BH$4-Teams!$E$80+1)/Teams!$E$21)),MIN(1,(BH$4-Teams!$E$80+1)/Teams!$E$21)))</f>
        <v>1</v>
      </c>
      <c r="BI63" s="26">
        <f>IF(BI$4&lt;Teams!$E$80,0,IF(Teams!$E$22="S",MIN(1,(BI$4-Teams!$E$80+1)/Teams!$E$21)^2*(3-2*MIN(1,(BI$4-Teams!$E$80+1)/Teams!$E$21)),MIN(1,(BI$4-Teams!$E$80+1)/Teams!$E$21)))</f>
        <v>1</v>
      </c>
      <c r="BJ63" s="26">
        <f>IF(BJ$4&lt;Teams!$E$80,0,IF(Teams!$E$22="S",MIN(1,(BJ$4-Teams!$E$80+1)/Teams!$E$21)^2*(3-2*MIN(1,(BJ$4-Teams!$E$80+1)/Teams!$E$21)),MIN(1,(BJ$4-Teams!$E$80+1)/Teams!$E$21)))</f>
        <v>1</v>
      </c>
      <c r="BK63" s="26">
        <f>IF(BK$4&lt;Teams!$E$80,0,IF(Teams!$E$22="S",MIN(1,(BK$4-Teams!$E$80+1)/Teams!$E$21)^2*(3-2*MIN(1,(BK$4-Teams!$E$80+1)/Teams!$E$21)),MIN(1,(BK$4-Teams!$E$80+1)/Teams!$E$21)))</f>
        <v>1</v>
      </c>
      <c r="BL63" s="26">
        <f>IF(BL$4&lt;Teams!$E$80,0,IF(Teams!$E$22="S",MIN(1,(BL$4-Teams!$E$80+1)/Teams!$E$21)^2*(3-2*MIN(1,(BL$4-Teams!$E$80+1)/Teams!$E$21)),MIN(1,(BL$4-Teams!$E$80+1)/Teams!$E$21)))</f>
        <v>1</v>
      </c>
    </row>
    <row r="64" spans="1:64" x14ac:dyDescent="0.3">
      <c r="A64" s="8" t="s">
        <v>160</v>
      </c>
      <c r="E64" s="22">
        <f>IF(E$4&gt;=Teams!$E$80,Teams!$E$18,0)</f>
        <v>0</v>
      </c>
      <c r="F64" s="22">
        <f>IF(F$4&gt;=Teams!$E$80,Teams!$E$18,0)</f>
        <v>60</v>
      </c>
      <c r="G64" s="22">
        <f>IF(G$4&gt;=Teams!$E$80,Teams!$E$18,0)</f>
        <v>60</v>
      </c>
      <c r="H64" s="22">
        <f>IF(H$4&gt;=Teams!$E$80,Teams!$E$18,0)</f>
        <v>60</v>
      </c>
      <c r="I64" s="22">
        <f>IF(I$4&gt;=Teams!$E$80,Teams!$E$18,0)</f>
        <v>60</v>
      </c>
      <c r="J64" s="22">
        <f>IF(J$4&gt;=Teams!$E$80,Teams!$E$18,0)</f>
        <v>60</v>
      </c>
      <c r="K64" s="22">
        <f>IF(K$4&gt;=Teams!$E$80,Teams!$E$18,0)</f>
        <v>60</v>
      </c>
      <c r="L64" s="22">
        <f>IF(L$4&gt;=Teams!$E$80,Teams!$E$18,0)</f>
        <v>60</v>
      </c>
      <c r="M64" s="22">
        <f>IF(M$4&gt;=Teams!$E$80,Teams!$E$18,0)</f>
        <v>60</v>
      </c>
      <c r="N64" s="22">
        <f>IF(N$4&gt;=Teams!$E$80,Teams!$E$18,0)</f>
        <v>60</v>
      </c>
      <c r="O64" s="22">
        <f>IF(O$4&gt;=Teams!$E$80,Teams!$E$18,0)</f>
        <v>60</v>
      </c>
      <c r="P64" s="22">
        <f>IF(P$4&gt;=Teams!$E$80,Teams!$E$18,0)</f>
        <v>60</v>
      </c>
      <c r="Q64" s="22">
        <f>IF(Q$4&gt;=Teams!$E$80,Teams!$E$18,0)</f>
        <v>60</v>
      </c>
      <c r="R64" s="22">
        <f>IF(R$4&gt;=Teams!$E$80,Teams!$E$18,0)</f>
        <v>60</v>
      </c>
      <c r="S64" s="22">
        <f>IF(S$4&gt;=Teams!$E$80,Teams!$E$18,0)</f>
        <v>60</v>
      </c>
      <c r="T64" s="22">
        <f>IF(T$4&gt;=Teams!$E$80,Teams!$E$18,0)</f>
        <v>60</v>
      </c>
      <c r="U64" s="22">
        <f>IF(U$4&gt;=Teams!$E$80,Teams!$E$18,0)</f>
        <v>60</v>
      </c>
      <c r="V64" s="22">
        <f>IF(V$4&gt;=Teams!$E$80,Teams!$E$18,0)</f>
        <v>60</v>
      </c>
      <c r="W64" s="22">
        <f>IF(W$4&gt;=Teams!$E$80,Teams!$E$18,0)</f>
        <v>60</v>
      </c>
      <c r="X64" s="22">
        <f>IF(X$4&gt;=Teams!$E$80,Teams!$E$18,0)</f>
        <v>60</v>
      </c>
      <c r="Y64" s="22">
        <f>IF(Y$4&gt;=Teams!$E$80,Teams!$E$18,0)</f>
        <v>60</v>
      </c>
      <c r="Z64" s="22">
        <f>IF(Z$4&gt;=Teams!$E$80,Teams!$E$18,0)</f>
        <v>60</v>
      </c>
      <c r="AA64" s="22">
        <f>IF(AA$4&gt;=Teams!$E$80,Teams!$E$18,0)</f>
        <v>60</v>
      </c>
      <c r="AB64" s="22">
        <f>IF(AB$4&gt;=Teams!$E$80,Teams!$E$18,0)</f>
        <v>60</v>
      </c>
      <c r="AC64" s="22">
        <f>IF(AC$4&gt;=Teams!$E$80,Teams!$E$18,0)</f>
        <v>60</v>
      </c>
      <c r="AD64" s="22">
        <f>IF(AD$4&gt;=Teams!$E$80,Teams!$E$18,0)</f>
        <v>60</v>
      </c>
      <c r="AE64" s="22">
        <f>IF(AE$4&gt;=Teams!$E$80,Teams!$E$18,0)</f>
        <v>60</v>
      </c>
      <c r="AF64" s="22">
        <f>IF(AF$4&gt;=Teams!$E$80,Teams!$E$18,0)</f>
        <v>60</v>
      </c>
      <c r="AG64" s="22">
        <f>IF(AG$4&gt;=Teams!$E$80,Teams!$E$18,0)</f>
        <v>60</v>
      </c>
      <c r="AH64" s="22">
        <f>IF(AH$4&gt;=Teams!$E$80,Teams!$E$18,0)</f>
        <v>60</v>
      </c>
      <c r="AI64" s="22">
        <f>IF(AI$4&gt;=Teams!$E$80,Teams!$E$18,0)</f>
        <v>60</v>
      </c>
      <c r="AJ64" s="22">
        <f>IF(AJ$4&gt;=Teams!$E$80,Teams!$E$18,0)</f>
        <v>60</v>
      </c>
      <c r="AK64" s="22">
        <f>IF(AK$4&gt;=Teams!$E$80,Teams!$E$18,0)</f>
        <v>60</v>
      </c>
      <c r="AL64" s="22">
        <f>IF(AL$4&gt;=Teams!$E$80,Teams!$E$18,0)</f>
        <v>60</v>
      </c>
      <c r="AM64" s="22">
        <f>IF(AM$4&gt;=Teams!$E$80,Teams!$E$18,0)</f>
        <v>60</v>
      </c>
      <c r="AN64" s="22">
        <f>IF(AN$4&gt;=Teams!$E$80,Teams!$E$18,0)</f>
        <v>60</v>
      </c>
      <c r="AO64" s="22">
        <f>IF(AO$4&gt;=Teams!$E$80,Teams!$E$18,0)</f>
        <v>60</v>
      </c>
      <c r="AP64" s="22">
        <f>IF(AP$4&gt;=Teams!$E$80,Teams!$E$18,0)</f>
        <v>60</v>
      </c>
      <c r="AQ64" s="22">
        <f>IF(AQ$4&gt;=Teams!$E$80,Teams!$E$18,0)</f>
        <v>60</v>
      </c>
      <c r="AR64" s="22">
        <f>IF(AR$4&gt;=Teams!$E$80,Teams!$E$18,0)</f>
        <v>60</v>
      </c>
      <c r="AS64" s="22">
        <f>IF(AS$4&gt;=Teams!$E$80,Teams!$E$18,0)</f>
        <v>60</v>
      </c>
      <c r="AT64" s="22">
        <f>IF(AT$4&gt;=Teams!$E$80,Teams!$E$18,0)</f>
        <v>60</v>
      </c>
      <c r="AU64" s="22">
        <f>IF(AU$4&gt;=Teams!$E$80,Teams!$E$18,0)</f>
        <v>60</v>
      </c>
      <c r="AV64" s="22">
        <f>IF(AV$4&gt;=Teams!$E$80,Teams!$E$18,0)</f>
        <v>60</v>
      </c>
      <c r="AW64" s="22">
        <f>IF(AW$4&gt;=Teams!$E$80,Teams!$E$18,0)</f>
        <v>60</v>
      </c>
      <c r="AX64" s="22">
        <f>IF(AX$4&gt;=Teams!$E$80,Teams!$E$18,0)</f>
        <v>60</v>
      </c>
      <c r="AY64" s="22">
        <f>IF(AY$4&gt;=Teams!$E$80,Teams!$E$18,0)</f>
        <v>60</v>
      </c>
      <c r="AZ64" s="22">
        <f>IF(AZ$4&gt;=Teams!$E$80,Teams!$E$18,0)</f>
        <v>60</v>
      </c>
      <c r="BA64" s="22">
        <f>IF(BA$4&gt;=Teams!$E$80,Teams!$E$18,0)</f>
        <v>60</v>
      </c>
      <c r="BB64" s="22">
        <f>IF(BB$4&gt;=Teams!$E$80,Teams!$E$18,0)</f>
        <v>60</v>
      </c>
      <c r="BC64" s="22">
        <f>IF(BC$4&gt;=Teams!$E$80,Teams!$E$18,0)</f>
        <v>60</v>
      </c>
      <c r="BD64" s="22">
        <f>IF(BD$4&gt;=Teams!$E$80,Teams!$E$18,0)</f>
        <v>60</v>
      </c>
      <c r="BE64" s="22">
        <f>IF(BE$4&gt;=Teams!$E$80,Teams!$E$18,0)</f>
        <v>60</v>
      </c>
      <c r="BF64" s="22">
        <f>IF(BF$4&gt;=Teams!$E$80,Teams!$E$18,0)</f>
        <v>60</v>
      </c>
      <c r="BG64" s="22">
        <f>IF(BG$4&gt;=Teams!$E$80,Teams!$E$18,0)</f>
        <v>60</v>
      </c>
      <c r="BH64" s="22">
        <f>IF(BH$4&gt;=Teams!$E$80,Teams!$E$18,0)</f>
        <v>60</v>
      </c>
      <c r="BI64" s="22">
        <f>IF(BI$4&gt;=Teams!$E$80,Teams!$E$18,0)</f>
        <v>60</v>
      </c>
      <c r="BJ64" s="22">
        <f>IF(BJ$4&gt;=Teams!$E$80,Teams!$E$18,0)</f>
        <v>60</v>
      </c>
      <c r="BK64" s="22">
        <f>IF(BK$4&gt;=Teams!$E$80,Teams!$E$18,0)</f>
        <v>60</v>
      </c>
      <c r="BL64" s="22">
        <f>IF(BL$4&gt;=Teams!$E$80,Teams!$E$18,0)</f>
        <v>60</v>
      </c>
    </row>
    <row r="65" spans="1:64" x14ac:dyDescent="0.3">
      <c r="A65" s="8" t="s">
        <v>1011</v>
      </c>
      <c r="C65" s="22">
        <f>SUMPRODUCT(E65:BL65,E$5:BL$5)</f>
        <v>1657.5</v>
      </c>
      <c r="E65" s="22">
        <f>E64*Teams!$E$19*E63</f>
        <v>0</v>
      </c>
      <c r="F65" s="22">
        <f>F64*Teams!$E$19*F63</f>
        <v>3.7777777777777777</v>
      </c>
      <c r="G65" s="22">
        <f>G64*Teams!$E$19*G63</f>
        <v>13.222222222222221</v>
      </c>
      <c r="H65" s="22">
        <f>H64*Teams!$E$19*H63</f>
        <v>25.5</v>
      </c>
      <c r="I65" s="22">
        <f>I64*Teams!$E$19*I63</f>
        <v>37.777777777777779</v>
      </c>
      <c r="J65" s="22">
        <f>J64*Teams!$E$19*J63</f>
        <v>47.222222222222229</v>
      </c>
      <c r="K65" s="22">
        <f>K64*Teams!$E$19*K63</f>
        <v>51</v>
      </c>
      <c r="L65" s="22">
        <f>L64*Teams!$E$19*L63</f>
        <v>51</v>
      </c>
      <c r="M65" s="22">
        <f>M64*Teams!$E$19*M63</f>
        <v>51</v>
      </c>
      <c r="N65" s="22">
        <f>N64*Teams!$E$19*N63</f>
        <v>51</v>
      </c>
      <c r="O65" s="22">
        <f>O64*Teams!$E$19*O63</f>
        <v>51</v>
      </c>
      <c r="P65" s="22">
        <f>P64*Teams!$E$19*P63</f>
        <v>51</v>
      </c>
      <c r="Q65" s="22">
        <f>Q64*Teams!$E$19*Q63</f>
        <v>51</v>
      </c>
      <c r="R65" s="22">
        <f>R64*Teams!$E$19*R63</f>
        <v>51</v>
      </c>
      <c r="S65" s="22">
        <f>S64*Teams!$E$19*S63</f>
        <v>51</v>
      </c>
      <c r="T65" s="22">
        <f>T64*Teams!$E$19*T63</f>
        <v>51</v>
      </c>
      <c r="U65" s="22">
        <f>U64*Teams!$E$19*U63</f>
        <v>51</v>
      </c>
      <c r="V65" s="22">
        <f>V64*Teams!$E$19*V63</f>
        <v>51</v>
      </c>
      <c r="W65" s="22">
        <f>W64*Teams!$E$19*W63</f>
        <v>51</v>
      </c>
      <c r="X65" s="22">
        <f>X64*Teams!$E$19*X63</f>
        <v>51</v>
      </c>
      <c r="Y65" s="22">
        <f>Y64*Teams!$E$19*Y63</f>
        <v>51</v>
      </c>
      <c r="Z65" s="22">
        <f>Z64*Teams!$E$19*Z63</f>
        <v>51</v>
      </c>
      <c r="AA65" s="22">
        <f>AA64*Teams!$E$19*AA63</f>
        <v>51</v>
      </c>
      <c r="AB65" s="22">
        <f>AB64*Teams!$E$19*AB63</f>
        <v>51</v>
      </c>
      <c r="AC65" s="22">
        <f>AC64*Teams!$E$19*AC63</f>
        <v>51</v>
      </c>
      <c r="AD65" s="22">
        <f>AD64*Teams!$E$19*AD63</f>
        <v>51</v>
      </c>
      <c r="AE65" s="22">
        <f>AE64*Teams!$E$19*AE63</f>
        <v>51</v>
      </c>
      <c r="AF65" s="22">
        <f>AF64*Teams!$E$19*AF63</f>
        <v>51</v>
      </c>
      <c r="AG65" s="22">
        <f>AG64*Teams!$E$19*AG63</f>
        <v>51</v>
      </c>
      <c r="AH65" s="22">
        <f>AH64*Teams!$E$19*AH63</f>
        <v>51</v>
      </c>
      <c r="AI65" s="22">
        <f>AI64*Teams!$E$19*AI63</f>
        <v>51</v>
      </c>
      <c r="AJ65" s="22">
        <f>AJ64*Teams!$E$19*AJ63</f>
        <v>51</v>
      </c>
      <c r="AK65" s="22">
        <f>AK64*Teams!$E$19*AK63</f>
        <v>51</v>
      </c>
      <c r="AL65" s="22">
        <f>AL64*Teams!$E$19*AL63</f>
        <v>51</v>
      </c>
      <c r="AM65" s="22">
        <f>AM64*Teams!$E$19*AM63</f>
        <v>51</v>
      </c>
      <c r="AN65" s="22">
        <f>AN64*Teams!$E$19*AN63</f>
        <v>51</v>
      </c>
      <c r="AO65" s="22">
        <f>AO64*Teams!$E$19*AO63</f>
        <v>51</v>
      </c>
      <c r="AP65" s="22">
        <f>AP64*Teams!$E$19*AP63</f>
        <v>51</v>
      </c>
      <c r="AQ65" s="22">
        <f>AQ64*Teams!$E$19*AQ63</f>
        <v>51</v>
      </c>
      <c r="AR65" s="22">
        <f>AR64*Teams!$E$19*AR63</f>
        <v>51</v>
      </c>
      <c r="AS65" s="22">
        <f>AS64*Teams!$E$19*AS63</f>
        <v>51</v>
      </c>
      <c r="AT65" s="22">
        <f>AT64*Teams!$E$19*AT63</f>
        <v>51</v>
      </c>
      <c r="AU65" s="22">
        <f>AU64*Teams!$E$19*AU63</f>
        <v>51</v>
      </c>
      <c r="AV65" s="22">
        <f>AV64*Teams!$E$19*AV63</f>
        <v>51</v>
      </c>
      <c r="AW65" s="22">
        <f>AW64*Teams!$E$19*AW63</f>
        <v>51</v>
      </c>
      <c r="AX65" s="22">
        <f>AX64*Teams!$E$19*AX63</f>
        <v>51</v>
      </c>
      <c r="AY65" s="22">
        <f>AY64*Teams!$E$19*AY63</f>
        <v>51</v>
      </c>
      <c r="AZ65" s="22">
        <f>AZ64*Teams!$E$19*AZ63</f>
        <v>51</v>
      </c>
      <c r="BA65" s="22">
        <f>BA64*Teams!$E$19*BA63</f>
        <v>51</v>
      </c>
      <c r="BB65" s="22">
        <f>BB64*Teams!$E$19*BB63</f>
        <v>51</v>
      </c>
      <c r="BC65" s="22">
        <f>BC64*Teams!$E$19*BC63</f>
        <v>51</v>
      </c>
      <c r="BD65" s="22">
        <f>BD64*Teams!$E$19*BD63</f>
        <v>51</v>
      </c>
      <c r="BE65" s="22">
        <f>BE64*Teams!$E$19*BE63</f>
        <v>51</v>
      </c>
      <c r="BF65" s="22">
        <f>BF64*Teams!$E$19*BF63</f>
        <v>51</v>
      </c>
      <c r="BG65" s="22">
        <f>BG64*Teams!$E$19*BG63</f>
        <v>51</v>
      </c>
      <c r="BH65" s="22">
        <f>BH64*Teams!$E$19*BH63</f>
        <v>51</v>
      </c>
      <c r="BI65" s="22">
        <f>BI64*Teams!$E$19*BI63</f>
        <v>51</v>
      </c>
      <c r="BJ65" s="22">
        <f>BJ64*Teams!$E$19*BJ63</f>
        <v>51</v>
      </c>
      <c r="BK65" s="22">
        <f>BK64*Teams!$E$19*BK63</f>
        <v>51</v>
      </c>
      <c r="BL65" s="22">
        <f>BL64*Teams!$E$19*BL63</f>
        <v>51</v>
      </c>
    </row>
    <row r="66" spans="1:64" x14ac:dyDescent="0.3">
      <c r="A66" s="8" t="s">
        <v>28</v>
      </c>
      <c r="C66" s="22">
        <f>SUMPRODUCT(E66:BL66,E$5:BL$5)</f>
        <v>1300000</v>
      </c>
      <c r="E66" s="22">
        <f>IF(Teams!$E$23="per user",E65*Teams!$E$24,Teams!$E$25*E63)</f>
        <v>0</v>
      </c>
      <c r="F66" s="22">
        <f>IF(Teams!$E$23="per user",F65*Teams!$E$24,Teams!$E$25*F63)</f>
        <v>2962.9629629629626</v>
      </c>
      <c r="G66" s="22">
        <f>IF(Teams!$E$23="per user",G65*Teams!$E$24,Teams!$E$25*G63)</f>
        <v>10370.37037037037</v>
      </c>
      <c r="H66" s="22">
        <f>IF(Teams!$E$23="per user",H65*Teams!$E$24,Teams!$E$25*H63)</f>
        <v>20000</v>
      </c>
      <c r="I66" s="22">
        <f>IF(Teams!$E$23="per user",I65*Teams!$E$24,Teams!$E$25*I63)</f>
        <v>29629.629629629628</v>
      </c>
      <c r="J66" s="22">
        <f>IF(Teams!$E$23="per user",J65*Teams!$E$24,Teams!$E$25*J63)</f>
        <v>37037.037037037044</v>
      </c>
      <c r="K66" s="22">
        <f>IF(Teams!$E$23="per user",K65*Teams!$E$24,Teams!$E$25*K63)</f>
        <v>40000</v>
      </c>
      <c r="L66" s="22">
        <f>IF(Teams!$E$23="per user",L65*Teams!$E$24,Teams!$E$25*L63)</f>
        <v>40000</v>
      </c>
      <c r="M66" s="22">
        <f>IF(Teams!$E$23="per user",M65*Teams!$E$24,Teams!$E$25*M63)</f>
        <v>40000</v>
      </c>
      <c r="N66" s="22">
        <f>IF(Teams!$E$23="per user",N65*Teams!$E$24,Teams!$E$25*N63)</f>
        <v>40000</v>
      </c>
      <c r="O66" s="22">
        <f>IF(Teams!$E$23="per user",O65*Teams!$E$24,Teams!$E$25*O63)</f>
        <v>40000</v>
      </c>
      <c r="P66" s="22">
        <f>IF(Teams!$E$23="per user",P65*Teams!$E$24,Teams!$E$25*P63)</f>
        <v>40000</v>
      </c>
      <c r="Q66" s="22">
        <f>IF(Teams!$E$23="per user",Q65*Teams!$E$24,Teams!$E$25*Q63)</f>
        <v>40000</v>
      </c>
      <c r="R66" s="22">
        <f>IF(Teams!$E$23="per user",R65*Teams!$E$24,Teams!$E$25*R63)</f>
        <v>40000</v>
      </c>
      <c r="S66" s="22">
        <f>IF(Teams!$E$23="per user",S65*Teams!$E$24,Teams!$E$25*S63)</f>
        <v>40000</v>
      </c>
      <c r="T66" s="22">
        <f>IF(Teams!$E$23="per user",T65*Teams!$E$24,Teams!$E$25*T63)</f>
        <v>40000</v>
      </c>
      <c r="U66" s="22">
        <f>IF(Teams!$E$23="per user",U65*Teams!$E$24,Teams!$E$25*U63)</f>
        <v>40000</v>
      </c>
      <c r="V66" s="22">
        <f>IF(Teams!$E$23="per user",V65*Teams!$E$24,Teams!$E$25*V63)</f>
        <v>40000</v>
      </c>
      <c r="W66" s="22">
        <f>IF(Teams!$E$23="per user",W65*Teams!$E$24,Teams!$E$25*W63)</f>
        <v>40000</v>
      </c>
      <c r="X66" s="22">
        <f>IF(Teams!$E$23="per user",X65*Teams!$E$24,Teams!$E$25*X63)</f>
        <v>40000</v>
      </c>
      <c r="Y66" s="22">
        <f>IF(Teams!$E$23="per user",Y65*Teams!$E$24,Teams!$E$25*Y63)</f>
        <v>40000</v>
      </c>
      <c r="Z66" s="22">
        <f>IF(Teams!$E$23="per user",Z65*Teams!$E$24,Teams!$E$25*Z63)</f>
        <v>40000</v>
      </c>
      <c r="AA66" s="22">
        <f>IF(Teams!$E$23="per user",AA65*Teams!$E$24,Teams!$E$25*AA63)</f>
        <v>40000</v>
      </c>
      <c r="AB66" s="22">
        <f>IF(Teams!$E$23="per user",AB65*Teams!$E$24,Teams!$E$25*AB63)</f>
        <v>40000</v>
      </c>
      <c r="AC66" s="22">
        <f>IF(Teams!$E$23="per user",AC65*Teams!$E$24,Teams!$E$25*AC63)</f>
        <v>40000</v>
      </c>
      <c r="AD66" s="22">
        <f>IF(Teams!$E$23="per user",AD65*Teams!$E$24,Teams!$E$25*AD63)</f>
        <v>40000</v>
      </c>
      <c r="AE66" s="22">
        <f>IF(Teams!$E$23="per user",AE65*Teams!$E$24,Teams!$E$25*AE63)</f>
        <v>40000</v>
      </c>
      <c r="AF66" s="22">
        <f>IF(Teams!$E$23="per user",AF65*Teams!$E$24,Teams!$E$25*AF63)</f>
        <v>40000</v>
      </c>
      <c r="AG66" s="22">
        <f>IF(Teams!$E$23="per user",AG65*Teams!$E$24,Teams!$E$25*AG63)</f>
        <v>40000</v>
      </c>
      <c r="AH66" s="22">
        <f>IF(Teams!$E$23="per user",AH65*Teams!$E$24,Teams!$E$25*AH63)</f>
        <v>40000</v>
      </c>
      <c r="AI66" s="22">
        <f>IF(Teams!$E$23="per user",AI65*Teams!$E$24,Teams!$E$25*AI63)</f>
        <v>40000</v>
      </c>
      <c r="AJ66" s="22">
        <f>IF(Teams!$E$23="per user",AJ65*Teams!$E$24,Teams!$E$25*AJ63)</f>
        <v>40000</v>
      </c>
      <c r="AK66" s="22">
        <f>IF(Teams!$E$23="per user",AK65*Teams!$E$24,Teams!$E$25*AK63)</f>
        <v>40000</v>
      </c>
      <c r="AL66" s="22">
        <f>IF(Teams!$E$23="per user",AL65*Teams!$E$24,Teams!$E$25*AL63)</f>
        <v>40000</v>
      </c>
      <c r="AM66" s="22">
        <f>IF(Teams!$E$23="per user",AM65*Teams!$E$24,Teams!$E$25*AM63)</f>
        <v>40000</v>
      </c>
      <c r="AN66" s="22">
        <f>IF(Teams!$E$23="per user",AN65*Teams!$E$24,Teams!$E$25*AN63)</f>
        <v>40000</v>
      </c>
      <c r="AO66" s="22">
        <f>IF(Teams!$E$23="per user",AO65*Teams!$E$24,Teams!$E$25*AO63)</f>
        <v>40000</v>
      </c>
      <c r="AP66" s="22">
        <f>IF(Teams!$E$23="per user",AP65*Teams!$E$24,Teams!$E$25*AP63)</f>
        <v>40000</v>
      </c>
      <c r="AQ66" s="22">
        <f>IF(Teams!$E$23="per user",AQ65*Teams!$E$24,Teams!$E$25*AQ63)</f>
        <v>40000</v>
      </c>
      <c r="AR66" s="22">
        <f>IF(Teams!$E$23="per user",AR65*Teams!$E$24,Teams!$E$25*AR63)</f>
        <v>40000</v>
      </c>
      <c r="AS66" s="22">
        <f>IF(Teams!$E$23="per user",AS65*Teams!$E$24,Teams!$E$25*AS63)</f>
        <v>40000</v>
      </c>
      <c r="AT66" s="22">
        <f>IF(Teams!$E$23="per user",AT65*Teams!$E$24,Teams!$E$25*AT63)</f>
        <v>40000</v>
      </c>
      <c r="AU66" s="22">
        <f>IF(Teams!$E$23="per user",AU65*Teams!$E$24,Teams!$E$25*AU63)</f>
        <v>40000</v>
      </c>
      <c r="AV66" s="22">
        <f>IF(Teams!$E$23="per user",AV65*Teams!$E$24,Teams!$E$25*AV63)</f>
        <v>40000</v>
      </c>
      <c r="AW66" s="22">
        <f>IF(Teams!$E$23="per user",AW65*Teams!$E$24,Teams!$E$25*AW63)</f>
        <v>40000</v>
      </c>
      <c r="AX66" s="22">
        <f>IF(Teams!$E$23="per user",AX65*Teams!$E$24,Teams!$E$25*AX63)</f>
        <v>40000</v>
      </c>
      <c r="AY66" s="22">
        <f>IF(Teams!$E$23="per user",AY65*Teams!$E$24,Teams!$E$25*AY63)</f>
        <v>40000</v>
      </c>
      <c r="AZ66" s="22">
        <f>IF(Teams!$E$23="per user",AZ65*Teams!$E$24,Teams!$E$25*AZ63)</f>
        <v>40000</v>
      </c>
      <c r="BA66" s="22">
        <f>IF(Teams!$E$23="per user",BA65*Teams!$E$24,Teams!$E$25*BA63)</f>
        <v>40000</v>
      </c>
      <c r="BB66" s="22">
        <f>IF(Teams!$E$23="per user",BB65*Teams!$E$24,Teams!$E$25*BB63)</f>
        <v>40000</v>
      </c>
      <c r="BC66" s="22">
        <f>IF(Teams!$E$23="per user",BC65*Teams!$E$24,Teams!$E$25*BC63)</f>
        <v>40000</v>
      </c>
      <c r="BD66" s="22">
        <f>IF(Teams!$E$23="per user",BD65*Teams!$E$24,Teams!$E$25*BD63)</f>
        <v>40000</v>
      </c>
      <c r="BE66" s="22">
        <f>IF(Teams!$E$23="per user",BE65*Teams!$E$24,Teams!$E$25*BE63)</f>
        <v>40000</v>
      </c>
      <c r="BF66" s="22">
        <f>IF(Teams!$E$23="per user",BF65*Teams!$E$24,Teams!$E$25*BF63)</f>
        <v>40000</v>
      </c>
      <c r="BG66" s="22">
        <f>IF(Teams!$E$23="per user",BG65*Teams!$E$24,Teams!$E$25*BG63)</f>
        <v>40000</v>
      </c>
      <c r="BH66" s="22">
        <f>IF(Teams!$E$23="per user",BH65*Teams!$E$24,Teams!$E$25*BH63)</f>
        <v>40000</v>
      </c>
      <c r="BI66" s="22">
        <f>IF(Teams!$E$23="per user",BI65*Teams!$E$24,Teams!$E$25*BI63)</f>
        <v>40000</v>
      </c>
      <c r="BJ66" s="22">
        <f>IF(Teams!$E$23="per user",BJ65*Teams!$E$24,Teams!$E$25*BJ63)</f>
        <v>40000</v>
      </c>
      <c r="BK66" s="22">
        <f>IF(Teams!$E$23="per user",BK65*Teams!$E$24,Teams!$E$25*BK63)</f>
        <v>40000</v>
      </c>
      <c r="BL66" s="22">
        <f>IF(Teams!$E$23="per user",BL65*Teams!$E$24,Teams!$E$25*BL63)</f>
        <v>40000</v>
      </c>
    </row>
    <row r="67" spans="1:64" x14ac:dyDescent="0.3">
      <c r="A67" s="8" t="s">
        <v>665</v>
      </c>
      <c r="B67" s="18" t="s">
        <v>435</v>
      </c>
      <c r="C67" s="44">
        <f t="shared" ref="C67:C85" si="20">SUM(D67:BL67)</f>
        <v>0</v>
      </c>
      <c r="E67" s="44">
        <f>E$5*Teams!$E$60*E64*Teams!$E$66</f>
        <v>0</v>
      </c>
      <c r="F67" s="44">
        <f>F$5*Teams!$E$60*F64*Teams!$E$66</f>
        <v>0</v>
      </c>
      <c r="G67" s="44">
        <f>G$5*Teams!$E$60*G64*Teams!$E$66</f>
        <v>0</v>
      </c>
      <c r="H67" s="44">
        <f>H$5*Teams!$E$60*H64*Teams!$E$66</f>
        <v>0</v>
      </c>
      <c r="I67" s="44">
        <f>I$5*Teams!$E$60*I64*Teams!$E$66</f>
        <v>0</v>
      </c>
      <c r="J67" s="44">
        <f>J$5*Teams!$E$60*J64*Teams!$E$66</f>
        <v>0</v>
      </c>
      <c r="K67" s="44">
        <f>K$5*Teams!$E$60*K64*Teams!$E$66</f>
        <v>0</v>
      </c>
      <c r="L67" s="44">
        <f>L$5*Teams!$E$60*L64*Teams!$E$66</f>
        <v>0</v>
      </c>
      <c r="M67" s="44">
        <f>M$5*Teams!$E$60*M64*Teams!$E$66</f>
        <v>0</v>
      </c>
      <c r="N67" s="44">
        <f>N$5*Teams!$E$60*N64*Teams!$E$66</f>
        <v>0</v>
      </c>
      <c r="O67" s="44">
        <f>O$5*Teams!$E$60*O64*Teams!$E$66</f>
        <v>0</v>
      </c>
      <c r="P67" s="44">
        <f>P$5*Teams!$E$60*P64*Teams!$E$66</f>
        <v>0</v>
      </c>
      <c r="Q67" s="44">
        <f>Q$5*Teams!$E$60*Q64*Teams!$E$66</f>
        <v>0</v>
      </c>
      <c r="R67" s="44">
        <f>R$5*Teams!$E$60*R64*Teams!$E$66</f>
        <v>0</v>
      </c>
      <c r="S67" s="44">
        <f>S$5*Teams!$E$60*S64*Teams!$E$66</f>
        <v>0</v>
      </c>
      <c r="T67" s="44">
        <f>T$5*Teams!$E$60*T64*Teams!$E$66</f>
        <v>0</v>
      </c>
      <c r="U67" s="44">
        <f>U$5*Teams!$E$60*U64*Teams!$E$66</f>
        <v>0</v>
      </c>
      <c r="V67" s="44">
        <f>V$5*Teams!$E$60*V64*Teams!$E$66</f>
        <v>0</v>
      </c>
      <c r="W67" s="44">
        <f>W$5*Teams!$E$60*W64*Teams!$E$66</f>
        <v>0</v>
      </c>
      <c r="X67" s="44">
        <f>X$5*Teams!$E$60*X64*Teams!$E$66</f>
        <v>0</v>
      </c>
      <c r="Y67" s="44">
        <f>Y$5*Teams!$E$60*Y64*Teams!$E$66</f>
        <v>0</v>
      </c>
      <c r="Z67" s="44">
        <f>Z$5*Teams!$E$60*Z64*Teams!$E$66</f>
        <v>0</v>
      </c>
      <c r="AA67" s="44">
        <f>AA$5*Teams!$E$60*AA64*Teams!$E$66</f>
        <v>0</v>
      </c>
      <c r="AB67" s="44">
        <f>AB$5*Teams!$E$60*AB64*Teams!$E$66</f>
        <v>0</v>
      </c>
      <c r="AC67" s="44">
        <f>AC$5*Teams!$E$60*AC64*Teams!$E$66</f>
        <v>0</v>
      </c>
      <c r="AD67" s="44">
        <f>AD$5*Teams!$E$60*AD64*Teams!$E$66</f>
        <v>0</v>
      </c>
      <c r="AE67" s="44">
        <f>AE$5*Teams!$E$60*AE64*Teams!$E$66</f>
        <v>0</v>
      </c>
      <c r="AF67" s="44">
        <f>AF$5*Teams!$E$60*AF64*Teams!$E$66</f>
        <v>0</v>
      </c>
      <c r="AG67" s="44">
        <f>AG$5*Teams!$E$60*AG64*Teams!$E$66</f>
        <v>0</v>
      </c>
      <c r="AH67" s="44">
        <f>AH$5*Teams!$E$60*AH64*Teams!$E$66</f>
        <v>0</v>
      </c>
      <c r="AI67" s="44">
        <f>AI$5*Teams!$E$60*AI64*Teams!$E$66</f>
        <v>0</v>
      </c>
      <c r="AJ67" s="44">
        <f>AJ$5*Teams!$E$60*AJ64*Teams!$E$66</f>
        <v>0</v>
      </c>
      <c r="AK67" s="44">
        <f>AK$5*Teams!$E$60*AK64*Teams!$E$66</f>
        <v>0</v>
      </c>
      <c r="AL67" s="44">
        <f>AL$5*Teams!$E$60*AL64*Teams!$E$66</f>
        <v>0</v>
      </c>
      <c r="AM67" s="44">
        <f>AM$5*Teams!$E$60*AM64*Teams!$E$66</f>
        <v>0</v>
      </c>
      <c r="AN67" s="44">
        <f>AN$5*Teams!$E$60*AN64*Teams!$E$66</f>
        <v>0</v>
      </c>
      <c r="AO67" s="44">
        <f>AO$5*Teams!$E$60*AO64*Teams!$E$66</f>
        <v>0</v>
      </c>
      <c r="AP67" s="44">
        <f>AP$5*Teams!$E$60*AP64*Teams!$E$66</f>
        <v>0</v>
      </c>
      <c r="AQ67" s="44">
        <f>AQ$5*Teams!$E$60*AQ64*Teams!$E$66</f>
        <v>0</v>
      </c>
      <c r="AR67" s="44">
        <f>AR$5*Teams!$E$60*AR64*Teams!$E$66</f>
        <v>0</v>
      </c>
      <c r="AS67" s="44">
        <f>AS$5*Teams!$E$60*AS64*Teams!$E$66</f>
        <v>0</v>
      </c>
      <c r="AT67" s="44">
        <f>AT$5*Teams!$E$60*AT64*Teams!$E$66</f>
        <v>0</v>
      </c>
      <c r="AU67" s="44">
        <f>AU$5*Teams!$E$60*AU64*Teams!$E$66</f>
        <v>0</v>
      </c>
      <c r="AV67" s="44">
        <f>AV$5*Teams!$E$60*AV64*Teams!$E$66</f>
        <v>0</v>
      </c>
      <c r="AW67" s="44">
        <f>AW$5*Teams!$E$60*AW64*Teams!$E$66</f>
        <v>0</v>
      </c>
      <c r="AX67" s="44">
        <f>AX$5*Teams!$E$60*AX64*Teams!$E$66</f>
        <v>0</v>
      </c>
      <c r="AY67" s="44">
        <f>AY$5*Teams!$E$60*AY64*Teams!$E$66</f>
        <v>0</v>
      </c>
      <c r="AZ67" s="44">
        <f>AZ$5*Teams!$E$60*AZ64*Teams!$E$66</f>
        <v>0</v>
      </c>
      <c r="BA67" s="44">
        <f>BA$5*Teams!$E$60*BA64*Teams!$E$66</f>
        <v>0</v>
      </c>
      <c r="BB67" s="44">
        <f>BB$5*Teams!$E$60*BB64*Teams!$E$66</f>
        <v>0</v>
      </c>
      <c r="BC67" s="44">
        <f>BC$5*Teams!$E$60*BC64*Teams!$E$66</f>
        <v>0</v>
      </c>
      <c r="BD67" s="44">
        <f>BD$5*Teams!$E$60*BD64*Teams!$E$66</f>
        <v>0</v>
      </c>
      <c r="BE67" s="44">
        <f>BE$5*Teams!$E$60*BE64*Teams!$E$66</f>
        <v>0</v>
      </c>
      <c r="BF67" s="44">
        <f>BF$5*Teams!$E$60*BF64*Teams!$E$66</f>
        <v>0</v>
      </c>
      <c r="BG67" s="44">
        <f>BG$5*Teams!$E$60*BG64*Teams!$E$66</f>
        <v>0</v>
      </c>
      <c r="BH67" s="44">
        <f>BH$5*Teams!$E$60*BH64*Teams!$E$66</f>
        <v>0</v>
      </c>
      <c r="BI67" s="44">
        <f>BI$5*Teams!$E$60*BI64*Teams!$E$66</f>
        <v>0</v>
      </c>
      <c r="BJ67" s="44">
        <f>BJ$5*Teams!$E$60*BJ64*Teams!$E$66</f>
        <v>0</v>
      </c>
      <c r="BK67" s="44">
        <f>BK$5*Teams!$E$60*BK64*Teams!$E$66</f>
        <v>0</v>
      </c>
      <c r="BL67" s="44">
        <f>BL$5*Teams!$E$60*BL64*Teams!$E$66</f>
        <v>0</v>
      </c>
    </row>
    <row r="68" spans="1:64" x14ac:dyDescent="0.3">
      <c r="A68" s="8" t="s">
        <v>666</v>
      </c>
      <c r="B68" s="18" t="s">
        <v>435</v>
      </c>
      <c r="C68" s="44">
        <f t="shared" si="20"/>
        <v>0</v>
      </c>
      <c r="E68" s="44">
        <f>E$5*IF(Teams!$E$61=1,E65*((1-Teams!$E$13)*MAX(0,Teams!$E$72*$C$62-Teams!$E$12)+Teams!$E$13*MAX(0,Teams!$E$73*$C$62-Teams!$E$12)),IF(Teams!$E$62=1,E66*$C$62,0))</f>
        <v>0</v>
      </c>
      <c r="F68" s="44">
        <f>F$5*IF(Teams!$E$61=1,F65*((1-Teams!$E$13)*MAX(0,Teams!$E$72*$C$62-Teams!$E$12)+Teams!$E$13*MAX(0,Teams!$E$73*$C$62-Teams!$E$12)),IF(Teams!$E$62=1,F66*$C$62,0))</f>
        <v>0</v>
      </c>
      <c r="G68" s="44">
        <f>G$5*IF(Teams!$E$61=1,G65*((1-Teams!$E$13)*MAX(0,Teams!$E$72*$C$62-Teams!$E$12)+Teams!$E$13*MAX(0,Teams!$E$73*$C$62-Teams!$E$12)),IF(Teams!$E$62=1,G66*$C$62,0))</f>
        <v>0</v>
      </c>
      <c r="H68" s="44">
        <f>H$5*IF(Teams!$E$61=1,H65*((1-Teams!$E$13)*MAX(0,Teams!$E$72*$C$62-Teams!$E$12)+Teams!$E$13*MAX(0,Teams!$E$73*$C$62-Teams!$E$12)),IF(Teams!$E$62=1,H66*$C$62,0))</f>
        <v>0</v>
      </c>
      <c r="I68" s="44">
        <f>I$5*IF(Teams!$E$61=1,I65*((1-Teams!$E$13)*MAX(0,Teams!$E$72*$C$62-Teams!$E$12)+Teams!$E$13*MAX(0,Teams!$E$73*$C$62-Teams!$E$12)),IF(Teams!$E$62=1,I66*$C$62,0))</f>
        <v>0</v>
      </c>
      <c r="J68" s="44">
        <f>J$5*IF(Teams!$E$61=1,J65*((1-Teams!$E$13)*MAX(0,Teams!$E$72*$C$62-Teams!$E$12)+Teams!$E$13*MAX(0,Teams!$E$73*$C$62-Teams!$E$12)),IF(Teams!$E$62=1,J66*$C$62,0))</f>
        <v>0</v>
      </c>
      <c r="K68" s="44">
        <f>K$5*IF(Teams!$E$61=1,K65*((1-Teams!$E$13)*MAX(0,Teams!$E$72*$C$62-Teams!$E$12)+Teams!$E$13*MAX(0,Teams!$E$73*$C$62-Teams!$E$12)),IF(Teams!$E$62=1,K66*$C$62,0))</f>
        <v>0</v>
      </c>
      <c r="L68" s="44">
        <f>L$5*IF(Teams!$E$61=1,L65*((1-Teams!$E$13)*MAX(0,Teams!$E$72*$C$62-Teams!$E$12)+Teams!$E$13*MAX(0,Teams!$E$73*$C$62-Teams!$E$12)),IF(Teams!$E$62=1,L66*$C$62,0))</f>
        <v>0</v>
      </c>
      <c r="M68" s="44">
        <f>M$5*IF(Teams!$E$61=1,M65*((1-Teams!$E$13)*MAX(0,Teams!$E$72*$C$62-Teams!$E$12)+Teams!$E$13*MAX(0,Teams!$E$73*$C$62-Teams!$E$12)),IF(Teams!$E$62=1,M66*$C$62,0))</f>
        <v>0</v>
      </c>
      <c r="N68" s="44">
        <f>N$5*IF(Teams!$E$61=1,N65*((1-Teams!$E$13)*MAX(0,Teams!$E$72*$C$62-Teams!$E$12)+Teams!$E$13*MAX(0,Teams!$E$73*$C$62-Teams!$E$12)),IF(Teams!$E$62=1,N66*$C$62,0))</f>
        <v>0</v>
      </c>
      <c r="O68" s="44">
        <f>O$5*IF(Teams!$E$61=1,O65*((1-Teams!$E$13)*MAX(0,Teams!$E$72*$C$62-Teams!$E$12)+Teams!$E$13*MAX(0,Teams!$E$73*$C$62-Teams!$E$12)),IF(Teams!$E$62=1,O66*$C$62,0))</f>
        <v>0</v>
      </c>
      <c r="P68" s="44">
        <f>P$5*IF(Teams!$E$61=1,P65*((1-Teams!$E$13)*MAX(0,Teams!$E$72*$C$62-Teams!$E$12)+Teams!$E$13*MAX(0,Teams!$E$73*$C$62-Teams!$E$12)),IF(Teams!$E$62=1,P66*$C$62,0))</f>
        <v>0</v>
      </c>
      <c r="Q68" s="44">
        <f>Q$5*IF(Teams!$E$61=1,Q65*((1-Teams!$E$13)*MAX(0,Teams!$E$72*$C$62-Teams!$E$12)+Teams!$E$13*MAX(0,Teams!$E$73*$C$62-Teams!$E$12)),IF(Teams!$E$62=1,Q66*$C$62,0))</f>
        <v>0</v>
      </c>
      <c r="R68" s="44">
        <f>R$5*IF(Teams!$E$61=1,R65*((1-Teams!$E$13)*MAX(0,Teams!$E$72*$C$62-Teams!$E$12)+Teams!$E$13*MAX(0,Teams!$E$73*$C$62-Teams!$E$12)),IF(Teams!$E$62=1,R66*$C$62,0))</f>
        <v>0</v>
      </c>
      <c r="S68" s="44">
        <f>S$5*IF(Teams!$E$61=1,S65*((1-Teams!$E$13)*MAX(0,Teams!$E$72*$C$62-Teams!$E$12)+Teams!$E$13*MAX(0,Teams!$E$73*$C$62-Teams!$E$12)),IF(Teams!$E$62=1,S66*$C$62,0))</f>
        <v>0</v>
      </c>
      <c r="T68" s="44">
        <f>T$5*IF(Teams!$E$61=1,T65*((1-Teams!$E$13)*MAX(0,Teams!$E$72*$C$62-Teams!$E$12)+Teams!$E$13*MAX(0,Teams!$E$73*$C$62-Teams!$E$12)),IF(Teams!$E$62=1,T66*$C$62,0))</f>
        <v>0</v>
      </c>
      <c r="U68" s="44">
        <f>U$5*IF(Teams!$E$61=1,U65*((1-Teams!$E$13)*MAX(0,Teams!$E$72*$C$62-Teams!$E$12)+Teams!$E$13*MAX(0,Teams!$E$73*$C$62-Teams!$E$12)),IF(Teams!$E$62=1,U66*$C$62,0))</f>
        <v>0</v>
      </c>
      <c r="V68" s="44">
        <f>V$5*IF(Teams!$E$61=1,V65*((1-Teams!$E$13)*MAX(0,Teams!$E$72*$C$62-Teams!$E$12)+Teams!$E$13*MAX(0,Teams!$E$73*$C$62-Teams!$E$12)),IF(Teams!$E$62=1,V66*$C$62,0))</f>
        <v>0</v>
      </c>
      <c r="W68" s="44">
        <f>W$5*IF(Teams!$E$61=1,W65*((1-Teams!$E$13)*MAX(0,Teams!$E$72*$C$62-Teams!$E$12)+Teams!$E$13*MAX(0,Teams!$E$73*$C$62-Teams!$E$12)),IF(Teams!$E$62=1,W66*$C$62,0))</f>
        <v>0</v>
      </c>
      <c r="X68" s="44">
        <f>X$5*IF(Teams!$E$61=1,X65*((1-Teams!$E$13)*MAX(0,Teams!$E$72*$C$62-Teams!$E$12)+Teams!$E$13*MAX(0,Teams!$E$73*$C$62-Teams!$E$12)),IF(Teams!$E$62=1,X66*$C$62,0))</f>
        <v>0</v>
      </c>
      <c r="Y68" s="44">
        <f>Y$5*IF(Teams!$E$61=1,Y65*((1-Teams!$E$13)*MAX(0,Teams!$E$72*$C$62-Teams!$E$12)+Teams!$E$13*MAX(0,Teams!$E$73*$C$62-Teams!$E$12)),IF(Teams!$E$62=1,Y66*$C$62,0))</f>
        <v>0</v>
      </c>
      <c r="Z68" s="44">
        <f>Z$5*IF(Teams!$E$61=1,Z65*((1-Teams!$E$13)*MAX(0,Teams!$E$72*$C$62-Teams!$E$12)+Teams!$E$13*MAX(0,Teams!$E$73*$C$62-Teams!$E$12)),IF(Teams!$E$62=1,Z66*$C$62,0))</f>
        <v>0</v>
      </c>
      <c r="AA68" s="44">
        <f>AA$5*IF(Teams!$E$61=1,AA65*((1-Teams!$E$13)*MAX(0,Teams!$E$72*$C$62-Teams!$E$12)+Teams!$E$13*MAX(0,Teams!$E$73*$C$62-Teams!$E$12)),IF(Teams!$E$62=1,AA66*$C$62,0))</f>
        <v>0</v>
      </c>
      <c r="AB68" s="44">
        <f>AB$5*IF(Teams!$E$61=1,AB65*((1-Teams!$E$13)*MAX(0,Teams!$E$72*$C$62-Teams!$E$12)+Teams!$E$13*MAX(0,Teams!$E$73*$C$62-Teams!$E$12)),IF(Teams!$E$62=1,AB66*$C$62,0))</f>
        <v>0</v>
      </c>
      <c r="AC68" s="44">
        <f>AC$5*IF(Teams!$E$61=1,AC65*((1-Teams!$E$13)*MAX(0,Teams!$E$72*$C$62-Teams!$E$12)+Teams!$E$13*MAX(0,Teams!$E$73*$C$62-Teams!$E$12)),IF(Teams!$E$62=1,AC66*$C$62,0))</f>
        <v>0</v>
      </c>
      <c r="AD68" s="44">
        <f>AD$5*IF(Teams!$E$61=1,AD65*((1-Teams!$E$13)*MAX(0,Teams!$E$72*$C$62-Teams!$E$12)+Teams!$E$13*MAX(0,Teams!$E$73*$C$62-Teams!$E$12)),IF(Teams!$E$62=1,AD66*$C$62,0))</f>
        <v>0</v>
      </c>
      <c r="AE68" s="44">
        <f>AE$5*IF(Teams!$E$61=1,AE65*((1-Teams!$E$13)*MAX(0,Teams!$E$72*$C$62-Teams!$E$12)+Teams!$E$13*MAX(0,Teams!$E$73*$C$62-Teams!$E$12)),IF(Teams!$E$62=1,AE66*$C$62,0))</f>
        <v>0</v>
      </c>
      <c r="AF68" s="44">
        <f>AF$5*IF(Teams!$E$61=1,AF65*((1-Teams!$E$13)*MAX(0,Teams!$E$72*$C$62-Teams!$E$12)+Teams!$E$13*MAX(0,Teams!$E$73*$C$62-Teams!$E$12)),IF(Teams!$E$62=1,AF66*$C$62,0))</f>
        <v>0</v>
      </c>
      <c r="AG68" s="44">
        <f>AG$5*IF(Teams!$E$61=1,AG65*((1-Teams!$E$13)*MAX(0,Teams!$E$72*$C$62-Teams!$E$12)+Teams!$E$13*MAX(0,Teams!$E$73*$C$62-Teams!$E$12)),IF(Teams!$E$62=1,AG66*$C$62,0))</f>
        <v>0</v>
      </c>
      <c r="AH68" s="44">
        <f>AH$5*IF(Teams!$E$61=1,AH65*((1-Teams!$E$13)*MAX(0,Teams!$E$72*$C$62-Teams!$E$12)+Teams!$E$13*MAX(0,Teams!$E$73*$C$62-Teams!$E$12)),IF(Teams!$E$62=1,AH66*$C$62,0))</f>
        <v>0</v>
      </c>
      <c r="AI68" s="44">
        <f>AI$5*IF(Teams!$E$61=1,AI65*((1-Teams!$E$13)*MAX(0,Teams!$E$72*$C$62-Teams!$E$12)+Teams!$E$13*MAX(0,Teams!$E$73*$C$62-Teams!$E$12)),IF(Teams!$E$62=1,AI66*$C$62,0))</f>
        <v>0</v>
      </c>
      <c r="AJ68" s="44">
        <f>AJ$5*IF(Teams!$E$61=1,AJ65*((1-Teams!$E$13)*MAX(0,Teams!$E$72*$C$62-Teams!$E$12)+Teams!$E$13*MAX(0,Teams!$E$73*$C$62-Teams!$E$12)),IF(Teams!$E$62=1,AJ66*$C$62,0))</f>
        <v>0</v>
      </c>
      <c r="AK68" s="44">
        <f>AK$5*IF(Teams!$E$61=1,AK65*((1-Teams!$E$13)*MAX(0,Teams!$E$72*$C$62-Teams!$E$12)+Teams!$E$13*MAX(0,Teams!$E$73*$C$62-Teams!$E$12)),IF(Teams!$E$62=1,AK66*$C$62,0))</f>
        <v>0</v>
      </c>
      <c r="AL68" s="44">
        <f>AL$5*IF(Teams!$E$61=1,AL65*((1-Teams!$E$13)*MAX(0,Teams!$E$72*$C$62-Teams!$E$12)+Teams!$E$13*MAX(0,Teams!$E$73*$C$62-Teams!$E$12)),IF(Teams!$E$62=1,AL66*$C$62,0))</f>
        <v>0</v>
      </c>
      <c r="AM68" s="44">
        <f>AM$5*IF(Teams!$E$61=1,AM65*((1-Teams!$E$13)*MAX(0,Teams!$E$72*$C$62-Teams!$E$12)+Teams!$E$13*MAX(0,Teams!$E$73*$C$62-Teams!$E$12)),IF(Teams!$E$62=1,AM66*$C$62,0))</f>
        <v>0</v>
      </c>
      <c r="AN68" s="44">
        <f>AN$5*IF(Teams!$E$61=1,AN65*((1-Teams!$E$13)*MAX(0,Teams!$E$72*$C$62-Teams!$E$12)+Teams!$E$13*MAX(0,Teams!$E$73*$C$62-Teams!$E$12)),IF(Teams!$E$62=1,AN66*$C$62,0))</f>
        <v>0</v>
      </c>
      <c r="AO68" s="44">
        <f>AO$5*IF(Teams!$E$61=1,AO65*((1-Teams!$E$13)*MAX(0,Teams!$E$72*$C$62-Teams!$E$12)+Teams!$E$13*MAX(0,Teams!$E$73*$C$62-Teams!$E$12)),IF(Teams!$E$62=1,AO66*$C$62,0))</f>
        <v>0</v>
      </c>
      <c r="AP68" s="44">
        <f>AP$5*IF(Teams!$E$61=1,AP65*((1-Teams!$E$13)*MAX(0,Teams!$E$72*$C$62-Teams!$E$12)+Teams!$E$13*MAX(0,Teams!$E$73*$C$62-Teams!$E$12)),IF(Teams!$E$62=1,AP66*$C$62,0))</f>
        <v>0</v>
      </c>
      <c r="AQ68" s="44">
        <f>AQ$5*IF(Teams!$E$61=1,AQ65*((1-Teams!$E$13)*MAX(0,Teams!$E$72*$C$62-Teams!$E$12)+Teams!$E$13*MAX(0,Teams!$E$73*$C$62-Teams!$E$12)),IF(Teams!$E$62=1,AQ66*$C$62,0))</f>
        <v>0</v>
      </c>
      <c r="AR68" s="44">
        <f>AR$5*IF(Teams!$E$61=1,AR65*((1-Teams!$E$13)*MAX(0,Teams!$E$72*$C$62-Teams!$E$12)+Teams!$E$13*MAX(0,Teams!$E$73*$C$62-Teams!$E$12)),IF(Teams!$E$62=1,AR66*$C$62,0))</f>
        <v>0</v>
      </c>
      <c r="AS68" s="44">
        <f>AS$5*IF(Teams!$E$61=1,AS65*((1-Teams!$E$13)*MAX(0,Teams!$E$72*$C$62-Teams!$E$12)+Teams!$E$13*MAX(0,Teams!$E$73*$C$62-Teams!$E$12)),IF(Teams!$E$62=1,AS66*$C$62,0))</f>
        <v>0</v>
      </c>
      <c r="AT68" s="44">
        <f>AT$5*IF(Teams!$E$61=1,AT65*((1-Teams!$E$13)*MAX(0,Teams!$E$72*$C$62-Teams!$E$12)+Teams!$E$13*MAX(0,Teams!$E$73*$C$62-Teams!$E$12)),IF(Teams!$E$62=1,AT66*$C$62,0))</f>
        <v>0</v>
      </c>
      <c r="AU68" s="44">
        <f>AU$5*IF(Teams!$E$61=1,AU65*((1-Teams!$E$13)*MAX(0,Teams!$E$72*$C$62-Teams!$E$12)+Teams!$E$13*MAX(0,Teams!$E$73*$C$62-Teams!$E$12)),IF(Teams!$E$62=1,AU66*$C$62,0))</f>
        <v>0</v>
      </c>
      <c r="AV68" s="44">
        <f>AV$5*IF(Teams!$E$61=1,AV65*((1-Teams!$E$13)*MAX(0,Teams!$E$72*$C$62-Teams!$E$12)+Teams!$E$13*MAX(0,Teams!$E$73*$C$62-Teams!$E$12)),IF(Teams!$E$62=1,AV66*$C$62,0))</f>
        <v>0</v>
      </c>
      <c r="AW68" s="44">
        <f>AW$5*IF(Teams!$E$61=1,AW65*((1-Teams!$E$13)*MAX(0,Teams!$E$72*$C$62-Teams!$E$12)+Teams!$E$13*MAX(0,Teams!$E$73*$C$62-Teams!$E$12)),IF(Teams!$E$62=1,AW66*$C$62,0))</f>
        <v>0</v>
      </c>
      <c r="AX68" s="44">
        <f>AX$5*IF(Teams!$E$61=1,AX65*((1-Teams!$E$13)*MAX(0,Teams!$E$72*$C$62-Teams!$E$12)+Teams!$E$13*MAX(0,Teams!$E$73*$C$62-Teams!$E$12)),IF(Teams!$E$62=1,AX66*$C$62,0))</f>
        <v>0</v>
      </c>
      <c r="AY68" s="44">
        <f>AY$5*IF(Teams!$E$61=1,AY65*((1-Teams!$E$13)*MAX(0,Teams!$E$72*$C$62-Teams!$E$12)+Teams!$E$13*MAX(0,Teams!$E$73*$C$62-Teams!$E$12)),IF(Teams!$E$62=1,AY66*$C$62,0))</f>
        <v>0</v>
      </c>
      <c r="AZ68" s="44">
        <f>AZ$5*IF(Teams!$E$61=1,AZ65*((1-Teams!$E$13)*MAX(0,Teams!$E$72*$C$62-Teams!$E$12)+Teams!$E$13*MAX(0,Teams!$E$73*$C$62-Teams!$E$12)),IF(Teams!$E$62=1,AZ66*$C$62,0))</f>
        <v>0</v>
      </c>
      <c r="BA68" s="44">
        <f>BA$5*IF(Teams!$E$61=1,BA65*((1-Teams!$E$13)*MAX(0,Teams!$E$72*$C$62-Teams!$E$12)+Teams!$E$13*MAX(0,Teams!$E$73*$C$62-Teams!$E$12)),IF(Teams!$E$62=1,BA66*$C$62,0))</f>
        <v>0</v>
      </c>
      <c r="BB68" s="44">
        <f>BB$5*IF(Teams!$E$61=1,BB65*((1-Teams!$E$13)*MAX(0,Teams!$E$72*$C$62-Teams!$E$12)+Teams!$E$13*MAX(0,Teams!$E$73*$C$62-Teams!$E$12)),IF(Teams!$E$62=1,BB66*$C$62,0))</f>
        <v>0</v>
      </c>
      <c r="BC68" s="44">
        <f>BC$5*IF(Teams!$E$61=1,BC65*((1-Teams!$E$13)*MAX(0,Teams!$E$72*$C$62-Teams!$E$12)+Teams!$E$13*MAX(0,Teams!$E$73*$C$62-Teams!$E$12)),IF(Teams!$E$62=1,BC66*$C$62,0))</f>
        <v>0</v>
      </c>
      <c r="BD68" s="44">
        <f>BD$5*IF(Teams!$E$61=1,BD65*((1-Teams!$E$13)*MAX(0,Teams!$E$72*$C$62-Teams!$E$12)+Teams!$E$13*MAX(0,Teams!$E$73*$C$62-Teams!$E$12)),IF(Teams!$E$62=1,BD66*$C$62,0))</f>
        <v>0</v>
      </c>
      <c r="BE68" s="44">
        <f>BE$5*IF(Teams!$E$61=1,BE65*((1-Teams!$E$13)*MAX(0,Teams!$E$72*$C$62-Teams!$E$12)+Teams!$E$13*MAX(0,Teams!$E$73*$C$62-Teams!$E$12)),IF(Teams!$E$62=1,BE66*$C$62,0))</f>
        <v>0</v>
      </c>
      <c r="BF68" s="44">
        <f>BF$5*IF(Teams!$E$61=1,BF65*((1-Teams!$E$13)*MAX(0,Teams!$E$72*$C$62-Teams!$E$12)+Teams!$E$13*MAX(0,Teams!$E$73*$C$62-Teams!$E$12)),IF(Teams!$E$62=1,BF66*$C$62,0))</f>
        <v>0</v>
      </c>
      <c r="BG68" s="44">
        <f>BG$5*IF(Teams!$E$61=1,BG65*((1-Teams!$E$13)*MAX(0,Teams!$E$72*$C$62-Teams!$E$12)+Teams!$E$13*MAX(0,Teams!$E$73*$C$62-Teams!$E$12)),IF(Teams!$E$62=1,BG66*$C$62,0))</f>
        <v>0</v>
      </c>
      <c r="BH68" s="44">
        <f>BH$5*IF(Teams!$E$61=1,BH65*((1-Teams!$E$13)*MAX(0,Teams!$E$72*$C$62-Teams!$E$12)+Teams!$E$13*MAX(0,Teams!$E$73*$C$62-Teams!$E$12)),IF(Teams!$E$62=1,BH66*$C$62,0))</f>
        <v>0</v>
      </c>
      <c r="BI68" s="44">
        <f>BI$5*IF(Teams!$E$61=1,BI65*((1-Teams!$E$13)*MAX(0,Teams!$E$72*$C$62-Teams!$E$12)+Teams!$E$13*MAX(0,Teams!$E$73*$C$62-Teams!$E$12)),IF(Teams!$E$62=1,BI66*$C$62,0))</f>
        <v>0</v>
      </c>
      <c r="BJ68" s="44">
        <f>BJ$5*IF(Teams!$E$61=1,BJ65*((1-Teams!$E$13)*MAX(0,Teams!$E$72*$C$62-Teams!$E$12)+Teams!$E$13*MAX(0,Teams!$E$73*$C$62-Teams!$E$12)),IF(Teams!$E$62=1,BJ66*$C$62,0))</f>
        <v>0</v>
      </c>
      <c r="BK68" s="44">
        <f>BK$5*IF(Teams!$E$61=1,BK65*((1-Teams!$E$13)*MAX(0,Teams!$E$72*$C$62-Teams!$E$12)+Teams!$E$13*MAX(0,Teams!$E$73*$C$62-Teams!$E$12)),IF(Teams!$E$62=1,BK66*$C$62,0))</f>
        <v>0</v>
      </c>
      <c r="BL68" s="44">
        <f>BL$5*IF(Teams!$E$61=1,BL65*((1-Teams!$E$13)*MAX(0,Teams!$E$72*$C$62-Teams!$E$12)+Teams!$E$13*MAX(0,Teams!$E$73*$C$62-Teams!$E$12)),IF(Teams!$E$62=1,BL66*$C$62,0))</f>
        <v>0</v>
      </c>
    </row>
    <row r="69" spans="1:64" x14ac:dyDescent="0.3">
      <c r="A69" s="8" t="s">
        <v>667</v>
      </c>
      <c r="B69" s="18" t="s">
        <v>435</v>
      </c>
      <c r="C69" s="44">
        <f t="shared" si="20"/>
        <v>1287000</v>
      </c>
      <c r="E69" s="44">
        <f>E$5*Teams!$E$63*E66*Teams!$E$67</f>
        <v>0</v>
      </c>
      <c r="F69" s="44">
        <f>F$5*Teams!$E$63*F66*Teams!$E$67</f>
        <v>2933.333333333333</v>
      </c>
      <c r="G69" s="44">
        <f>G$5*Teams!$E$63*G66*Teams!$E$67</f>
        <v>10266.666666666666</v>
      </c>
      <c r="H69" s="44">
        <f>H$5*Teams!$E$63*H66*Teams!$E$67</f>
        <v>19800</v>
      </c>
      <c r="I69" s="44">
        <f>I$5*Teams!$E$63*I66*Teams!$E$67</f>
        <v>29333.333333333332</v>
      </c>
      <c r="J69" s="44">
        <f>J$5*Teams!$E$63*J66*Teams!$E$67</f>
        <v>36666.666666666672</v>
      </c>
      <c r="K69" s="44">
        <f>K$5*Teams!$E$63*K66*Teams!$E$67</f>
        <v>39600</v>
      </c>
      <c r="L69" s="44">
        <f>L$5*Teams!$E$63*L66*Teams!$E$67</f>
        <v>39600</v>
      </c>
      <c r="M69" s="44">
        <f>M$5*Teams!$E$63*M66*Teams!$E$67</f>
        <v>39600</v>
      </c>
      <c r="N69" s="44">
        <f>N$5*Teams!$E$63*N66*Teams!$E$67</f>
        <v>39600</v>
      </c>
      <c r="O69" s="44">
        <f>O$5*Teams!$E$63*O66*Teams!$E$67</f>
        <v>39600</v>
      </c>
      <c r="P69" s="44">
        <f>P$5*Teams!$E$63*P66*Teams!$E$67</f>
        <v>39600</v>
      </c>
      <c r="Q69" s="44">
        <f>Q$5*Teams!$E$63*Q66*Teams!$E$67</f>
        <v>39600</v>
      </c>
      <c r="R69" s="44">
        <f>R$5*Teams!$E$63*R66*Teams!$E$67</f>
        <v>39600</v>
      </c>
      <c r="S69" s="44">
        <f>S$5*Teams!$E$63*S66*Teams!$E$67</f>
        <v>39600</v>
      </c>
      <c r="T69" s="44">
        <f>T$5*Teams!$E$63*T66*Teams!$E$67</f>
        <v>39600</v>
      </c>
      <c r="U69" s="44">
        <f>U$5*Teams!$E$63*U66*Teams!$E$67</f>
        <v>39600</v>
      </c>
      <c r="V69" s="44">
        <f>V$5*Teams!$E$63*V66*Teams!$E$67</f>
        <v>39600</v>
      </c>
      <c r="W69" s="44">
        <f>W$5*Teams!$E$63*W66*Teams!$E$67</f>
        <v>39600</v>
      </c>
      <c r="X69" s="44">
        <f>X$5*Teams!$E$63*X66*Teams!$E$67</f>
        <v>39600</v>
      </c>
      <c r="Y69" s="44">
        <f>Y$5*Teams!$E$63*Y66*Teams!$E$67</f>
        <v>39600</v>
      </c>
      <c r="Z69" s="44">
        <f>Z$5*Teams!$E$63*Z66*Teams!$E$67</f>
        <v>39600</v>
      </c>
      <c r="AA69" s="44">
        <f>AA$5*Teams!$E$63*AA66*Teams!$E$67</f>
        <v>39600</v>
      </c>
      <c r="AB69" s="44">
        <f>AB$5*Teams!$E$63*AB66*Teams!$E$67</f>
        <v>39600</v>
      </c>
      <c r="AC69" s="44">
        <f>AC$5*Teams!$E$63*AC66*Teams!$E$67</f>
        <v>39600</v>
      </c>
      <c r="AD69" s="44">
        <f>AD$5*Teams!$E$63*AD66*Teams!$E$67</f>
        <v>39600</v>
      </c>
      <c r="AE69" s="44">
        <f>AE$5*Teams!$E$63*AE66*Teams!$E$67</f>
        <v>39600</v>
      </c>
      <c r="AF69" s="44">
        <f>AF$5*Teams!$E$63*AF66*Teams!$E$67</f>
        <v>39600</v>
      </c>
      <c r="AG69" s="44">
        <f>AG$5*Teams!$E$63*AG66*Teams!$E$67</f>
        <v>39600</v>
      </c>
      <c r="AH69" s="44">
        <f>AH$5*Teams!$E$63*AH66*Teams!$E$67</f>
        <v>39600</v>
      </c>
      <c r="AI69" s="44">
        <f>AI$5*Teams!$E$63*AI66*Teams!$E$67</f>
        <v>39600</v>
      </c>
      <c r="AJ69" s="44">
        <f>AJ$5*Teams!$E$63*AJ66*Teams!$E$67</f>
        <v>39600</v>
      </c>
      <c r="AK69" s="44">
        <f>AK$5*Teams!$E$63*AK66*Teams!$E$67</f>
        <v>39600</v>
      </c>
      <c r="AL69" s="44">
        <f>AL$5*Teams!$E$63*AL66*Teams!$E$67</f>
        <v>39600</v>
      </c>
      <c r="AM69" s="44">
        <f>AM$5*Teams!$E$63*AM66*Teams!$E$67</f>
        <v>39600</v>
      </c>
      <c r="AN69" s="44">
        <f>AN$5*Teams!$E$63*AN66*Teams!$E$67</f>
        <v>39600</v>
      </c>
      <c r="AO69" s="44">
        <f>AO$5*Teams!$E$63*AO66*Teams!$E$67</f>
        <v>0</v>
      </c>
      <c r="AP69" s="44">
        <f>AP$5*Teams!$E$63*AP66*Teams!$E$67</f>
        <v>0</v>
      </c>
      <c r="AQ69" s="44">
        <f>AQ$5*Teams!$E$63*AQ66*Teams!$E$67</f>
        <v>0</v>
      </c>
      <c r="AR69" s="44">
        <f>AR$5*Teams!$E$63*AR66*Teams!$E$67</f>
        <v>0</v>
      </c>
      <c r="AS69" s="44">
        <f>AS$5*Teams!$E$63*AS66*Teams!$E$67</f>
        <v>0</v>
      </c>
      <c r="AT69" s="44">
        <f>AT$5*Teams!$E$63*AT66*Teams!$E$67</f>
        <v>0</v>
      </c>
      <c r="AU69" s="44">
        <f>AU$5*Teams!$E$63*AU66*Teams!$E$67</f>
        <v>0</v>
      </c>
      <c r="AV69" s="44">
        <f>AV$5*Teams!$E$63*AV66*Teams!$E$67</f>
        <v>0</v>
      </c>
      <c r="AW69" s="44">
        <f>AW$5*Teams!$E$63*AW66*Teams!$E$67</f>
        <v>0</v>
      </c>
      <c r="AX69" s="44">
        <f>AX$5*Teams!$E$63*AX66*Teams!$E$67</f>
        <v>0</v>
      </c>
      <c r="AY69" s="44">
        <f>AY$5*Teams!$E$63*AY66*Teams!$E$67</f>
        <v>0</v>
      </c>
      <c r="AZ69" s="44">
        <f>AZ$5*Teams!$E$63*AZ66*Teams!$E$67</f>
        <v>0</v>
      </c>
      <c r="BA69" s="44">
        <f>BA$5*Teams!$E$63*BA66*Teams!$E$67</f>
        <v>0</v>
      </c>
      <c r="BB69" s="44">
        <f>BB$5*Teams!$E$63*BB66*Teams!$E$67</f>
        <v>0</v>
      </c>
      <c r="BC69" s="44">
        <f>BC$5*Teams!$E$63*BC66*Teams!$E$67</f>
        <v>0</v>
      </c>
      <c r="BD69" s="44">
        <f>BD$5*Teams!$E$63*BD66*Teams!$E$67</f>
        <v>0</v>
      </c>
      <c r="BE69" s="44">
        <f>BE$5*Teams!$E$63*BE66*Teams!$E$67</f>
        <v>0</v>
      </c>
      <c r="BF69" s="44">
        <f>BF$5*Teams!$E$63*BF66*Teams!$E$67</f>
        <v>0</v>
      </c>
      <c r="BG69" s="44">
        <f>BG$5*Teams!$E$63*BG66*Teams!$E$67</f>
        <v>0</v>
      </c>
      <c r="BH69" s="44">
        <f>BH$5*Teams!$E$63*BH66*Teams!$E$67</f>
        <v>0</v>
      </c>
      <c r="BI69" s="44">
        <f>BI$5*Teams!$E$63*BI66*Teams!$E$67</f>
        <v>0</v>
      </c>
      <c r="BJ69" s="44">
        <f>BJ$5*Teams!$E$63*BJ66*Teams!$E$67</f>
        <v>0</v>
      </c>
      <c r="BK69" s="44">
        <f>BK$5*Teams!$E$63*BK66*Teams!$E$67</f>
        <v>0</v>
      </c>
      <c r="BL69" s="44">
        <f>BL$5*Teams!$E$63*BL66*Teams!$E$67</f>
        <v>0</v>
      </c>
    </row>
    <row r="70" spans="1:64" x14ac:dyDescent="0.3">
      <c r="A70" s="8" t="s">
        <v>668</v>
      </c>
      <c r="B70" s="18" t="s">
        <v>435</v>
      </c>
      <c r="C70" s="44">
        <f t="shared" si="20"/>
        <v>0</v>
      </c>
      <c r="E70" s="44">
        <f>E$5*Teams!$E$65*E66*Teams!$E$74</f>
        <v>0</v>
      </c>
      <c r="F70" s="44">
        <f>F$5*Teams!$E$65*F66*Teams!$E$74</f>
        <v>0</v>
      </c>
      <c r="G70" s="44">
        <f>G$5*Teams!$E$65*G66*Teams!$E$74</f>
        <v>0</v>
      </c>
      <c r="H70" s="44">
        <f>H$5*Teams!$E$65*H66*Teams!$E$74</f>
        <v>0</v>
      </c>
      <c r="I70" s="44">
        <f>I$5*Teams!$E$65*I66*Teams!$E$74</f>
        <v>0</v>
      </c>
      <c r="J70" s="44">
        <f>J$5*Teams!$E$65*J66*Teams!$E$74</f>
        <v>0</v>
      </c>
      <c r="K70" s="44">
        <f>K$5*Teams!$E$65*K66*Teams!$E$74</f>
        <v>0</v>
      </c>
      <c r="L70" s="44">
        <f>L$5*Teams!$E$65*L66*Teams!$E$74</f>
        <v>0</v>
      </c>
      <c r="M70" s="44">
        <f>M$5*Teams!$E$65*M66*Teams!$E$74</f>
        <v>0</v>
      </c>
      <c r="N70" s="44">
        <f>N$5*Teams!$E$65*N66*Teams!$E$74</f>
        <v>0</v>
      </c>
      <c r="O70" s="44">
        <f>O$5*Teams!$E$65*O66*Teams!$E$74</f>
        <v>0</v>
      </c>
      <c r="P70" s="44">
        <f>P$5*Teams!$E$65*P66*Teams!$E$74</f>
        <v>0</v>
      </c>
      <c r="Q70" s="44">
        <f>Q$5*Teams!$E$65*Q66*Teams!$E$74</f>
        <v>0</v>
      </c>
      <c r="R70" s="44">
        <f>R$5*Teams!$E$65*R66*Teams!$E$74</f>
        <v>0</v>
      </c>
      <c r="S70" s="44">
        <f>S$5*Teams!$E$65*S66*Teams!$E$74</f>
        <v>0</v>
      </c>
      <c r="T70" s="44">
        <f>T$5*Teams!$E$65*T66*Teams!$E$74</f>
        <v>0</v>
      </c>
      <c r="U70" s="44">
        <f>U$5*Teams!$E$65*U66*Teams!$E$74</f>
        <v>0</v>
      </c>
      <c r="V70" s="44">
        <f>V$5*Teams!$E$65*V66*Teams!$E$74</f>
        <v>0</v>
      </c>
      <c r="W70" s="44">
        <f>W$5*Teams!$E$65*W66*Teams!$E$74</f>
        <v>0</v>
      </c>
      <c r="X70" s="44">
        <f>X$5*Teams!$E$65*X66*Teams!$E$74</f>
        <v>0</v>
      </c>
      <c r="Y70" s="44">
        <f>Y$5*Teams!$E$65*Y66*Teams!$E$74</f>
        <v>0</v>
      </c>
      <c r="Z70" s="44">
        <f>Z$5*Teams!$E$65*Z66*Teams!$E$74</f>
        <v>0</v>
      </c>
      <c r="AA70" s="44">
        <f>AA$5*Teams!$E$65*AA66*Teams!$E$74</f>
        <v>0</v>
      </c>
      <c r="AB70" s="44">
        <f>AB$5*Teams!$E$65*AB66*Teams!$E$74</f>
        <v>0</v>
      </c>
      <c r="AC70" s="44">
        <f>AC$5*Teams!$E$65*AC66*Teams!$E$74</f>
        <v>0</v>
      </c>
      <c r="AD70" s="44">
        <f>AD$5*Teams!$E$65*AD66*Teams!$E$74</f>
        <v>0</v>
      </c>
      <c r="AE70" s="44">
        <f>AE$5*Teams!$E$65*AE66*Teams!$E$74</f>
        <v>0</v>
      </c>
      <c r="AF70" s="44">
        <f>AF$5*Teams!$E$65*AF66*Teams!$E$74</f>
        <v>0</v>
      </c>
      <c r="AG70" s="44">
        <f>AG$5*Teams!$E$65*AG66*Teams!$E$74</f>
        <v>0</v>
      </c>
      <c r="AH70" s="44">
        <f>AH$5*Teams!$E$65*AH66*Teams!$E$74</f>
        <v>0</v>
      </c>
      <c r="AI70" s="44">
        <f>AI$5*Teams!$E$65*AI66*Teams!$E$74</f>
        <v>0</v>
      </c>
      <c r="AJ70" s="44">
        <f>AJ$5*Teams!$E$65*AJ66*Teams!$E$74</f>
        <v>0</v>
      </c>
      <c r="AK70" s="44">
        <f>AK$5*Teams!$E$65*AK66*Teams!$E$74</f>
        <v>0</v>
      </c>
      <c r="AL70" s="44">
        <f>AL$5*Teams!$E$65*AL66*Teams!$E$74</f>
        <v>0</v>
      </c>
      <c r="AM70" s="44">
        <f>AM$5*Teams!$E$65*AM66*Teams!$E$74</f>
        <v>0</v>
      </c>
      <c r="AN70" s="44">
        <f>AN$5*Teams!$E$65*AN66*Teams!$E$74</f>
        <v>0</v>
      </c>
      <c r="AO70" s="44">
        <f>AO$5*Teams!$E$65*AO66*Teams!$E$74</f>
        <v>0</v>
      </c>
      <c r="AP70" s="44">
        <f>AP$5*Teams!$E$65*AP66*Teams!$E$74</f>
        <v>0</v>
      </c>
      <c r="AQ70" s="44">
        <f>AQ$5*Teams!$E$65*AQ66*Teams!$E$74</f>
        <v>0</v>
      </c>
      <c r="AR70" s="44">
        <f>AR$5*Teams!$E$65*AR66*Teams!$E$74</f>
        <v>0</v>
      </c>
      <c r="AS70" s="44">
        <f>AS$5*Teams!$E$65*AS66*Teams!$E$74</f>
        <v>0</v>
      </c>
      <c r="AT70" s="44">
        <f>AT$5*Teams!$E$65*AT66*Teams!$E$74</f>
        <v>0</v>
      </c>
      <c r="AU70" s="44">
        <f>AU$5*Teams!$E$65*AU66*Teams!$E$74</f>
        <v>0</v>
      </c>
      <c r="AV70" s="44">
        <f>AV$5*Teams!$E$65*AV66*Teams!$E$74</f>
        <v>0</v>
      </c>
      <c r="AW70" s="44">
        <f>AW$5*Teams!$E$65*AW66*Teams!$E$74</f>
        <v>0</v>
      </c>
      <c r="AX70" s="44">
        <f>AX$5*Teams!$E$65*AX66*Teams!$E$74</f>
        <v>0</v>
      </c>
      <c r="AY70" s="44">
        <f>AY$5*Teams!$E$65*AY66*Teams!$E$74</f>
        <v>0</v>
      </c>
      <c r="AZ70" s="44">
        <f>AZ$5*Teams!$E$65*AZ66*Teams!$E$74</f>
        <v>0</v>
      </c>
      <c r="BA70" s="44">
        <f>BA$5*Teams!$E$65*BA66*Teams!$E$74</f>
        <v>0</v>
      </c>
      <c r="BB70" s="44">
        <f>BB$5*Teams!$E$65*BB66*Teams!$E$74</f>
        <v>0</v>
      </c>
      <c r="BC70" s="44">
        <f>BC$5*Teams!$E$65*BC66*Teams!$E$74</f>
        <v>0</v>
      </c>
      <c r="BD70" s="44">
        <f>BD$5*Teams!$E$65*BD66*Teams!$E$74</f>
        <v>0</v>
      </c>
      <c r="BE70" s="44">
        <f>BE$5*Teams!$E$65*BE66*Teams!$E$74</f>
        <v>0</v>
      </c>
      <c r="BF70" s="44">
        <f>BF$5*Teams!$E$65*BF66*Teams!$E$74</f>
        <v>0</v>
      </c>
      <c r="BG70" s="44">
        <f>BG$5*Teams!$E$65*BG66*Teams!$E$74</f>
        <v>0</v>
      </c>
      <c r="BH70" s="44">
        <f>BH$5*Teams!$E$65*BH66*Teams!$E$74</f>
        <v>0</v>
      </c>
      <c r="BI70" s="44">
        <f>BI$5*Teams!$E$65*BI66*Teams!$E$74</f>
        <v>0</v>
      </c>
      <c r="BJ70" s="44">
        <f>BJ$5*Teams!$E$65*BJ66*Teams!$E$74</f>
        <v>0</v>
      </c>
      <c r="BK70" s="44">
        <f>BK$5*Teams!$E$65*BK66*Teams!$E$74</f>
        <v>0</v>
      </c>
      <c r="BL70" s="44">
        <f>BL$5*Teams!$E$65*BL66*Teams!$E$74</f>
        <v>0</v>
      </c>
    </row>
    <row r="71" spans="1:64" x14ac:dyDescent="0.3">
      <c r="A71" s="8" t="s">
        <v>669</v>
      </c>
      <c r="B71" s="18" t="s">
        <v>505</v>
      </c>
      <c r="C71" s="44">
        <f t="shared" si="20"/>
        <v>0</v>
      </c>
      <c r="E71" s="44">
        <f>E$5*Teams!$E$64*Teams!$E$16*IF(E$4&gt;=Teams!$E$80,1,0)</f>
        <v>0</v>
      </c>
      <c r="F71" s="44">
        <f>F$5*Teams!$E$64*Teams!$E$16*IF(F$4&gt;=Teams!$E$80,1,0)</f>
        <v>0</v>
      </c>
      <c r="G71" s="44">
        <f>G$5*Teams!$E$64*Teams!$E$16*IF(G$4&gt;=Teams!$E$80,1,0)</f>
        <v>0</v>
      </c>
      <c r="H71" s="44">
        <f>H$5*Teams!$E$64*Teams!$E$16*IF(H$4&gt;=Teams!$E$80,1,0)</f>
        <v>0</v>
      </c>
      <c r="I71" s="44">
        <f>I$5*Teams!$E$64*Teams!$E$16*IF(I$4&gt;=Teams!$E$80,1,0)</f>
        <v>0</v>
      </c>
      <c r="J71" s="44">
        <f>J$5*Teams!$E$64*Teams!$E$16*IF(J$4&gt;=Teams!$E$80,1,0)</f>
        <v>0</v>
      </c>
      <c r="K71" s="44">
        <f>K$5*Teams!$E$64*Teams!$E$16*IF(K$4&gt;=Teams!$E$80,1,0)</f>
        <v>0</v>
      </c>
      <c r="L71" s="44">
        <f>L$5*Teams!$E$64*Teams!$E$16*IF(L$4&gt;=Teams!$E$80,1,0)</f>
        <v>0</v>
      </c>
      <c r="M71" s="44">
        <f>M$5*Teams!$E$64*Teams!$E$16*IF(M$4&gt;=Teams!$E$80,1,0)</f>
        <v>0</v>
      </c>
      <c r="N71" s="44">
        <f>N$5*Teams!$E$64*Teams!$E$16*IF(N$4&gt;=Teams!$E$80,1,0)</f>
        <v>0</v>
      </c>
      <c r="O71" s="44">
        <f>O$5*Teams!$E$64*Teams!$E$16*IF(O$4&gt;=Teams!$E$80,1,0)</f>
        <v>0</v>
      </c>
      <c r="P71" s="44">
        <f>P$5*Teams!$E$64*Teams!$E$16*IF(P$4&gt;=Teams!$E$80,1,0)</f>
        <v>0</v>
      </c>
      <c r="Q71" s="44">
        <f>Q$5*Teams!$E$64*Teams!$E$16*IF(Q$4&gt;=Teams!$E$80,1,0)</f>
        <v>0</v>
      </c>
      <c r="R71" s="44">
        <f>R$5*Teams!$E$64*Teams!$E$16*IF(R$4&gt;=Teams!$E$80,1,0)</f>
        <v>0</v>
      </c>
      <c r="S71" s="44">
        <f>S$5*Teams!$E$64*Teams!$E$16*IF(S$4&gt;=Teams!$E$80,1,0)</f>
        <v>0</v>
      </c>
      <c r="T71" s="44">
        <f>T$5*Teams!$E$64*Teams!$E$16*IF(T$4&gt;=Teams!$E$80,1,0)</f>
        <v>0</v>
      </c>
      <c r="U71" s="44">
        <f>U$5*Teams!$E$64*Teams!$E$16*IF(U$4&gt;=Teams!$E$80,1,0)</f>
        <v>0</v>
      </c>
      <c r="V71" s="44">
        <f>V$5*Teams!$E$64*Teams!$E$16*IF(V$4&gt;=Teams!$E$80,1,0)</f>
        <v>0</v>
      </c>
      <c r="W71" s="44">
        <f>W$5*Teams!$E$64*Teams!$E$16*IF(W$4&gt;=Teams!$E$80,1,0)</f>
        <v>0</v>
      </c>
      <c r="X71" s="44">
        <f>X$5*Teams!$E$64*Teams!$E$16*IF(X$4&gt;=Teams!$E$80,1,0)</f>
        <v>0</v>
      </c>
      <c r="Y71" s="44">
        <f>Y$5*Teams!$E$64*Teams!$E$16*IF(Y$4&gt;=Teams!$E$80,1,0)</f>
        <v>0</v>
      </c>
      <c r="Z71" s="44">
        <f>Z$5*Teams!$E$64*Teams!$E$16*IF(Z$4&gt;=Teams!$E$80,1,0)</f>
        <v>0</v>
      </c>
      <c r="AA71" s="44">
        <f>AA$5*Teams!$E$64*Teams!$E$16*IF(AA$4&gt;=Teams!$E$80,1,0)</f>
        <v>0</v>
      </c>
      <c r="AB71" s="44">
        <f>AB$5*Teams!$E$64*Teams!$E$16*IF(AB$4&gt;=Teams!$E$80,1,0)</f>
        <v>0</v>
      </c>
      <c r="AC71" s="44">
        <f>AC$5*Teams!$E$64*Teams!$E$16*IF(AC$4&gt;=Teams!$E$80,1,0)</f>
        <v>0</v>
      </c>
      <c r="AD71" s="44">
        <f>AD$5*Teams!$E$64*Teams!$E$16*IF(AD$4&gt;=Teams!$E$80,1,0)</f>
        <v>0</v>
      </c>
      <c r="AE71" s="44">
        <f>AE$5*Teams!$E$64*Teams!$E$16*IF(AE$4&gt;=Teams!$E$80,1,0)</f>
        <v>0</v>
      </c>
      <c r="AF71" s="44">
        <f>AF$5*Teams!$E$64*Teams!$E$16*IF(AF$4&gt;=Teams!$E$80,1,0)</f>
        <v>0</v>
      </c>
      <c r="AG71" s="44">
        <f>AG$5*Teams!$E$64*Teams!$E$16*IF(AG$4&gt;=Teams!$E$80,1,0)</f>
        <v>0</v>
      </c>
      <c r="AH71" s="44">
        <f>AH$5*Teams!$E$64*Teams!$E$16*IF(AH$4&gt;=Teams!$E$80,1,0)</f>
        <v>0</v>
      </c>
      <c r="AI71" s="44">
        <f>AI$5*Teams!$E$64*Teams!$E$16*IF(AI$4&gt;=Teams!$E$80,1,0)</f>
        <v>0</v>
      </c>
      <c r="AJ71" s="44">
        <f>AJ$5*Teams!$E$64*Teams!$E$16*IF(AJ$4&gt;=Teams!$E$80,1,0)</f>
        <v>0</v>
      </c>
      <c r="AK71" s="44">
        <f>AK$5*Teams!$E$64*Teams!$E$16*IF(AK$4&gt;=Teams!$E$80,1,0)</f>
        <v>0</v>
      </c>
      <c r="AL71" s="44">
        <f>AL$5*Teams!$E$64*Teams!$E$16*IF(AL$4&gt;=Teams!$E$80,1,0)</f>
        <v>0</v>
      </c>
      <c r="AM71" s="44">
        <f>AM$5*Teams!$E$64*Teams!$E$16*IF(AM$4&gt;=Teams!$E$80,1,0)</f>
        <v>0</v>
      </c>
      <c r="AN71" s="44">
        <f>AN$5*Teams!$E$64*Teams!$E$16*IF(AN$4&gt;=Teams!$E$80,1,0)</f>
        <v>0</v>
      </c>
      <c r="AO71" s="44">
        <f>AO$5*Teams!$E$64*Teams!$E$16*IF(AO$4&gt;=Teams!$E$80,1,0)</f>
        <v>0</v>
      </c>
      <c r="AP71" s="44">
        <f>AP$5*Teams!$E$64*Teams!$E$16*IF(AP$4&gt;=Teams!$E$80,1,0)</f>
        <v>0</v>
      </c>
      <c r="AQ71" s="44">
        <f>AQ$5*Teams!$E$64*Teams!$E$16*IF(AQ$4&gt;=Teams!$E$80,1,0)</f>
        <v>0</v>
      </c>
      <c r="AR71" s="44">
        <f>AR$5*Teams!$E$64*Teams!$E$16*IF(AR$4&gt;=Teams!$E$80,1,0)</f>
        <v>0</v>
      </c>
      <c r="AS71" s="44">
        <f>AS$5*Teams!$E$64*Teams!$E$16*IF(AS$4&gt;=Teams!$E$80,1,0)</f>
        <v>0</v>
      </c>
      <c r="AT71" s="44">
        <f>AT$5*Teams!$E$64*Teams!$E$16*IF(AT$4&gt;=Teams!$E$80,1,0)</f>
        <v>0</v>
      </c>
      <c r="AU71" s="44">
        <f>AU$5*Teams!$E$64*Teams!$E$16*IF(AU$4&gt;=Teams!$E$80,1,0)</f>
        <v>0</v>
      </c>
      <c r="AV71" s="44">
        <f>AV$5*Teams!$E$64*Teams!$E$16*IF(AV$4&gt;=Teams!$E$80,1,0)</f>
        <v>0</v>
      </c>
      <c r="AW71" s="44">
        <f>AW$5*Teams!$E$64*Teams!$E$16*IF(AW$4&gt;=Teams!$E$80,1,0)</f>
        <v>0</v>
      </c>
      <c r="AX71" s="44">
        <f>AX$5*Teams!$E$64*Teams!$E$16*IF(AX$4&gt;=Teams!$E$80,1,0)</f>
        <v>0</v>
      </c>
      <c r="AY71" s="44">
        <f>AY$5*Teams!$E$64*Teams!$E$16*IF(AY$4&gt;=Teams!$E$80,1,0)</f>
        <v>0</v>
      </c>
      <c r="AZ71" s="44">
        <f>AZ$5*Teams!$E$64*Teams!$E$16*IF(AZ$4&gt;=Teams!$E$80,1,0)</f>
        <v>0</v>
      </c>
      <c r="BA71" s="44">
        <f>BA$5*Teams!$E$64*Teams!$E$16*IF(BA$4&gt;=Teams!$E$80,1,0)</f>
        <v>0</v>
      </c>
      <c r="BB71" s="44">
        <f>BB$5*Teams!$E$64*Teams!$E$16*IF(BB$4&gt;=Teams!$E$80,1,0)</f>
        <v>0</v>
      </c>
      <c r="BC71" s="44">
        <f>BC$5*Teams!$E$64*Teams!$E$16*IF(BC$4&gt;=Teams!$E$80,1,0)</f>
        <v>0</v>
      </c>
      <c r="BD71" s="44">
        <f>BD$5*Teams!$E$64*Teams!$E$16*IF(BD$4&gt;=Teams!$E$80,1,0)</f>
        <v>0</v>
      </c>
      <c r="BE71" s="44">
        <f>BE$5*Teams!$E$64*Teams!$E$16*IF(BE$4&gt;=Teams!$E$80,1,0)</f>
        <v>0</v>
      </c>
      <c r="BF71" s="44">
        <f>BF$5*Teams!$E$64*Teams!$E$16*IF(BF$4&gt;=Teams!$E$80,1,0)</f>
        <v>0</v>
      </c>
      <c r="BG71" s="44">
        <f>BG$5*Teams!$E$64*Teams!$E$16*IF(BG$4&gt;=Teams!$E$80,1,0)</f>
        <v>0</v>
      </c>
      <c r="BH71" s="44">
        <f>BH$5*Teams!$E$64*Teams!$E$16*IF(BH$4&gt;=Teams!$E$80,1,0)</f>
        <v>0</v>
      </c>
      <c r="BI71" s="44">
        <f>BI$5*Teams!$E$64*Teams!$E$16*IF(BI$4&gt;=Teams!$E$80,1,0)</f>
        <v>0</v>
      </c>
      <c r="BJ71" s="44">
        <f>BJ$5*Teams!$E$64*Teams!$E$16*IF(BJ$4&gt;=Teams!$E$80,1,0)</f>
        <v>0</v>
      </c>
      <c r="BK71" s="44">
        <f>BK$5*Teams!$E$64*Teams!$E$16*IF(BK$4&gt;=Teams!$E$80,1,0)</f>
        <v>0</v>
      </c>
      <c r="BL71" s="44">
        <f>BL$5*Teams!$E$64*Teams!$E$16*IF(BL$4&gt;=Teams!$E$80,1,0)</f>
        <v>0</v>
      </c>
    </row>
    <row r="72" spans="1:64" x14ac:dyDescent="0.3">
      <c r="A72" s="8" t="s">
        <v>670</v>
      </c>
      <c r="B72" s="18" t="s">
        <v>435</v>
      </c>
      <c r="C72" s="44">
        <f t="shared" si="20"/>
        <v>0</v>
      </c>
      <c r="E72" s="44">
        <f>E$5*IF(AND(E$4&gt;=Teams!$E$80,Teams!$E$49=1),Teams!$E$44*Params!$E$10*Teams!$E$45*Teams!$E$75+Teams!$E$44*Params!$E$10*Teams!$E$47*Teams!$E$76/1000000+Teams!$E$77+Teams!$E$50*Teams!$E$78+E66*Teams!$E$51*Teams!$E$79/1000000,0)</f>
        <v>0</v>
      </c>
      <c r="F72" s="44">
        <f>F$5*IF(AND(F$4&gt;=Teams!$E$80,Teams!$E$49=1),Teams!$E$44*Params!$E$10*Teams!$E$45*Teams!$E$75+Teams!$E$44*Params!$E$10*Teams!$E$47*Teams!$E$76/1000000+Teams!$E$77+Teams!$E$50*Teams!$E$78+F66*Teams!$E$51*Teams!$E$79/1000000,0)</f>
        <v>0</v>
      </c>
      <c r="G72" s="44">
        <f>G$5*IF(AND(G$4&gt;=Teams!$E$80,Teams!$E$49=1),Teams!$E$44*Params!$E$10*Teams!$E$45*Teams!$E$75+Teams!$E$44*Params!$E$10*Teams!$E$47*Teams!$E$76/1000000+Teams!$E$77+Teams!$E$50*Teams!$E$78+G66*Teams!$E$51*Teams!$E$79/1000000,0)</f>
        <v>0</v>
      </c>
      <c r="H72" s="44">
        <f>H$5*IF(AND(H$4&gt;=Teams!$E$80,Teams!$E$49=1),Teams!$E$44*Params!$E$10*Teams!$E$45*Teams!$E$75+Teams!$E$44*Params!$E$10*Teams!$E$47*Teams!$E$76/1000000+Teams!$E$77+Teams!$E$50*Teams!$E$78+H66*Teams!$E$51*Teams!$E$79/1000000,0)</f>
        <v>0</v>
      </c>
      <c r="I72" s="44">
        <f>I$5*IF(AND(I$4&gt;=Teams!$E$80,Teams!$E$49=1),Teams!$E$44*Params!$E$10*Teams!$E$45*Teams!$E$75+Teams!$E$44*Params!$E$10*Teams!$E$47*Teams!$E$76/1000000+Teams!$E$77+Teams!$E$50*Teams!$E$78+I66*Teams!$E$51*Teams!$E$79/1000000,0)</f>
        <v>0</v>
      </c>
      <c r="J72" s="44">
        <f>J$5*IF(AND(J$4&gt;=Teams!$E$80,Teams!$E$49=1),Teams!$E$44*Params!$E$10*Teams!$E$45*Teams!$E$75+Teams!$E$44*Params!$E$10*Teams!$E$47*Teams!$E$76/1000000+Teams!$E$77+Teams!$E$50*Teams!$E$78+J66*Teams!$E$51*Teams!$E$79/1000000,0)</f>
        <v>0</v>
      </c>
      <c r="K72" s="44">
        <f>K$5*IF(AND(K$4&gt;=Teams!$E$80,Teams!$E$49=1),Teams!$E$44*Params!$E$10*Teams!$E$45*Teams!$E$75+Teams!$E$44*Params!$E$10*Teams!$E$47*Teams!$E$76/1000000+Teams!$E$77+Teams!$E$50*Teams!$E$78+K66*Teams!$E$51*Teams!$E$79/1000000,0)</f>
        <v>0</v>
      </c>
      <c r="L72" s="44">
        <f>L$5*IF(AND(L$4&gt;=Teams!$E$80,Teams!$E$49=1),Teams!$E$44*Params!$E$10*Teams!$E$45*Teams!$E$75+Teams!$E$44*Params!$E$10*Teams!$E$47*Teams!$E$76/1000000+Teams!$E$77+Teams!$E$50*Teams!$E$78+L66*Teams!$E$51*Teams!$E$79/1000000,0)</f>
        <v>0</v>
      </c>
      <c r="M72" s="44">
        <f>M$5*IF(AND(M$4&gt;=Teams!$E$80,Teams!$E$49=1),Teams!$E$44*Params!$E$10*Teams!$E$45*Teams!$E$75+Teams!$E$44*Params!$E$10*Teams!$E$47*Teams!$E$76/1000000+Teams!$E$77+Teams!$E$50*Teams!$E$78+M66*Teams!$E$51*Teams!$E$79/1000000,0)</f>
        <v>0</v>
      </c>
      <c r="N72" s="44">
        <f>N$5*IF(AND(N$4&gt;=Teams!$E$80,Teams!$E$49=1),Teams!$E$44*Params!$E$10*Teams!$E$45*Teams!$E$75+Teams!$E$44*Params!$E$10*Teams!$E$47*Teams!$E$76/1000000+Teams!$E$77+Teams!$E$50*Teams!$E$78+N66*Teams!$E$51*Teams!$E$79/1000000,0)</f>
        <v>0</v>
      </c>
      <c r="O72" s="44">
        <f>O$5*IF(AND(O$4&gt;=Teams!$E$80,Teams!$E$49=1),Teams!$E$44*Params!$E$10*Teams!$E$45*Teams!$E$75+Teams!$E$44*Params!$E$10*Teams!$E$47*Teams!$E$76/1000000+Teams!$E$77+Teams!$E$50*Teams!$E$78+O66*Teams!$E$51*Teams!$E$79/1000000,0)</f>
        <v>0</v>
      </c>
      <c r="P72" s="44">
        <f>P$5*IF(AND(P$4&gt;=Teams!$E$80,Teams!$E$49=1),Teams!$E$44*Params!$E$10*Teams!$E$45*Teams!$E$75+Teams!$E$44*Params!$E$10*Teams!$E$47*Teams!$E$76/1000000+Teams!$E$77+Teams!$E$50*Teams!$E$78+P66*Teams!$E$51*Teams!$E$79/1000000,0)</f>
        <v>0</v>
      </c>
      <c r="Q72" s="44">
        <f>Q$5*IF(AND(Q$4&gt;=Teams!$E$80,Teams!$E$49=1),Teams!$E$44*Params!$E$10*Teams!$E$45*Teams!$E$75+Teams!$E$44*Params!$E$10*Teams!$E$47*Teams!$E$76/1000000+Teams!$E$77+Teams!$E$50*Teams!$E$78+Q66*Teams!$E$51*Teams!$E$79/1000000,0)</f>
        <v>0</v>
      </c>
      <c r="R72" s="44">
        <f>R$5*IF(AND(R$4&gt;=Teams!$E$80,Teams!$E$49=1),Teams!$E$44*Params!$E$10*Teams!$E$45*Teams!$E$75+Teams!$E$44*Params!$E$10*Teams!$E$47*Teams!$E$76/1000000+Teams!$E$77+Teams!$E$50*Teams!$E$78+R66*Teams!$E$51*Teams!$E$79/1000000,0)</f>
        <v>0</v>
      </c>
      <c r="S72" s="44">
        <f>S$5*IF(AND(S$4&gt;=Teams!$E$80,Teams!$E$49=1),Teams!$E$44*Params!$E$10*Teams!$E$45*Teams!$E$75+Teams!$E$44*Params!$E$10*Teams!$E$47*Teams!$E$76/1000000+Teams!$E$77+Teams!$E$50*Teams!$E$78+S66*Teams!$E$51*Teams!$E$79/1000000,0)</f>
        <v>0</v>
      </c>
      <c r="T72" s="44">
        <f>T$5*IF(AND(T$4&gt;=Teams!$E$80,Teams!$E$49=1),Teams!$E$44*Params!$E$10*Teams!$E$45*Teams!$E$75+Teams!$E$44*Params!$E$10*Teams!$E$47*Teams!$E$76/1000000+Teams!$E$77+Teams!$E$50*Teams!$E$78+T66*Teams!$E$51*Teams!$E$79/1000000,0)</f>
        <v>0</v>
      </c>
      <c r="U72" s="44">
        <f>U$5*IF(AND(U$4&gt;=Teams!$E$80,Teams!$E$49=1),Teams!$E$44*Params!$E$10*Teams!$E$45*Teams!$E$75+Teams!$E$44*Params!$E$10*Teams!$E$47*Teams!$E$76/1000000+Teams!$E$77+Teams!$E$50*Teams!$E$78+U66*Teams!$E$51*Teams!$E$79/1000000,0)</f>
        <v>0</v>
      </c>
      <c r="V72" s="44">
        <f>V$5*IF(AND(V$4&gt;=Teams!$E$80,Teams!$E$49=1),Teams!$E$44*Params!$E$10*Teams!$E$45*Teams!$E$75+Teams!$E$44*Params!$E$10*Teams!$E$47*Teams!$E$76/1000000+Teams!$E$77+Teams!$E$50*Teams!$E$78+V66*Teams!$E$51*Teams!$E$79/1000000,0)</f>
        <v>0</v>
      </c>
      <c r="W72" s="44">
        <f>W$5*IF(AND(W$4&gt;=Teams!$E$80,Teams!$E$49=1),Teams!$E$44*Params!$E$10*Teams!$E$45*Teams!$E$75+Teams!$E$44*Params!$E$10*Teams!$E$47*Teams!$E$76/1000000+Teams!$E$77+Teams!$E$50*Teams!$E$78+W66*Teams!$E$51*Teams!$E$79/1000000,0)</f>
        <v>0</v>
      </c>
      <c r="X72" s="44">
        <f>X$5*IF(AND(X$4&gt;=Teams!$E$80,Teams!$E$49=1),Teams!$E$44*Params!$E$10*Teams!$E$45*Teams!$E$75+Teams!$E$44*Params!$E$10*Teams!$E$47*Teams!$E$76/1000000+Teams!$E$77+Teams!$E$50*Teams!$E$78+X66*Teams!$E$51*Teams!$E$79/1000000,0)</f>
        <v>0</v>
      </c>
      <c r="Y72" s="44">
        <f>Y$5*IF(AND(Y$4&gt;=Teams!$E$80,Teams!$E$49=1),Teams!$E$44*Params!$E$10*Teams!$E$45*Teams!$E$75+Teams!$E$44*Params!$E$10*Teams!$E$47*Teams!$E$76/1000000+Teams!$E$77+Teams!$E$50*Teams!$E$78+Y66*Teams!$E$51*Teams!$E$79/1000000,0)</f>
        <v>0</v>
      </c>
      <c r="Z72" s="44">
        <f>Z$5*IF(AND(Z$4&gt;=Teams!$E$80,Teams!$E$49=1),Teams!$E$44*Params!$E$10*Teams!$E$45*Teams!$E$75+Teams!$E$44*Params!$E$10*Teams!$E$47*Teams!$E$76/1000000+Teams!$E$77+Teams!$E$50*Teams!$E$78+Z66*Teams!$E$51*Teams!$E$79/1000000,0)</f>
        <v>0</v>
      </c>
      <c r="AA72" s="44">
        <f>AA$5*IF(AND(AA$4&gt;=Teams!$E$80,Teams!$E$49=1),Teams!$E$44*Params!$E$10*Teams!$E$45*Teams!$E$75+Teams!$E$44*Params!$E$10*Teams!$E$47*Teams!$E$76/1000000+Teams!$E$77+Teams!$E$50*Teams!$E$78+AA66*Teams!$E$51*Teams!$E$79/1000000,0)</f>
        <v>0</v>
      </c>
      <c r="AB72" s="44">
        <f>AB$5*IF(AND(AB$4&gt;=Teams!$E$80,Teams!$E$49=1),Teams!$E$44*Params!$E$10*Teams!$E$45*Teams!$E$75+Teams!$E$44*Params!$E$10*Teams!$E$47*Teams!$E$76/1000000+Teams!$E$77+Teams!$E$50*Teams!$E$78+AB66*Teams!$E$51*Teams!$E$79/1000000,0)</f>
        <v>0</v>
      </c>
      <c r="AC72" s="44">
        <f>AC$5*IF(AND(AC$4&gt;=Teams!$E$80,Teams!$E$49=1),Teams!$E$44*Params!$E$10*Teams!$E$45*Teams!$E$75+Teams!$E$44*Params!$E$10*Teams!$E$47*Teams!$E$76/1000000+Teams!$E$77+Teams!$E$50*Teams!$E$78+AC66*Teams!$E$51*Teams!$E$79/1000000,0)</f>
        <v>0</v>
      </c>
      <c r="AD72" s="44">
        <f>AD$5*IF(AND(AD$4&gt;=Teams!$E$80,Teams!$E$49=1),Teams!$E$44*Params!$E$10*Teams!$E$45*Teams!$E$75+Teams!$E$44*Params!$E$10*Teams!$E$47*Teams!$E$76/1000000+Teams!$E$77+Teams!$E$50*Teams!$E$78+AD66*Teams!$E$51*Teams!$E$79/1000000,0)</f>
        <v>0</v>
      </c>
      <c r="AE72" s="44">
        <f>AE$5*IF(AND(AE$4&gt;=Teams!$E$80,Teams!$E$49=1),Teams!$E$44*Params!$E$10*Teams!$E$45*Teams!$E$75+Teams!$E$44*Params!$E$10*Teams!$E$47*Teams!$E$76/1000000+Teams!$E$77+Teams!$E$50*Teams!$E$78+AE66*Teams!$E$51*Teams!$E$79/1000000,0)</f>
        <v>0</v>
      </c>
      <c r="AF72" s="44">
        <f>AF$5*IF(AND(AF$4&gt;=Teams!$E$80,Teams!$E$49=1),Teams!$E$44*Params!$E$10*Teams!$E$45*Teams!$E$75+Teams!$E$44*Params!$E$10*Teams!$E$47*Teams!$E$76/1000000+Teams!$E$77+Teams!$E$50*Teams!$E$78+AF66*Teams!$E$51*Teams!$E$79/1000000,0)</f>
        <v>0</v>
      </c>
      <c r="AG72" s="44">
        <f>AG$5*IF(AND(AG$4&gt;=Teams!$E$80,Teams!$E$49=1),Teams!$E$44*Params!$E$10*Teams!$E$45*Teams!$E$75+Teams!$E$44*Params!$E$10*Teams!$E$47*Teams!$E$76/1000000+Teams!$E$77+Teams!$E$50*Teams!$E$78+AG66*Teams!$E$51*Teams!$E$79/1000000,0)</f>
        <v>0</v>
      </c>
      <c r="AH72" s="44">
        <f>AH$5*IF(AND(AH$4&gt;=Teams!$E$80,Teams!$E$49=1),Teams!$E$44*Params!$E$10*Teams!$E$45*Teams!$E$75+Teams!$E$44*Params!$E$10*Teams!$E$47*Teams!$E$76/1000000+Teams!$E$77+Teams!$E$50*Teams!$E$78+AH66*Teams!$E$51*Teams!$E$79/1000000,0)</f>
        <v>0</v>
      </c>
      <c r="AI72" s="44">
        <f>AI$5*IF(AND(AI$4&gt;=Teams!$E$80,Teams!$E$49=1),Teams!$E$44*Params!$E$10*Teams!$E$45*Teams!$E$75+Teams!$E$44*Params!$E$10*Teams!$E$47*Teams!$E$76/1000000+Teams!$E$77+Teams!$E$50*Teams!$E$78+AI66*Teams!$E$51*Teams!$E$79/1000000,0)</f>
        <v>0</v>
      </c>
      <c r="AJ72" s="44">
        <f>AJ$5*IF(AND(AJ$4&gt;=Teams!$E$80,Teams!$E$49=1),Teams!$E$44*Params!$E$10*Teams!$E$45*Teams!$E$75+Teams!$E$44*Params!$E$10*Teams!$E$47*Teams!$E$76/1000000+Teams!$E$77+Teams!$E$50*Teams!$E$78+AJ66*Teams!$E$51*Teams!$E$79/1000000,0)</f>
        <v>0</v>
      </c>
      <c r="AK72" s="44">
        <f>AK$5*IF(AND(AK$4&gt;=Teams!$E$80,Teams!$E$49=1),Teams!$E$44*Params!$E$10*Teams!$E$45*Teams!$E$75+Teams!$E$44*Params!$E$10*Teams!$E$47*Teams!$E$76/1000000+Teams!$E$77+Teams!$E$50*Teams!$E$78+AK66*Teams!$E$51*Teams!$E$79/1000000,0)</f>
        <v>0</v>
      </c>
      <c r="AL72" s="44">
        <f>AL$5*IF(AND(AL$4&gt;=Teams!$E$80,Teams!$E$49=1),Teams!$E$44*Params!$E$10*Teams!$E$45*Teams!$E$75+Teams!$E$44*Params!$E$10*Teams!$E$47*Teams!$E$76/1000000+Teams!$E$77+Teams!$E$50*Teams!$E$78+AL66*Teams!$E$51*Teams!$E$79/1000000,0)</f>
        <v>0</v>
      </c>
      <c r="AM72" s="44">
        <f>AM$5*IF(AND(AM$4&gt;=Teams!$E$80,Teams!$E$49=1),Teams!$E$44*Params!$E$10*Teams!$E$45*Teams!$E$75+Teams!$E$44*Params!$E$10*Teams!$E$47*Teams!$E$76/1000000+Teams!$E$77+Teams!$E$50*Teams!$E$78+AM66*Teams!$E$51*Teams!$E$79/1000000,0)</f>
        <v>0</v>
      </c>
      <c r="AN72" s="44">
        <f>AN$5*IF(AND(AN$4&gt;=Teams!$E$80,Teams!$E$49=1),Teams!$E$44*Params!$E$10*Teams!$E$45*Teams!$E$75+Teams!$E$44*Params!$E$10*Teams!$E$47*Teams!$E$76/1000000+Teams!$E$77+Teams!$E$50*Teams!$E$78+AN66*Teams!$E$51*Teams!$E$79/1000000,0)</f>
        <v>0</v>
      </c>
      <c r="AO72" s="44">
        <f>AO$5*IF(AND(AO$4&gt;=Teams!$E$80,Teams!$E$49=1),Teams!$E$44*Params!$E$10*Teams!$E$45*Teams!$E$75+Teams!$E$44*Params!$E$10*Teams!$E$47*Teams!$E$76/1000000+Teams!$E$77+Teams!$E$50*Teams!$E$78+AO66*Teams!$E$51*Teams!$E$79/1000000,0)</f>
        <v>0</v>
      </c>
      <c r="AP72" s="44">
        <f>AP$5*IF(AND(AP$4&gt;=Teams!$E$80,Teams!$E$49=1),Teams!$E$44*Params!$E$10*Teams!$E$45*Teams!$E$75+Teams!$E$44*Params!$E$10*Teams!$E$47*Teams!$E$76/1000000+Teams!$E$77+Teams!$E$50*Teams!$E$78+AP66*Teams!$E$51*Teams!$E$79/1000000,0)</f>
        <v>0</v>
      </c>
      <c r="AQ72" s="44">
        <f>AQ$5*IF(AND(AQ$4&gt;=Teams!$E$80,Teams!$E$49=1),Teams!$E$44*Params!$E$10*Teams!$E$45*Teams!$E$75+Teams!$E$44*Params!$E$10*Teams!$E$47*Teams!$E$76/1000000+Teams!$E$77+Teams!$E$50*Teams!$E$78+AQ66*Teams!$E$51*Teams!$E$79/1000000,0)</f>
        <v>0</v>
      </c>
      <c r="AR72" s="44">
        <f>AR$5*IF(AND(AR$4&gt;=Teams!$E$80,Teams!$E$49=1),Teams!$E$44*Params!$E$10*Teams!$E$45*Teams!$E$75+Teams!$E$44*Params!$E$10*Teams!$E$47*Teams!$E$76/1000000+Teams!$E$77+Teams!$E$50*Teams!$E$78+AR66*Teams!$E$51*Teams!$E$79/1000000,0)</f>
        <v>0</v>
      </c>
      <c r="AS72" s="44">
        <f>AS$5*IF(AND(AS$4&gt;=Teams!$E$80,Teams!$E$49=1),Teams!$E$44*Params!$E$10*Teams!$E$45*Teams!$E$75+Teams!$E$44*Params!$E$10*Teams!$E$47*Teams!$E$76/1000000+Teams!$E$77+Teams!$E$50*Teams!$E$78+AS66*Teams!$E$51*Teams!$E$79/1000000,0)</f>
        <v>0</v>
      </c>
      <c r="AT72" s="44">
        <f>AT$5*IF(AND(AT$4&gt;=Teams!$E$80,Teams!$E$49=1),Teams!$E$44*Params!$E$10*Teams!$E$45*Teams!$E$75+Teams!$E$44*Params!$E$10*Teams!$E$47*Teams!$E$76/1000000+Teams!$E$77+Teams!$E$50*Teams!$E$78+AT66*Teams!$E$51*Teams!$E$79/1000000,0)</f>
        <v>0</v>
      </c>
      <c r="AU72" s="44">
        <f>AU$5*IF(AND(AU$4&gt;=Teams!$E$80,Teams!$E$49=1),Teams!$E$44*Params!$E$10*Teams!$E$45*Teams!$E$75+Teams!$E$44*Params!$E$10*Teams!$E$47*Teams!$E$76/1000000+Teams!$E$77+Teams!$E$50*Teams!$E$78+AU66*Teams!$E$51*Teams!$E$79/1000000,0)</f>
        <v>0</v>
      </c>
      <c r="AV72" s="44">
        <f>AV$5*IF(AND(AV$4&gt;=Teams!$E$80,Teams!$E$49=1),Teams!$E$44*Params!$E$10*Teams!$E$45*Teams!$E$75+Teams!$E$44*Params!$E$10*Teams!$E$47*Teams!$E$76/1000000+Teams!$E$77+Teams!$E$50*Teams!$E$78+AV66*Teams!$E$51*Teams!$E$79/1000000,0)</f>
        <v>0</v>
      </c>
      <c r="AW72" s="44">
        <f>AW$5*IF(AND(AW$4&gt;=Teams!$E$80,Teams!$E$49=1),Teams!$E$44*Params!$E$10*Teams!$E$45*Teams!$E$75+Teams!$E$44*Params!$E$10*Teams!$E$47*Teams!$E$76/1000000+Teams!$E$77+Teams!$E$50*Teams!$E$78+AW66*Teams!$E$51*Teams!$E$79/1000000,0)</f>
        <v>0</v>
      </c>
      <c r="AX72" s="44">
        <f>AX$5*IF(AND(AX$4&gt;=Teams!$E$80,Teams!$E$49=1),Teams!$E$44*Params!$E$10*Teams!$E$45*Teams!$E$75+Teams!$E$44*Params!$E$10*Teams!$E$47*Teams!$E$76/1000000+Teams!$E$77+Teams!$E$50*Teams!$E$78+AX66*Teams!$E$51*Teams!$E$79/1000000,0)</f>
        <v>0</v>
      </c>
      <c r="AY72" s="44">
        <f>AY$5*IF(AND(AY$4&gt;=Teams!$E$80,Teams!$E$49=1),Teams!$E$44*Params!$E$10*Teams!$E$45*Teams!$E$75+Teams!$E$44*Params!$E$10*Teams!$E$47*Teams!$E$76/1000000+Teams!$E$77+Teams!$E$50*Teams!$E$78+AY66*Teams!$E$51*Teams!$E$79/1000000,0)</f>
        <v>0</v>
      </c>
      <c r="AZ72" s="44">
        <f>AZ$5*IF(AND(AZ$4&gt;=Teams!$E$80,Teams!$E$49=1),Teams!$E$44*Params!$E$10*Teams!$E$45*Teams!$E$75+Teams!$E$44*Params!$E$10*Teams!$E$47*Teams!$E$76/1000000+Teams!$E$77+Teams!$E$50*Teams!$E$78+AZ66*Teams!$E$51*Teams!$E$79/1000000,0)</f>
        <v>0</v>
      </c>
      <c r="BA72" s="44">
        <f>BA$5*IF(AND(BA$4&gt;=Teams!$E$80,Teams!$E$49=1),Teams!$E$44*Params!$E$10*Teams!$E$45*Teams!$E$75+Teams!$E$44*Params!$E$10*Teams!$E$47*Teams!$E$76/1000000+Teams!$E$77+Teams!$E$50*Teams!$E$78+BA66*Teams!$E$51*Teams!$E$79/1000000,0)</f>
        <v>0</v>
      </c>
      <c r="BB72" s="44">
        <f>BB$5*IF(AND(BB$4&gt;=Teams!$E$80,Teams!$E$49=1),Teams!$E$44*Params!$E$10*Teams!$E$45*Teams!$E$75+Teams!$E$44*Params!$E$10*Teams!$E$47*Teams!$E$76/1000000+Teams!$E$77+Teams!$E$50*Teams!$E$78+BB66*Teams!$E$51*Teams!$E$79/1000000,0)</f>
        <v>0</v>
      </c>
      <c r="BC72" s="44">
        <f>BC$5*IF(AND(BC$4&gt;=Teams!$E$80,Teams!$E$49=1),Teams!$E$44*Params!$E$10*Teams!$E$45*Teams!$E$75+Teams!$E$44*Params!$E$10*Teams!$E$47*Teams!$E$76/1000000+Teams!$E$77+Teams!$E$50*Teams!$E$78+BC66*Teams!$E$51*Teams!$E$79/1000000,0)</f>
        <v>0</v>
      </c>
      <c r="BD72" s="44">
        <f>BD$5*IF(AND(BD$4&gt;=Teams!$E$80,Teams!$E$49=1),Teams!$E$44*Params!$E$10*Teams!$E$45*Teams!$E$75+Teams!$E$44*Params!$E$10*Teams!$E$47*Teams!$E$76/1000000+Teams!$E$77+Teams!$E$50*Teams!$E$78+BD66*Teams!$E$51*Teams!$E$79/1000000,0)</f>
        <v>0</v>
      </c>
      <c r="BE72" s="44">
        <f>BE$5*IF(AND(BE$4&gt;=Teams!$E$80,Teams!$E$49=1),Teams!$E$44*Params!$E$10*Teams!$E$45*Teams!$E$75+Teams!$E$44*Params!$E$10*Teams!$E$47*Teams!$E$76/1000000+Teams!$E$77+Teams!$E$50*Teams!$E$78+BE66*Teams!$E$51*Teams!$E$79/1000000,0)</f>
        <v>0</v>
      </c>
      <c r="BF72" s="44">
        <f>BF$5*IF(AND(BF$4&gt;=Teams!$E$80,Teams!$E$49=1),Teams!$E$44*Params!$E$10*Teams!$E$45*Teams!$E$75+Teams!$E$44*Params!$E$10*Teams!$E$47*Teams!$E$76/1000000+Teams!$E$77+Teams!$E$50*Teams!$E$78+BF66*Teams!$E$51*Teams!$E$79/1000000,0)</f>
        <v>0</v>
      </c>
      <c r="BG72" s="44">
        <f>BG$5*IF(AND(BG$4&gt;=Teams!$E$80,Teams!$E$49=1),Teams!$E$44*Params!$E$10*Teams!$E$45*Teams!$E$75+Teams!$E$44*Params!$E$10*Teams!$E$47*Teams!$E$76/1000000+Teams!$E$77+Teams!$E$50*Teams!$E$78+BG66*Teams!$E$51*Teams!$E$79/1000000,0)</f>
        <v>0</v>
      </c>
      <c r="BH72" s="44">
        <f>BH$5*IF(AND(BH$4&gt;=Teams!$E$80,Teams!$E$49=1),Teams!$E$44*Params!$E$10*Teams!$E$45*Teams!$E$75+Teams!$E$44*Params!$E$10*Teams!$E$47*Teams!$E$76/1000000+Teams!$E$77+Teams!$E$50*Teams!$E$78+BH66*Teams!$E$51*Teams!$E$79/1000000,0)</f>
        <v>0</v>
      </c>
      <c r="BI72" s="44">
        <f>BI$5*IF(AND(BI$4&gt;=Teams!$E$80,Teams!$E$49=1),Teams!$E$44*Params!$E$10*Teams!$E$45*Teams!$E$75+Teams!$E$44*Params!$E$10*Teams!$E$47*Teams!$E$76/1000000+Teams!$E$77+Teams!$E$50*Teams!$E$78+BI66*Teams!$E$51*Teams!$E$79/1000000,0)</f>
        <v>0</v>
      </c>
      <c r="BJ72" s="44">
        <f>BJ$5*IF(AND(BJ$4&gt;=Teams!$E$80,Teams!$E$49=1),Teams!$E$44*Params!$E$10*Teams!$E$45*Teams!$E$75+Teams!$E$44*Params!$E$10*Teams!$E$47*Teams!$E$76/1000000+Teams!$E$77+Teams!$E$50*Teams!$E$78+BJ66*Teams!$E$51*Teams!$E$79/1000000,0)</f>
        <v>0</v>
      </c>
      <c r="BK72" s="44">
        <f>BK$5*IF(AND(BK$4&gt;=Teams!$E$80,Teams!$E$49=1),Teams!$E$44*Params!$E$10*Teams!$E$45*Teams!$E$75+Teams!$E$44*Params!$E$10*Teams!$E$47*Teams!$E$76/1000000+Teams!$E$77+Teams!$E$50*Teams!$E$78+BK66*Teams!$E$51*Teams!$E$79/1000000,0)</f>
        <v>0</v>
      </c>
      <c r="BL72" s="44">
        <f>BL$5*IF(AND(BL$4&gt;=Teams!$E$80,Teams!$E$49=1),Teams!$E$44*Params!$E$10*Teams!$E$45*Teams!$E$75+Teams!$E$44*Params!$E$10*Teams!$E$47*Teams!$E$76/1000000+Teams!$E$77+Teams!$E$50*Teams!$E$78+BL66*Teams!$E$51*Teams!$E$79/1000000,0)</f>
        <v>0</v>
      </c>
    </row>
    <row r="73" spans="1:64" x14ac:dyDescent="0.3">
      <c r="A73" s="8" t="s">
        <v>671</v>
      </c>
      <c r="B73" s="18" t="s">
        <v>169</v>
      </c>
      <c r="C73" s="44">
        <f t="shared" si="20"/>
        <v>10500</v>
      </c>
      <c r="E73" s="44">
        <f>E$5*IF(E$4&gt;=Teams!$E$80,Teams!$E$43*Params!$E$6*Org!$B$10*Params!$E$7/12,0)</f>
        <v>0</v>
      </c>
      <c r="F73" s="44">
        <f>F$5*IF(F$4&gt;=Teams!$E$80,Teams!$E$43*Params!$E$6*Org!$B$10*Params!$E$7/12,0)</f>
        <v>300</v>
      </c>
      <c r="G73" s="44">
        <f>G$5*IF(G$4&gt;=Teams!$E$80,Teams!$E$43*Params!$E$6*Org!$B$10*Params!$E$7/12,0)</f>
        <v>300</v>
      </c>
      <c r="H73" s="44">
        <f>H$5*IF(H$4&gt;=Teams!$E$80,Teams!$E$43*Params!$E$6*Org!$B$10*Params!$E$7/12,0)</f>
        <v>300</v>
      </c>
      <c r="I73" s="44">
        <f>I$5*IF(I$4&gt;=Teams!$E$80,Teams!$E$43*Params!$E$6*Org!$B$10*Params!$E$7/12,0)</f>
        <v>300</v>
      </c>
      <c r="J73" s="44">
        <f>J$5*IF(J$4&gt;=Teams!$E$80,Teams!$E$43*Params!$E$6*Org!$B$10*Params!$E$7/12,0)</f>
        <v>300</v>
      </c>
      <c r="K73" s="44">
        <f>K$5*IF(K$4&gt;=Teams!$E$80,Teams!$E$43*Params!$E$6*Org!$B$10*Params!$E$7/12,0)</f>
        <v>300</v>
      </c>
      <c r="L73" s="44">
        <f>L$5*IF(L$4&gt;=Teams!$E$80,Teams!$E$43*Params!$E$6*Org!$B$10*Params!$E$7/12,0)</f>
        <v>300</v>
      </c>
      <c r="M73" s="44">
        <f>M$5*IF(M$4&gt;=Teams!$E$80,Teams!$E$43*Params!$E$6*Org!$B$10*Params!$E$7/12,0)</f>
        <v>300</v>
      </c>
      <c r="N73" s="44">
        <f>N$5*IF(N$4&gt;=Teams!$E$80,Teams!$E$43*Params!$E$6*Org!$B$10*Params!$E$7/12,0)</f>
        <v>300</v>
      </c>
      <c r="O73" s="44">
        <f>O$5*IF(O$4&gt;=Teams!$E$80,Teams!$E$43*Params!$E$6*Org!$B$10*Params!$E$7/12,0)</f>
        <v>300</v>
      </c>
      <c r="P73" s="44">
        <f>P$5*IF(P$4&gt;=Teams!$E$80,Teams!$E$43*Params!$E$6*Org!$B$10*Params!$E$7/12,0)</f>
        <v>300</v>
      </c>
      <c r="Q73" s="44">
        <f>Q$5*IF(Q$4&gt;=Teams!$E$80,Teams!$E$43*Params!$E$6*Org!$B$10*Params!$E$7/12,0)</f>
        <v>300</v>
      </c>
      <c r="R73" s="44">
        <f>R$5*IF(R$4&gt;=Teams!$E$80,Teams!$E$43*Params!$E$6*Org!$B$10*Params!$E$7/12,0)</f>
        <v>300</v>
      </c>
      <c r="S73" s="44">
        <f>S$5*IF(S$4&gt;=Teams!$E$80,Teams!$E$43*Params!$E$6*Org!$B$10*Params!$E$7/12,0)</f>
        <v>300</v>
      </c>
      <c r="T73" s="44">
        <f>T$5*IF(T$4&gt;=Teams!$E$80,Teams!$E$43*Params!$E$6*Org!$B$10*Params!$E$7/12,0)</f>
        <v>300</v>
      </c>
      <c r="U73" s="44">
        <f>U$5*IF(U$4&gt;=Teams!$E$80,Teams!$E$43*Params!$E$6*Org!$B$10*Params!$E$7/12,0)</f>
        <v>300</v>
      </c>
      <c r="V73" s="44">
        <f>V$5*IF(V$4&gt;=Teams!$E$80,Teams!$E$43*Params!$E$6*Org!$B$10*Params!$E$7/12,0)</f>
        <v>300</v>
      </c>
      <c r="W73" s="44">
        <f>W$5*IF(W$4&gt;=Teams!$E$80,Teams!$E$43*Params!$E$6*Org!$B$10*Params!$E$7/12,0)</f>
        <v>300</v>
      </c>
      <c r="X73" s="44">
        <f>X$5*IF(X$4&gt;=Teams!$E$80,Teams!$E$43*Params!$E$6*Org!$B$10*Params!$E$7/12,0)</f>
        <v>300</v>
      </c>
      <c r="Y73" s="44">
        <f>Y$5*IF(Y$4&gt;=Teams!$E$80,Teams!$E$43*Params!$E$6*Org!$B$10*Params!$E$7/12,0)</f>
        <v>300</v>
      </c>
      <c r="Z73" s="44">
        <f>Z$5*IF(Z$4&gt;=Teams!$E$80,Teams!$E$43*Params!$E$6*Org!$B$10*Params!$E$7/12,0)</f>
        <v>300</v>
      </c>
      <c r="AA73" s="44">
        <f>AA$5*IF(AA$4&gt;=Teams!$E$80,Teams!$E$43*Params!$E$6*Org!$B$10*Params!$E$7/12,0)</f>
        <v>300</v>
      </c>
      <c r="AB73" s="44">
        <f>AB$5*IF(AB$4&gt;=Teams!$E$80,Teams!$E$43*Params!$E$6*Org!$B$10*Params!$E$7/12,0)</f>
        <v>300</v>
      </c>
      <c r="AC73" s="44">
        <f>AC$5*IF(AC$4&gt;=Teams!$E$80,Teams!$E$43*Params!$E$6*Org!$B$10*Params!$E$7/12,0)</f>
        <v>300</v>
      </c>
      <c r="AD73" s="44">
        <f>AD$5*IF(AD$4&gt;=Teams!$E$80,Teams!$E$43*Params!$E$6*Org!$B$10*Params!$E$7/12,0)</f>
        <v>300</v>
      </c>
      <c r="AE73" s="44">
        <f>AE$5*IF(AE$4&gt;=Teams!$E$80,Teams!$E$43*Params!$E$6*Org!$B$10*Params!$E$7/12,0)</f>
        <v>300</v>
      </c>
      <c r="AF73" s="44">
        <f>AF$5*IF(AF$4&gt;=Teams!$E$80,Teams!$E$43*Params!$E$6*Org!$B$10*Params!$E$7/12,0)</f>
        <v>300</v>
      </c>
      <c r="AG73" s="44">
        <f>AG$5*IF(AG$4&gt;=Teams!$E$80,Teams!$E$43*Params!$E$6*Org!$B$10*Params!$E$7/12,0)</f>
        <v>300</v>
      </c>
      <c r="AH73" s="44">
        <f>AH$5*IF(AH$4&gt;=Teams!$E$80,Teams!$E$43*Params!$E$6*Org!$B$10*Params!$E$7/12,0)</f>
        <v>300</v>
      </c>
      <c r="AI73" s="44">
        <f>AI$5*IF(AI$4&gt;=Teams!$E$80,Teams!$E$43*Params!$E$6*Org!$B$10*Params!$E$7/12,0)</f>
        <v>300</v>
      </c>
      <c r="AJ73" s="44">
        <f>AJ$5*IF(AJ$4&gt;=Teams!$E$80,Teams!$E$43*Params!$E$6*Org!$B$10*Params!$E$7/12,0)</f>
        <v>300</v>
      </c>
      <c r="AK73" s="44">
        <f>AK$5*IF(AK$4&gt;=Teams!$E$80,Teams!$E$43*Params!$E$6*Org!$B$10*Params!$E$7/12,0)</f>
        <v>300</v>
      </c>
      <c r="AL73" s="44">
        <f>AL$5*IF(AL$4&gt;=Teams!$E$80,Teams!$E$43*Params!$E$6*Org!$B$10*Params!$E$7/12,0)</f>
        <v>300</v>
      </c>
      <c r="AM73" s="44">
        <f>AM$5*IF(AM$4&gt;=Teams!$E$80,Teams!$E$43*Params!$E$6*Org!$B$10*Params!$E$7/12,0)</f>
        <v>300</v>
      </c>
      <c r="AN73" s="44">
        <f>AN$5*IF(AN$4&gt;=Teams!$E$80,Teams!$E$43*Params!$E$6*Org!$B$10*Params!$E$7/12,0)</f>
        <v>300</v>
      </c>
      <c r="AO73" s="44">
        <f>AO$5*IF(AO$4&gt;=Teams!$E$80,Teams!$E$43*Params!$E$6*Org!$B$10*Params!$E$7/12,0)</f>
        <v>0</v>
      </c>
      <c r="AP73" s="44">
        <f>AP$5*IF(AP$4&gt;=Teams!$E$80,Teams!$E$43*Params!$E$6*Org!$B$10*Params!$E$7/12,0)</f>
        <v>0</v>
      </c>
      <c r="AQ73" s="44">
        <f>AQ$5*IF(AQ$4&gt;=Teams!$E$80,Teams!$E$43*Params!$E$6*Org!$B$10*Params!$E$7/12,0)</f>
        <v>0</v>
      </c>
      <c r="AR73" s="44">
        <f>AR$5*IF(AR$4&gt;=Teams!$E$80,Teams!$E$43*Params!$E$6*Org!$B$10*Params!$E$7/12,0)</f>
        <v>0</v>
      </c>
      <c r="AS73" s="44">
        <f>AS$5*IF(AS$4&gt;=Teams!$E$80,Teams!$E$43*Params!$E$6*Org!$B$10*Params!$E$7/12,0)</f>
        <v>0</v>
      </c>
      <c r="AT73" s="44">
        <f>AT$5*IF(AT$4&gt;=Teams!$E$80,Teams!$E$43*Params!$E$6*Org!$B$10*Params!$E$7/12,0)</f>
        <v>0</v>
      </c>
      <c r="AU73" s="44">
        <f>AU$5*IF(AU$4&gt;=Teams!$E$80,Teams!$E$43*Params!$E$6*Org!$B$10*Params!$E$7/12,0)</f>
        <v>0</v>
      </c>
      <c r="AV73" s="44">
        <f>AV$5*IF(AV$4&gt;=Teams!$E$80,Teams!$E$43*Params!$E$6*Org!$B$10*Params!$E$7/12,0)</f>
        <v>0</v>
      </c>
      <c r="AW73" s="44">
        <f>AW$5*IF(AW$4&gt;=Teams!$E$80,Teams!$E$43*Params!$E$6*Org!$B$10*Params!$E$7/12,0)</f>
        <v>0</v>
      </c>
      <c r="AX73" s="44">
        <f>AX$5*IF(AX$4&gt;=Teams!$E$80,Teams!$E$43*Params!$E$6*Org!$B$10*Params!$E$7/12,0)</f>
        <v>0</v>
      </c>
      <c r="AY73" s="44">
        <f>AY$5*IF(AY$4&gt;=Teams!$E$80,Teams!$E$43*Params!$E$6*Org!$B$10*Params!$E$7/12,0)</f>
        <v>0</v>
      </c>
      <c r="AZ73" s="44">
        <f>AZ$5*IF(AZ$4&gt;=Teams!$E$80,Teams!$E$43*Params!$E$6*Org!$B$10*Params!$E$7/12,0)</f>
        <v>0</v>
      </c>
      <c r="BA73" s="44">
        <f>BA$5*IF(BA$4&gt;=Teams!$E$80,Teams!$E$43*Params!$E$6*Org!$B$10*Params!$E$7/12,0)</f>
        <v>0</v>
      </c>
      <c r="BB73" s="44">
        <f>BB$5*IF(BB$4&gt;=Teams!$E$80,Teams!$E$43*Params!$E$6*Org!$B$10*Params!$E$7/12,0)</f>
        <v>0</v>
      </c>
      <c r="BC73" s="44">
        <f>BC$5*IF(BC$4&gt;=Teams!$E$80,Teams!$E$43*Params!$E$6*Org!$B$10*Params!$E$7/12,0)</f>
        <v>0</v>
      </c>
      <c r="BD73" s="44">
        <f>BD$5*IF(BD$4&gt;=Teams!$E$80,Teams!$E$43*Params!$E$6*Org!$B$10*Params!$E$7/12,0)</f>
        <v>0</v>
      </c>
      <c r="BE73" s="44">
        <f>BE$5*IF(BE$4&gt;=Teams!$E$80,Teams!$E$43*Params!$E$6*Org!$B$10*Params!$E$7/12,0)</f>
        <v>0</v>
      </c>
      <c r="BF73" s="44">
        <f>BF$5*IF(BF$4&gt;=Teams!$E$80,Teams!$E$43*Params!$E$6*Org!$B$10*Params!$E$7/12,0)</f>
        <v>0</v>
      </c>
      <c r="BG73" s="44">
        <f>BG$5*IF(BG$4&gt;=Teams!$E$80,Teams!$E$43*Params!$E$6*Org!$B$10*Params!$E$7/12,0)</f>
        <v>0</v>
      </c>
      <c r="BH73" s="44">
        <f>BH$5*IF(BH$4&gt;=Teams!$E$80,Teams!$E$43*Params!$E$6*Org!$B$10*Params!$E$7/12,0)</f>
        <v>0</v>
      </c>
      <c r="BI73" s="44">
        <f>BI$5*IF(BI$4&gt;=Teams!$E$80,Teams!$E$43*Params!$E$6*Org!$B$10*Params!$E$7/12,0)</f>
        <v>0</v>
      </c>
      <c r="BJ73" s="44">
        <f>BJ$5*IF(BJ$4&gt;=Teams!$E$80,Teams!$E$43*Params!$E$6*Org!$B$10*Params!$E$7/12,0)</f>
        <v>0</v>
      </c>
      <c r="BK73" s="44">
        <f>BK$5*IF(BK$4&gt;=Teams!$E$80,Teams!$E$43*Params!$E$6*Org!$B$10*Params!$E$7/12,0)</f>
        <v>0</v>
      </c>
      <c r="BL73" s="44">
        <f>BL$5*IF(BL$4&gt;=Teams!$E$80,Teams!$E$43*Params!$E$6*Org!$B$10*Params!$E$7/12,0)</f>
        <v>0</v>
      </c>
    </row>
    <row r="74" spans="1:64" x14ac:dyDescent="0.3">
      <c r="A74" s="8" t="s">
        <v>672</v>
      </c>
      <c r="B74" s="18" t="s">
        <v>169</v>
      </c>
      <c r="C74" s="44">
        <f t="shared" si="20"/>
        <v>129315</v>
      </c>
      <c r="E74" s="44">
        <f>E$5*IF(E$4&gt;=Teams!$E$80,Params!$E$23*Params!$E$24/60*(Org!$B$10/Org!$B$11)+Params!$E$27/12*Params!$E$13*Org!$B$10+E65/1000*Params!$E$28*Params!$E$29*(Org!$B$10/Org!$B$11),0)</f>
        <v>0</v>
      </c>
      <c r="F74" s="44">
        <f>F$5*IF(F$4&gt;=Teams!$E$80,Params!$E$23*Params!$E$24/60*(Org!$B$10/Org!$B$11)+Params!$E$27/12*Params!$E$13*Org!$B$10+F65/1000*Params!$E$28*Params!$E$29*(Org!$B$10/Org!$B$11),0)</f>
        <v>3607.5555555555557</v>
      </c>
      <c r="G74" s="44">
        <f>G$5*IF(G$4&gt;=Teams!$E$80,Params!$E$23*Params!$E$24/60*(Org!$B$10/Org!$B$11)+Params!$E$27/12*Params!$E$13*Org!$B$10+G65/1000*Params!$E$28*Params!$E$29*(Org!$B$10/Org!$B$11),0)</f>
        <v>3626.4444444444443</v>
      </c>
      <c r="H74" s="44">
        <f>H$5*IF(H$4&gt;=Teams!$E$80,Params!$E$23*Params!$E$24/60*(Org!$B$10/Org!$B$11)+Params!$E$27/12*Params!$E$13*Org!$B$10+H65/1000*Params!$E$28*Params!$E$29*(Org!$B$10/Org!$B$11),0)</f>
        <v>3651</v>
      </c>
      <c r="I74" s="44">
        <f>I$5*IF(I$4&gt;=Teams!$E$80,Params!$E$23*Params!$E$24/60*(Org!$B$10/Org!$B$11)+Params!$E$27/12*Params!$E$13*Org!$B$10+I65/1000*Params!$E$28*Params!$E$29*(Org!$B$10/Org!$B$11),0)</f>
        <v>3675.5555555555557</v>
      </c>
      <c r="J74" s="44">
        <f>J$5*IF(J$4&gt;=Teams!$E$80,Params!$E$23*Params!$E$24/60*(Org!$B$10/Org!$B$11)+Params!$E$27/12*Params!$E$13*Org!$B$10+J65/1000*Params!$E$28*Params!$E$29*(Org!$B$10/Org!$B$11),0)</f>
        <v>3694.4444444444443</v>
      </c>
      <c r="K74" s="44">
        <f>K$5*IF(K$4&gt;=Teams!$E$80,Params!$E$23*Params!$E$24/60*(Org!$B$10/Org!$B$11)+Params!$E$27/12*Params!$E$13*Org!$B$10+K65/1000*Params!$E$28*Params!$E$29*(Org!$B$10/Org!$B$11),0)</f>
        <v>3702</v>
      </c>
      <c r="L74" s="44">
        <f>L$5*IF(L$4&gt;=Teams!$E$80,Params!$E$23*Params!$E$24/60*(Org!$B$10/Org!$B$11)+Params!$E$27/12*Params!$E$13*Org!$B$10+L65/1000*Params!$E$28*Params!$E$29*(Org!$B$10/Org!$B$11),0)</f>
        <v>3702</v>
      </c>
      <c r="M74" s="44">
        <f>M$5*IF(M$4&gt;=Teams!$E$80,Params!$E$23*Params!$E$24/60*(Org!$B$10/Org!$B$11)+Params!$E$27/12*Params!$E$13*Org!$B$10+M65/1000*Params!$E$28*Params!$E$29*(Org!$B$10/Org!$B$11),0)</f>
        <v>3702</v>
      </c>
      <c r="N74" s="44">
        <f>N$5*IF(N$4&gt;=Teams!$E$80,Params!$E$23*Params!$E$24/60*(Org!$B$10/Org!$B$11)+Params!$E$27/12*Params!$E$13*Org!$B$10+N65/1000*Params!$E$28*Params!$E$29*(Org!$B$10/Org!$B$11),0)</f>
        <v>3702</v>
      </c>
      <c r="O74" s="44">
        <f>O$5*IF(O$4&gt;=Teams!$E$80,Params!$E$23*Params!$E$24/60*(Org!$B$10/Org!$B$11)+Params!$E$27/12*Params!$E$13*Org!$B$10+O65/1000*Params!$E$28*Params!$E$29*(Org!$B$10/Org!$B$11),0)</f>
        <v>3702</v>
      </c>
      <c r="P74" s="44">
        <f>P$5*IF(P$4&gt;=Teams!$E$80,Params!$E$23*Params!$E$24/60*(Org!$B$10/Org!$B$11)+Params!$E$27/12*Params!$E$13*Org!$B$10+P65/1000*Params!$E$28*Params!$E$29*(Org!$B$10/Org!$B$11),0)</f>
        <v>3702</v>
      </c>
      <c r="Q74" s="44">
        <f>Q$5*IF(Q$4&gt;=Teams!$E$80,Params!$E$23*Params!$E$24/60*(Org!$B$10/Org!$B$11)+Params!$E$27/12*Params!$E$13*Org!$B$10+Q65/1000*Params!$E$28*Params!$E$29*(Org!$B$10/Org!$B$11),0)</f>
        <v>3702</v>
      </c>
      <c r="R74" s="44">
        <f>R$5*IF(R$4&gt;=Teams!$E$80,Params!$E$23*Params!$E$24/60*(Org!$B$10/Org!$B$11)+Params!$E$27/12*Params!$E$13*Org!$B$10+R65/1000*Params!$E$28*Params!$E$29*(Org!$B$10/Org!$B$11),0)</f>
        <v>3702</v>
      </c>
      <c r="S74" s="44">
        <f>S$5*IF(S$4&gt;=Teams!$E$80,Params!$E$23*Params!$E$24/60*(Org!$B$10/Org!$B$11)+Params!$E$27/12*Params!$E$13*Org!$B$10+S65/1000*Params!$E$28*Params!$E$29*(Org!$B$10/Org!$B$11),0)</f>
        <v>3702</v>
      </c>
      <c r="T74" s="44">
        <f>T$5*IF(T$4&gt;=Teams!$E$80,Params!$E$23*Params!$E$24/60*(Org!$B$10/Org!$B$11)+Params!$E$27/12*Params!$E$13*Org!$B$10+T65/1000*Params!$E$28*Params!$E$29*(Org!$B$10/Org!$B$11),0)</f>
        <v>3702</v>
      </c>
      <c r="U74" s="44">
        <f>U$5*IF(U$4&gt;=Teams!$E$80,Params!$E$23*Params!$E$24/60*(Org!$B$10/Org!$B$11)+Params!$E$27/12*Params!$E$13*Org!$B$10+U65/1000*Params!$E$28*Params!$E$29*(Org!$B$10/Org!$B$11),0)</f>
        <v>3702</v>
      </c>
      <c r="V74" s="44">
        <f>V$5*IF(V$4&gt;=Teams!$E$80,Params!$E$23*Params!$E$24/60*(Org!$B$10/Org!$B$11)+Params!$E$27/12*Params!$E$13*Org!$B$10+V65/1000*Params!$E$28*Params!$E$29*(Org!$B$10/Org!$B$11),0)</f>
        <v>3702</v>
      </c>
      <c r="W74" s="44">
        <f>W$5*IF(W$4&gt;=Teams!$E$80,Params!$E$23*Params!$E$24/60*(Org!$B$10/Org!$B$11)+Params!$E$27/12*Params!$E$13*Org!$B$10+W65/1000*Params!$E$28*Params!$E$29*(Org!$B$10/Org!$B$11),0)</f>
        <v>3702</v>
      </c>
      <c r="X74" s="44">
        <f>X$5*IF(X$4&gt;=Teams!$E$80,Params!$E$23*Params!$E$24/60*(Org!$B$10/Org!$B$11)+Params!$E$27/12*Params!$E$13*Org!$B$10+X65/1000*Params!$E$28*Params!$E$29*(Org!$B$10/Org!$B$11),0)</f>
        <v>3702</v>
      </c>
      <c r="Y74" s="44">
        <f>Y$5*IF(Y$4&gt;=Teams!$E$80,Params!$E$23*Params!$E$24/60*(Org!$B$10/Org!$B$11)+Params!$E$27/12*Params!$E$13*Org!$B$10+Y65/1000*Params!$E$28*Params!$E$29*(Org!$B$10/Org!$B$11),0)</f>
        <v>3702</v>
      </c>
      <c r="Z74" s="44">
        <f>Z$5*IF(Z$4&gt;=Teams!$E$80,Params!$E$23*Params!$E$24/60*(Org!$B$10/Org!$B$11)+Params!$E$27/12*Params!$E$13*Org!$B$10+Z65/1000*Params!$E$28*Params!$E$29*(Org!$B$10/Org!$B$11),0)</f>
        <v>3702</v>
      </c>
      <c r="AA74" s="44">
        <f>AA$5*IF(AA$4&gt;=Teams!$E$80,Params!$E$23*Params!$E$24/60*(Org!$B$10/Org!$B$11)+Params!$E$27/12*Params!$E$13*Org!$B$10+AA65/1000*Params!$E$28*Params!$E$29*(Org!$B$10/Org!$B$11),0)</f>
        <v>3702</v>
      </c>
      <c r="AB74" s="44">
        <f>AB$5*IF(AB$4&gt;=Teams!$E$80,Params!$E$23*Params!$E$24/60*(Org!$B$10/Org!$B$11)+Params!$E$27/12*Params!$E$13*Org!$B$10+AB65/1000*Params!$E$28*Params!$E$29*(Org!$B$10/Org!$B$11),0)</f>
        <v>3702</v>
      </c>
      <c r="AC74" s="44">
        <f>AC$5*IF(AC$4&gt;=Teams!$E$80,Params!$E$23*Params!$E$24/60*(Org!$B$10/Org!$B$11)+Params!$E$27/12*Params!$E$13*Org!$B$10+AC65/1000*Params!$E$28*Params!$E$29*(Org!$B$10/Org!$B$11),0)</f>
        <v>3702</v>
      </c>
      <c r="AD74" s="44">
        <f>AD$5*IF(AD$4&gt;=Teams!$E$80,Params!$E$23*Params!$E$24/60*(Org!$B$10/Org!$B$11)+Params!$E$27/12*Params!$E$13*Org!$B$10+AD65/1000*Params!$E$28*Params!$E$29*(Org!$B$10/Org!$B$11),0)</f>
        <v>3702</v>
      </c>
      <c r="AE74" s="44">
        <f>AE$5*IF(AE$4&gt;=Teams!$E$80,Params!$E$23*Params!$E$24/60*(Org!$B$10/Org!$B$11)+Params!$E$27/12*Params!$E$13*Org!$B$10+AE65/1000*Params!$E$28*Params!$E$29*(Org!$B$10/Org!$B$11),0)</f>
        <v>3702</v>
      </c>
      <c r="AF74" s="44">
        <f>AF$5*IF(AF$4&gt;=Teams!$E$80,Params!$E$23*Params!$E$24/60*(Org!$B$10/Org!$B$11)+Params!$E$27/12*Params!$E$13*Org!$B$10+AF65/1000*Params!$E$28*Params!$E$29*(Org!$B$10/Org!$B$11),0)</f>
        <v>3702</v>
      </c>
      <c r="AG74" s="44">
        <f>AG$5*IF(AG$4&gt;=Teams!$E$80,Params!$E$23*Params!$E$24/60*(Org!$B$10/Org!$B$11)+Params!$E$27/12*Params!$E$13*Org!$B$10+AG65/1000*Params!$E$28*Params!$E$29*(Org!$B$10/Org!$B$11),0)</f>
        <v>3702</v>
      </c>
      <c r="AH74" s="44">
        <f>AH$5*IF(AH$4&gt;=Teams!$E$80,Params!$E$23*Params!$E$24/60*(Org!$B$10/Org!$B$11)+Params!$E$27/12*Params!$E$13*Org!$B$10+AH65/1000*Params!$E$28*Params!$E$29*(Org!$B$10/Org!$B$11),0)</f>
        <v>3702</v>
      </c>
      <c r="AI74" s="44">
        <f>AI$5*IF(AI$4&gt;=Teams!$E$80,Params!$E$23*Params!$E$24/60*(Org!$B$10/Org!$B$11)+Params!$E$27/12*Params!$E$13*Org!$B$10+AI65/1000*Params!$E$28*Params!$E$29*(Org!$B$10/Org!$B$11),0)</f>
        <v>3702</v>
      </c>
      <c r="AJ74" s="44">
        <f>AJ$5*IF(AJ$4&gt;=Teams!$E$80,Params!$E$23*Params!$E$24/60*(Org!$B$10/Org!$B$11)+Params!$E$27/12*Params!$E$13*Org!$B$10+AJ65/1000*Params!$E$28*Params!$E$29*(Org!$B$10/Org!$B$11),0)</f>
        <v>3702</v>
      </c>
      <c r="AK74" s="44">
        <f>AK$5*IF(AK$4&gt;=Teams!$E$80,Params!$E$23*Params!$E$24/60*(Org!$B$10/Org!$B$11)+Params!$E$27/12*Params!$E$13*Org!$B$10+AK65/1000*Params!$E$28*Params!$E$29*(Org!$B$10/Org!$B$11),0)</f>
        <v>3702</v>
      </c>
      <c r="AL74" s="44">
        <f>AL$5*IF(AL$4&gt;=Teams!$E$80,Params!$E$23*Params!$E$24/60*(Org!$B$10/Org!$B$11)+Params!$E$27/12*Params!$E$13*Org!$B$10+AL65/1000*Params!$E$28*Params!$E$29*(Org!$B$10/Org!$B$11),0)</f>
        <v>3702</v>
      </c>
      <c r="AM74" s="44">
        <f>AM$5*IF(AM$4&gt;=Teams!$E$80,Params!$E$23*Params!$E$24/60*(Org!$B$10/Org!$B$11)+Params!$E$27/12*Params!$E$13*Org!$B$10+AM65/1000*Params!$E$28*Params!$E$29*(Org!$B$10/Org!$B$11),0)</f>
        <v>3702</v>
      </c>
      <c r="AN74" s="44">
        <f>AN$5*IF(AN$4&gt;=Teams!$E$80,Params!$E$23*Params!$E$24/60*(Org!$B$10/Org!$B$11)+Params!$E$27/12*Params!$E$13*Org!$B$10+AN65/1000*Params!$E$28*Params!$E$29*(Org!$B$10/Org!$B$11),0)</f>
        <v>3702</v>
      </c>
      <c r="AO74" s="44">
        <f>AO$5*IF(AO$4&gt;=Teams!$E$80,Params!$E$23*Params!$E$24/60*(Org!$B$10/Org!$B$11)+Params!$E$27/12*Params!$E$13*Org!$B$10+AO65/1000*Params!$E$28*Params!$E$29*(Org!$B$10/Org!$B$11),0)</f>
        <v>0</v>
      </c>
      <c r="AP74" s="44">
        <f>AP$5*IF(AP$4&gt;=Teams!$E$80,Params!$E$23*Params!$E$24/60*(Org!$B$10/Org!$B$11)+Params!$E$27/12*Params!$E$13*Org!$B$10+AP65/1000*Params!$E$28*Params!$E$29*(Org!$B$10/Org!$B$11),0)</f>
        <v>0</v>
      </c>
      <c r="AQ74" s="44">
        <f>AQ$5*IF(AQ$4&gt;=Teams!$E$80,Params!$E$23*Params!$E$24/60*(Org!$B$10/Org!$B$11)+Params!$E$27/12*Params!$E$13*Org!$B$10+AQ65/1000*Params!$E$28*Params!$E$29*(Org!$B$10/Org!$B$11),0)</f>
        <v>0</v>
      </c>
      <c r="AR74" s="44">
        <f>AR$5*IF(AR$4&gt;=Teams!$E$80,Params!$E$23*Params!$E$24/60*(Org!$B$10/Org!$B$11)+Params!$E$27/12*Params!$E$13*Org!$B$10+AR65/1000*Params!$E$28*Params!$E$29*(Org!$B$10/Org!$B$11),0)</f>
        <v>0</v>
      </c>
      <c r="AS74" s="44">
        <f>AS$5*IF(AS$4&gt;=Teams!$E$80,Params!$E$23*Params!$E$24/60*(Org!$B$10/Org!$B$11)+Params!$E$27/12*Params!$E$13*Org!$B$10+AS65/1000*Params!$E$28*Params!$E$29*(Org!$B$10/Org!$B$11),0)</f>
        <v>0</v>
      </c>
      <c r="AT74" s="44">
        <f>AT$5*IF(AT$4&gt;=Teams!$E$80,Params!$E$23*Params!$E$24/60*(Org!$B$10/Org!$B$11)+Params!$E$27/12*Params!$E$13*Org!$B$10+AT65/1000*Params!$E$28*Params!$E$29*(Org!$B$10/Org!$B$11),0)</f>
        <v>0</v>
      </c>
      <c r="AU74" s="44">
        <f>AU$5*IF(AU$4&gt;=Teams!$E$80,Params!$E$23*Params!$E$24/60*(Org!$B$10/Org!$B$11)+Params!$E$27/12*Params!$E$13*Org!$B$10+AU65/1000*Params!$E$28*Params!$E$29*(Org!$B$10/Org!$B$11),0)</f>
        <v>0</v>
      </c>
      <c r="AV74" s="44">
        <f>AV$5*IF(AV$4&gt;=Teams!$E$80,Params!$E$23*Params!$E$24/60*(Org!$B$10/Org!$B$11)+Params!$E$27/12*Params!$E$13*Org!$B$10+AV65/1000*Params!$E$28*Params!$E$29*(Org!$B$10/Org!$B$11),0)</f>
        <v>0</v>
      </c>
      <c r="AW74" s="44">
        <f>AW$5*IF(AW$4&gt;=Teams!$E$80,Params!$E$23*Params!$E$24/60*(Org!$B$10/Org!$B$11)+Params!$E$27/12*Params!$E$13*Org!$B$10+AW65/1000*Params!$E$28*Params!$E$29*(Org!$B$10/Org!$B$11),0)</f>
        <v>0</v>
      </c>
      <c r="AX74" s="44">
        <f>AX$5*IF(AX$4&gt;=Teams!$E$80,Params!$E$23*Params!$E$24/60*(Org!$B$10/Org!$B$11)+Params!$E$27/12*Params!$E$13*Org!$B$10+AX65/1000*Params!$E$28*Params!$E$29*(Org!$B$10/Org!$B$11),0)</f>
        <v>0</v>
      </c>
      <c r="AY74" s="44">
        <f>AY$5*IF(AY$4&gt;=Teams!$E$80,Params!$E$23*Params!$E$24/60*(Org!$B$10/Org!$B$11)+Params!$E$27/12*Params!$E$13*Org!$B$10+AY65/1000*Params!$E$28*Params!$E$29*(Org!$B$10/Org!$B$11),0)</f>
        <v>0</v>
      </c>
      <c r="AZ74" s="44">
        <f>AZ$5*IF(AZ$4&gt;=Teams!$E$80,Params!$E$23*Params!$E$24/60*(Org!$B$10/Org!$B$11)+Params!$E$27/12*Params!$E$13*Org!$B$10+AZ65/1000*Params!$E$28*Params!$E$29*(Org!$B$10/Org!$B$11),0)</f>
        <v>0</v>
      </c>
      <c r="BA74" s="44">
        <f>BA$5*IF(BA$4&gt;=Teams!$E$80,Params!$E$23*Params!$E$24/60*(Org!$B$10/Org!$B$11)+Params!$E$27/12*Params!$E$13*Org!$B$10+BA65/1000*Params!$E$28*Params!$E$29*(Org!$B$10/Org!$B$11),0)</f>
        <v>0</v>
      </c>
      <c r="BB74" s="44">
        <f>BB$5*IF(BB$4&gt;=Teams!$E$80,Params!$E$23*Params!$E$24/60*(Org!$B$10/Org!$B$11)+Params!$E$27/12*Params!$E$13*Org!$B$10+BB65/1000*Params!$E$28*Params!$E$29*(Org!$B$10/Org!$B$11),0)</f>
        <v>0</v>
      </c>
      <c r="BC74" s="44">
        <f>BC$5*IF(BC$4&gt;=Teams!$E$80,Params!$E$23*Params!$E$24/60*(Org!$B$10/Org!$B$11)+Params!$E$27/12*Params!$E$13*Org!$B$10+BC65/1000*Params!$E$28*Params!$E$29*(Org!$B$10/Org!$B$11),0)</f>
        <v>0</v>
      </c>
      <c r="BD74" s="44">
        <f>BD$5*IF(BD$4&gt;=Teams!$E$80,Params!$E$23*Params!$E$24/60*(Org!$B$10/Org!$B$11)+Params!$E$27/12*Params!$E$13*Org!$B$10+BD65/1000*Params!$E$28*Params!$E$29*(Org!$B$10/Org!$B$11),0)</f>
        <v>0</v>
      </c>
      <c r="BE74" s="44">
        <f>BE$5*IF(BE$4&gt;=Teams!$E$80,Params!$E$23*Params!$E$24/60*(Org!$B$10/Org!$B$11)+Params!$E$27/12*Params!$E$13*Org!$B$10+BE65/1000*Params!$E$28*Params!$E$29*(Org!$B$10/Org!$B$11),0)</f>
        <v>0</v>
      </c>
      <c r="BF74" s="44">
        <f>BF$5*IF(BF$4&gt;=Teams!$E$80,Params!$E$23*Params!$E$24/60*(Org!$B$10/Org!$B$11)+Params!$E$27/12*Params!$E$13*Org!$B$10+BF65/1000*Params!$E$28*Params!$E$29*(Org!$B$10/Org!$B$11),0)</f>
        <v>0</v>
      </c>
      <c r="BG74" s="44">
        <f>BG$5*IF(BG$4&gt;=Teams!$E$80,Params!$E$23*Params!$E$24/60*(Org!$B$10/Org!$B$11)+Params!$E$27/12*Params!$E$13*Org!$B$10+BG65/1000*Params!$E$28*Params!$E$29*(Org!$B$10/Org!$B$11),0)</f>
        <v>0</v>
      </c>
      <c r="BH74" s="44">
        <f>BH$5*IF(BH$4&gt;=Teams!$E$80,Params!$E$23*Params!$E$24/60*(Org!$B$10/Org!$B$11)+Params!$E$27/12*Params!$E$13*Org!$B$10+BH65/1000*Params!$E$28*Params!$E$29*(Org!$B$10/Org!$B$11),0)</f>
        <v>0</v>
      </c>
      <c r="BI74" s="44">
        <f>BI$5*IF(BI$4&gt;=Teams!$E$80,Params!$E$23*Params!$E$24/60*(Org!$B$10/Org!$B$11)+Params!$E$27/12*Params!$E$13*Org!$B$10+BI65/1000*Params!$E$28*Params!$E$29*(Org!$B$10/Org!$B$11),0)</f>
        <v>0</v>
      </c>
      <c r="BJ74" s="44">
        <f>BJ$5*IF(BJ$4&gt;=Teams!$E$80,Params!$E$23*Params!$E$24/60*(Org!$B$10/Org!$B$11)+Params!$E$27/12*Params!$E$13*Org!$B$10+BJ65/1000*Params!$E$28*Params!$E$29*(Org!$B$10/Org!$B$11),0)</f>
        <v>0</v>
      </c>
      <c r="BK74" s="44">
        <f>BK$5*IF(BK$4&gt;=Teams!$E$80,Params!$E$23*Params!$E$24/60*(Org!$B$10/Org!$B$11)+Params!$E$27/12*Params!$E$13*Org!$B$10+BK65/1000*Params!$E$28*Params!$E$29*(Org!$B$10/Org!$B$11),0)</f>
        <v>0</v>
      </c>
      <c r="BL74" s="44">
        <f>BL$5*IF(BL$4&gt;=Teams!$E$80,Params!$E$23*Params!$E$24/60*(Org!$B$10/Org!$B$11)+Params!$E$27/12*Params!$E$13*Org!$B$10+BL65/1000*Params!$E$28*Params!$E$29*(Org!$B$10/Org!$B$11),0)</f>
        <v>0</v>
      </c>
    </row>
    <row r="75" spans="1:64" x14ac:dyDescent="0.3">
      <c r="A75" s="8" t="s">
        <v>673</v>
      </c>
      <c r="B75" s="18" t="s">
        <v>604</v>
      </c>
      <c r="C75" s="44">
        <f t="shared" si="20"/>
        <v>12800</v>
      </c>
      <c r="E75" s="44">
        <f>E$5*IF(AND(E$4&gt;Teams!$E$80,MOD(E$4-Teams!$E$80,MAX(1,ROUND(Params!$E$25,0)))=0),(Params!$E$26+Params!$E$17*Params!$E$16)*Org!$B$10,0)</f>
        <v>0</v>
      </c>
      <c r="F75" s="44">
        <f>F$5*IF(AND(F$4&gt;Teams!$E$80,MOD(F$4-Teams!$E$80,MAX(1,ROUND(Params!$E$25,0)))=0),(Params!$E$26+Params!$E$17*Params!$E$16)*Org!$B$10,0)</f>
        <v>0</v>
      </c>
      <c r="G75" s="44">
        <f>G$5*IF(AND(G$4&gt;Teams!$E$80,MOD(G$4-Teams!$E$80,MAX(1,ROUND(Params!$E$25,0)))=0),(Params!$E$26+Params!$E$17*Params!$E$16)*Org!$B$10,0)</f>
        <v>0</v>
      </c>
      <c r="H75" s="44">
        <f>H$5*IF(AND(H$4&gt;Teams!$E$80,MOD(H$4-Teams!$E$80,MAX(1,ROUND(Params!$E$25,0)))=0),(Params!$E$26+Params!$E$17*Params!$E$16)*Org!$B$10,0)</f>
        <v>0</v>
      </c>
      <c r="I75" s="44">
        <f>I$5*IF(AND(I$4&gt;Teams!$E$80,MOD(I$4-Teams!$E$80,MAX(1,ROUND(Params!$E$25,0)))=0),(Params!$E$26+Params!$E$17*Params!$E$16)*Org!$B$10,0)</f>
        <v>0</v>
      </c>
      <c r="J75" s="44">
        <f>J$5*IF(AND(J$4&gt;Teams!$E$80,MOD(J$4-Teams!$E$80,MAX(1,ROUND(Params!$E$25,0)))=0),(Params!$E$26+Params!$E$17*Params!$E$16)*Org!$B$10,0)</f>
        <v>0</v>
      </c>
      <c r="K75" s="44">
        <f>K$5*IF(AND(K$4&gt;Teams!$E$80,MOD(K$4-Teams!$E$80,MAX(1,ROUND(Params!$E$25,0)))=0),(Params!$E$26+Params!$E$17*Params!$E$16)*Org!$B$10,0)</f>
        <v>0</v>
      </c>
      <c r="L75" s="44">
        <f>L$5*IF(AND(L$4&gt;Teams!$E$80,MOD(L$4-Teams!$E$80,MAX(1,ROUND(Params!$E$25,0)))=0),(Params!$E$26+Params!$E$17*Params!$E$16)*Org!$B$10,0)</f>
        <v>0</v>
      </c>
      <c r="M75" s="44">
        <f>M$5*IF(AND(M$4&gt;Teams!$E$80,MOD(M$4-Teams!$E$80,MAX(1,ROUND(Params!$E$25,0)))=0),(Params!$E$26+Params!$E$17*Params!$E$16)*Org!$B$10,0)</f>
        <v>0</v>
      </c>
      <c r="N75" s="44">
        <f>N$5*IF(AND(N$4&gt;Teams!$E$80,MOD(N$4-Teams!$E$80,MAX(1,ROUND(Params!$E$25,0)))=0),(Params!$E$26+Params!$E$17*Params!$E$16)*Org!$B$10,0)</f>
        <v>0</v>
      </c>
      <c r="O75" s="44">
        <f>O$5*IF(AND(O$4&gt;Teams!$E$80,MOD(O$4-Teams!$E$80,MAX(1,ROUND(Params!$E$25,0)))=0),(Params!$E$26+Params!$E$17*Params!$E$16)*Org!$B$10,0)</f>
        <v>0</v>
      </c>
      <c r="P75" s="44">
        <f>P$5*IF(AND(P$4&gt;Teams!$E$80,MOD(P$4-Teams!$E$80,MAX(1,ROUND(Params!$E$25,0)))=0),(Params!$E$26+Params!$E$17*Params!$E$16)*Org!$B$10,0)</f>
        <v>0</v>
      </c>
      <c r="Q75" s="44">
        <f>Q$5*IF(AND(Q$4&gt;Teams!$E$80,MOD(Q$4-Teams!$E$80,MAX(1,ROUND(Params!$E$25,0)))=0),(Params!$E$26+Params!$E$17*Params!$E$16)*Org!$B$10,0)</f>
        <v>0</v>
      </c>
      <c r="R75" s="44">
        <f>R$5*IF(AND(R$4&gt;Teams!$E$80,MOD(R$4-Teams!$E$80,MAX(1,ROUND(Params!$E$25,0)))=0),(Params!$E$26+Params!$E$17*Params!$E$16)*Org!$B$10,0)</f>
        <v>0</v>
      </c>
      <c r="S75" s="44">
        <f>S$5*IF(AND(S$4&gt;Teams!$E$80,MOD(S$4-Teams!$E$80,MAX(1,ROUND(Params!$E$25,0)))=0),(Params!$E$26+Params!$E$17*Params!$E$16)*Org!$B$10,0)</f>
        <v>0</v>
      </c>
      <c r="T75" s="44">
        <f>T$5*IF(AND(T$4&gt;Teams!$E$80,MOD(T$4-Teams!$E$80,MAX(1,ROUND(Params!$E$25,0)))=0),(Params!$E$26+Params!$E$17*Params!$E$16)*Org!$B$10,0)</f>
        <v>0</v>
      </c>
      <c r="U75" s="44">
        <f>U$5*IF(AND(U$4&gt;Teams!$E$80,MOD(U$4-Teams!$E$80,MAX(1,ROUND(Params!$E$25,0)))=0),(Params!$E$26+Params!$E$17*Params!$E$16)*Org!$B$10,0)</f>
        <v>6400</v>
      </c>
      <c r="V75" s="44">
        <f>V$5*IF(AND(V$4&gt;Teams!$E$80,MOD(V$4-Teams!$E$80,MAX(1,ROUND(Params!$E$25,0)))=0),(Params!$E$26+Params!$E$17*Params!$E$16)*Org!$B$10,0)</f>
        <v>0</v>
      </c>
      <c r="W75" s="44">
        <f>W$5*IF(AND(W$4&gt;Teams!$E$80,MOD(W$4-Teams!$E$80,MAX(1,ROUND(Params!$E$25,0)))=0),(Params!$E$26+Params!$E$17*Params!$E$16)*Org!$B$10,0)</f>
        <v>0</v>
      </c>
      <c r="X75" s="44">
        <f>X$5*IF(AND(X$4&gt;Teams!$E$80,MOD(X$4-Teams!$E$80,MAX(1,ROUND(Params!$E$25,0)))=0),(Params!$E$26+Params!$E$17*Params!$E$16)*Org!$B$10,0)</f>
        <v>0</v>
      </c>
      <c r="Y75" s="44">
        <f>Y$5*IF(AND(Y$4&gt;Teams!$E$80,MOD(Y$4-Teams!$E$80,MAX(1,ROUND(Params!$E$25,0)))=0),(Params!$E$26+Params!$E$17*Params!$E$16)*Org!$B$10,0)</f>
        <v>0</v>
      </c>
      <c r="Z75" s="44">
        <f>Z$5*IF(AND(Z$4&gt;Teams!$E$80,MOD(Z$4-Teams!$E$80,MAX(1,ROUND(Params!$E$25,0)))=0),(Params!$E$26+Params!$E$17*Params!$E$16)*Org!$B$10,0)</f>
        <v>0</v>
      </c>
      <c r="AA75" s="44">
        <f>AA$5*IF(AND(AA$4&gt;Teams!$E$80,MOD(AA$4-Teams!$E$80,MAX(1,ROUND(Params!$E$25,0)))=0),(Params!$E$26+Params!$E$17*Params!$E$16)*Org!$B$10,0)</f>
        <v>0</v>
      </c>
      <c r="AB75" s="44">
        <f>AB$5*IF(AND(AB$4&gt;Teams!$E$80,MOD(AB$4-Teams!$E$80,MAX(1,ROUND(Params!$E$25,0)))=0),(Params!$E$26+Params!$E$17*Params!$E$16)*Org!$B$10,0)</f>
        <v>0</v>
      </c>
      <c r="AC75" s="44">
        <f>AC$5*IF(AND(AC$4&gt;Teams!$E$80,MOD(AC$4-Teams!$E$80,MAX(1,ROUND(Params!$E$25,0)))=0),(Params!$E$26+Params!$E$17*Params!$E$16)*Org!$B$10,0)</f>
        <v>0</v>
      </c>
      <c r="AD75" s="44">
        <f>AD$5*IF(AND(AD$4&gt;Teams!$E$80,MOD(AD$4-Teams!$E$80,MAX(1,ROUND(Params!$E$25,0)))=0),(Params!$E$26+Params!$E$17*Params!$E$16)*Org!$B$10,0)</f>
        <v>0</v>
      </c>
      <c r="AE75" s="44">
        <f>AE$5*IF(AND(AE$4&gt;Teams!$E$80,MOD(AE$4-Teams!$E$80,MAX(1,ROUND(Params!$E$25,0)))=0),(Params!$E$26+Params!$E$17*Params!$E$16)*Org!$B$10,0)</f>
        <v>0</v>
      </c>
      <c r="AF75" s="44">
        <f>AF$5*IF(AND(AF$4&gt;Teams!$E$80,MOD(AF$4-Teams!$E$80,MAX(1,ROUND(Params!$E$25,0)))=0),(Params!$E$26+Params!$E$17*Params!$E$16)*Org!$B$10,0)</f>
        <v>0</v>
      </c>
      <c r="AG75" s="44">
        <f>AG$5*IF(AND(AG$4&gt;Teams!$E$80,MOD(AG$4-Teams!$E$80,MAX(1,ROUND(Params!$E$25,0)))=0),(Params!$E$26+Params!$E$17*Params!$E$16)*Org!$B$10,0)</f>
        <v>0</v>
      </c>
      <c r="AH75" s="44">
        <f>AH$5*IF(AND(AH$4&gt;Teams!$E$80,MOD(AH$4-Teams!$E$80,MAX(1,ROUND(Params!$E$25,0)))=0),(Params!$E$26+Params!$E$17*Params!$E$16)*Org!$B$10,0)</f>
        <v>0</v>
      </c>
      <c r="AI75" s="44">
        <f>AI$5*IF(AND(AI$4&gt;Teams!$E$80,MOD(AI$4-Teams!$E$80,MAX(1,ROUND(Params!$E$25,0)))=0),(Params!$E$26+Params!$E$17*Params!$E$16)*Org!$B$10,0)</f>
        <v>0</v>
      </c>
      <c r="AJ75" s="44">
        <f>AJ$5*IF(AND(AJ$4&gt;Teams!$E$80,MOD(AJ$4-Teams!$E$80,MAX(1,ROUND(Params!$E$25,0)))=0),(Params!$E$26+Params!$E$17*Params!$E$16)*Org!$B$10,0)</f>
        <v>6400</v>
      </c>
      <c r="AK75" s="44">
        <f>AK$5*IF(AND(AK$4&gt;Teams!$E$80,MOD(AK$4-Teams!$E$80,MAX(1,ROUND(Params!$E$25,0)))=0),(Params!$E$26+Params!$E$17*Params!$E$16)*Org!$B$10,0)</f>
        <v>0</v>
      </c>
      <c r="AL75" s="44">
        <f>AL$5*IF(AND(AL$4&gt;Teams!$E$80,MOD(AL$4-Teams!$E$80,MAX(1,ROUND(Params!$E$25,0)))=0),(Params!$E$26+Params!$E$17*Params!$E$16)*Org!$B$10,0)</f>
        <v>0</v>
      </c>
      <c r="AM75" s="44">
        <f>AM$5*IF(AND(AM$4&gt;Teams!$E$80,MOD(AM$4-Teams!$E$80,MAX(1,ROUND(Params!$E$25,0)))=0),(Params!$E$26+Params!$E$17*Params!$E$16)*Org!$B$10,0)</f>
        <v>0</v>
      </c>
      <c r="AN75" s="44">
        <f>AN$5*IF(AND(AN$4&gt;Teams!$E$80,MOD(AN$4-Teams!$E$80,MAX(1,ROUND(Params!$E$25,0)))=0),(Params!$E$26+Params!$E$17*Params!$E$16)*Org!$B$10,0)</f>
        <v>0</v>
      </c>
      <c r="AO75" s="44">
        <f>AO$5*IF(AND(AO$4&gt;Teams!$E$80,MOD(AO$4-Teams!$E$80,MAX(1,ROUND(Params!$E$25,0)))=0),(Params!$E$26+Params!$E$17*Params!$E$16)*Org!$B$10,0)</f>
        <v>0</v>
      </c>
      <c r="AP75" s="44">
        <f>AP$5*IF(AND(AP$4&gt;Teams!$E$80,MOD(AP$4-Teams!$E$80,MAX(1,ROUND(Params!$E$25,0)))=0),(Params!$E$26+Params!$E$17*Params!$E$16)*Org!$B$10,0)</f>
        <v>0</v>
      </c>
      <c r="AQ75" s="44">
        <f>AQ$5*IF(AND(AQ$4&gt;Teams!$E$80,MOD(AQ$4-Teams!$E$80,MAX(1,ROUND(Params!$E$25,0)))=0),(Params!$E$26+Params!$E$17*Params!$E$16)*Org!$B$10,0)</f>
        <v>0</v>
      </c>
      <c r="AR75" s="44">
        <f>AR$5*IF(AND(AR$4&gt;Teams!$E$80,MOD(AR$4-Teams!$E$80,MAX(1,ROUND(Params!$E$25,0)))=0),(Params!$E$26+Params!$E$17*Params!$E$16)*Org!$B$10,0)</f>
        <v>0</v>
      </c>
      <c r="AS75" s="44">
        <f>AS$5*IF(AND(AS$4&gt;Teams!$E$80,MOD(AS$4-Teams!$E$80,MAX(1,ROUND(Params!$E$25,0)))=0),(Params!$E$26+Params!$E$17*Params!$E$16)*Org!$B$10,0)</f>
        <v>0</v>
      </c>
      <c r="AT75" s="44">
        <f>AT$5*IF(AND(AT$4&gt;Teams!$E$80,MOD(AT$4-Teams!$E$80,MAX(1,ROUND(Params!$E$25,0)))=0),(Params!$E$26+Params!$E$17*Params!$E$16)*Org!$B$10,0)</f>
        <v>0</v>
      </c>
      <c r="AU75" s="44">
        <f>AU$5*IF(AND(AU$4&gt;Teams!$E$80,MOD(AU$4-Teams!$E$80,MAX(1,ROUND(Params!$E$25,0)))=0),(Params!$E$26+Params!$E$17*Params!$E$16)*Org!$B$10,0)</f>
        <v>0</v>
      </c>
      <c r="AV75" s="44">
        <f>AV$5*IF(AND(AV$4&gt;Teams!$E$80,MOD(AV$4-Teams!$E$80,MAX(1,ROUND(Params!$E$25,0)))=0),(Params!$E$26+Params!$E$17*Params!$E$16)*Org!$B$10,0)</f>
        <v>0</v>
      </c>
      <c r="AW75" s="44">
        <f>AW$5*IF(AND(AW$4&gt;Teams!$E$80,MOD(AW$4-Teams!$E$80,MAX(1,ROUND(Params!$E$25,0)))=0),(Params!$E$26+Params!$E$17*Params!$E$16)*Org!$B$10,0)</f>
        <v>0</v>
      </c>
      <c r="AX75" s="44">
        <f>AX$5*IF(AND(AX$4&gt;Teams!$E$80,MOD(AX$4-Teams!$E$80,MAX(1,ROUND(Params!$E$25,0)))=0),(Params!$E$26+Params!$E$17*Params!$E$16)*Org!$B$10,0)</f>
        <v>0</v>
      </c>
      <c r="AY75" s="44">
        <f>AY$5*IF(AND(AY$4&gt;Teams!$E$80,MOD(AY$4-Teams!$E$80,MAX(1,ROUND(Params!$E$25,0)))=0),(Params!$E$26+Params!$E$17*Params!$E$16)*Org!$B$10,0)</f>
        <v>0</v>
      </c>
      <c r="AZ75" s="44">
        <f>AZ$5*IF(AND(AZ$4&gt;Teams!$E$80,MOD(AZ$4-Teams!$E$80,MAX(1,ROUND(Params!$E$25,0)))=0),(Params!$E$26+Params!$E$17*Params!$E$16)*Org!$B$10,0)</f>
        <v>0</v>
      </c>
      <c r="BA75" s="44">
        <f>BA$5*IF(AND(BA$4&gt;Teams!$E$80,MOD(BA$4-Teams!$E$80,MAX(1,ROUND(Params!$E$25,0)))=0),(Params!$E$26+Params!$E$17*Params!$E$16)*Org!$B$10,0)</f>
        <v>0</v>
      </c>
      <c r="BB75" s="44">
        <f>BB$5*IF(AND(BB$4&gt;Teams!$E$80,MOD(BB$4-Teams!$E$80,MAX(1,ROUND(Params!$E$25,0)))=0),(Params!$E$26+Params!$E$17*Params!$E$16)*Org!$B$10,0)</f>
        <v>0</v>
      </c>
      <c r="BC75" s="44">
        <f>BC$5*IF(AND(BC$4&gt;Teams!$E$80,MOD(BC$4-Teams!$E$80,MAX(1,ROUND(Params!$E$25,0)))=0),(Params!$E$26+Params!$E$17*Params!$E$16)*Org!$B$10,0)</f>
        <v>0</v>
      </c>
      <c r="BD75" s="44">
        <f>BD$5*IF(AND(BD$4&gt;Teams!$E$80,MOD(BD$4-Teams!$E$80,MAX(1,ROUND(Params!$E$25,0)))=0),(Params!$E$26+Params!$E$17*Params!$E$16)*Org!$B$10,0)</f>
        <v>0</v>
      </c>
      <c r="BE75" s="44">
        <f>BE$5*IF(AND(BE$4&gt;Teams!$E$80,MOD(BE$4-Teams!$E$80,MAX(1,ROUND(Params!$E$25,0)))=0),(Params!$E$26+Params!$E$17*Params!$E$16)*Org!$B$10,0)</f>
        <v>0</v>
      </c>
      <c r="BF75" s="44">
        <f>BF$5*IF(AND(BF$4&gt;Teams!$E$80,MOD(BF$4-Teams!$E$80,MAX(1,ROUND(Params!$E$25,0)))=0),(Params!$E$26+Params!$E$17*Params!$E$16)*Org!$B$10,0)</f>
        <v>0</v>
      </c>
      <c r="BG75" s="44">
        <f>BG$5*IF(AND(BG$4&gt;Teams!$E$80,MOD(BG$4-Teams!$E$80,MAX(1,ROUND(Params!$E$25,0)))=0),(Params!$E$26+Params!$E$17*Params!$E$16)*Org!$B$10,0)</f>
        <v>0</v>
      </c>
      <c r="BH75" s="44">
        <f>BH$5*IF(AND(BH$4&gt;Teams!$E$80,MOD(BH$4-Teams!$E$80,MAX(1,ROUND(Params!$E$25,0)))=0),(Params!$E$26+Params!$E$17*Params!$E$16)*Org!$B$10,0)</f>
        <v>0</v>
      </c>
      <c r="BI75" s="44">
        <f>BI$5*IF(AND(BI$4&gt;Teams!$E$80,MOD(BI$4-Teams!$E$80,MAX(1,ROUND(Params!$E$25,0)))=0),(Params!$E$26+Params!$E$17*Params!$E$16)*Org!$B$10,0)</f>
        <v>0</v>
      </c>
      <c r="BJ75" s="44">
        <f>BJ$5*IF(AND(BJ$4&gt;Teams!$E$80,MOD(BJ$4-Teams!$E$80,MAX(1,ROUND(Params!$E$25,0)))=0),(Params!$E$26+Params!$E$17*Params!$E$16)*Org!$B$10,0)</f>
        <v>0</v>
      </c>
      <c r="BK75" s="44">
        <f>BK$5*IF(AND(BK$4&gt;Teams!$E$80,MOD(BK$4-Teams!$E$80,MAX(1,ROUND(Params!$E$25,0)))=0),(Params!$E$26+Params!$E$17*Params!$E$16)*Org!$B$10,0)</f>
        <v>0</v>
      </c>
      <c r="BL75" s="44">
        <f>BL$5*IF(AND(BL$4&gt;Teams!$E$80,MOD(BL$4-Teams!$E$80,MAX(1,ROUND(Params!$E$25,0)))=0),(Params!$E$26+Params!$E$17*Params!$E$16)*Org!$B$10,0)</f>
        <v>0</v>
      </c>
    </row>
    <row r="76" spans="1:64" x14ac:dyDescent="0.3">
      <c r="A76" s="8" t="s">
        <v>674</v>
      </c>
      <c r="B76" s="18" t="s">
        <v>604</v>
      </c>
      <c r="C76" s="44">
        <f t="shared" si="20"/>
        <v>304785</v>
      </c>
      <c r="E76" s="44">
        <f>E$5*E66*MIN(1,Teams!$E$41*Params!$E$35)*Params!$E$36/60*Teams!$E$42</f>
        <v>0</v>
      </c>
      <c r="F76" s="44">
        <f>F$5*F66*MIN(1,Teams!$E$41*Params!$E$35)*Params!$E$36/60*Teams!$E$42</f>
        <v>694.66666666666652</v>
      </c>
      <c r="G76" s="44">
        <f>G$5*G66*MIN(1,Teams!$E$41*Params!$E$35)*Params!$E$36/60*Teams!$E$42</f>
        <v>2431.3333333333335</v>
      </c>
      <c r="H76" s="44">
        <f>H$5*H66*MIN(1,Teams!$E$41*Params!$E$35)*Params!$E$36/60*Teams!$E$42</f>
        <v>4689</v>
      </c>
      <c r="I76" s="44">
        <f>I$5*I66*MIN(1,Teams!$E$41*Params!$E$35)*Params!$E$36/60*Teams!$E$42</f>
        <v>6946.666666666667</v>
      </c>
      <c r="J76" s="44">
        <f>J$5*J66*MIN(1,Teams!$E$41*Params!$E$35)*Params!$E$36/60*Teams!$E$42</f>
        <v>8683.3333333333358</v>
      </c>
      <c r="K76" s="44">
        <f>K$5*K66*MIN(1,Teams!$E$41*Params!$E$35)*Params!$E$36/60*Teams!$E$42</f>
        <v>9378</v>
      </c>
      <c r="L76" s="44">
        <f>L$5*L66*MIN(1,Teams!$E$41*Params!$E$35)*Params!$E$36/60*Teams!$E$42</f>
        <v>9378</v>
      </c>
      <c r="M76" s="44">
        <f>M$5*M66*MIN(1,Teams!$E$41*Params!$E$35)*Params!$E$36/60*Teams!$E$42</f>
        <v>9378</v>
      </c>
      <c r="N76" s="44">
        <f>N$5*N66*MIN(1,Teams!$E$41*Params!$E$35)*Params!$E$36/60*Teams!$E$42</f>
        <v>9378</v>
      </c>
      <c r="O76" s="44">
        <f>O$5*O66*MIN(1,Teams!$E$41*Params!$E$35)*Params!$E$36/60*Teams!$E$42</f>
        <v>9378</v>
      </c>
      <c r="P76" s="44">
        <f>P$5*P66*MIN(1,Teams!$E$41*Params!$E$35)*Params!$E$36/60*Teams!$E$42</f>
        <v>9378</v>
      </c>
      <c r="Q76" s="44">
        <f>Q$5*Q66*MIN(1,Teams!$E$41*Params!$E$35)*Params!$E$36/60*Teams!$E$42</f>
        <v>9378</v>
      </c>
      <c r="R76" s="44">
        <f>R$5*R66*MIN(1,Teams!$E$41*Params!$E$35)*Params!$E$36/60*Teams!$E$42</f>
        <v>9378</v>
      </c>
      <c r="S76" s="44">
        <f>S$5*S66*MIN(1,Teams!$E$41*Params!$E$35)*Params!$E$36/60*Teams!$E$42</f>
        <v>9378</v>
      </c>
      <c r="T76" s="44">
        <f>T$5*T66*MIN(1,Teams!$E$41*Params!$E$35)*Params!$E$36/60*Teams!$E$42</f>
        <v>9378</v>
      </c>
      <c r="U76" s="44">
        <f>U$5*U66*MIN(1,Teams!$E$41*Params!$E$35)*Params!$E$36/60*Teams!$E$42</f>
        <v>9378</v>
      </c>
      <c r="V76" s="44">
        <f>V$5*V66*MIN(1,Teams!$E$41*Params!$E$35)*Params!$E$36/60*Teams!$E$42</f>
        <v>9378</v>
      </c>
      <c r="W76" s="44">
        <f>W$5*W66*MIN(1,Teams!$E$41*Params!$E$35)*Params!$E$36/60*Teams!$E$42</f>
        <v>9378</v>
      </c>
      <c r="X76" s="44">
        <f>X$5*X66*MIN(1,Teams!$E$41*Params!$E$35)*Params!$E$36/60*Teams!$E$42</f>
        <v>9378</v>
      </c>
      <c r="Y76" s="44">
        <f>Y$5*Y66*MIN(1,Teams!$E$41*Params!$E$35)*Params!$E$36/60*Teams!$E$42</f>
        <v>9378</v>
      </c>
      <c r="Z76" s="44">
        <f>Z$5*Z66*MIN(1,Teams!$E$41*Params!$E$35)*Params!$E$36/60*Teams!$E$42</f>
        <v>9378</v>
      </c>
      <c r="AA76" s="44">
        <f>AA$5*AA66*MIN(1,Teams!$E$41*Params!$E$35)*Params!$E$36/60*Teams!$E$42</f>
        <v>9378</v>
      </c>
      <c r="AB76" s="44">
        <f>AB$5*AB66*MIN(1,Teams!$E$41*Params!$E$35)*Params!$E$36/60*Teams!$E$42</f>
        <v>9378</v>
      </c>
      <c r="AC76" s="44">
        <f>AC$5*AC66*MIN(1,Teams!$E$41*Params!$E$35)*Params!$E$36/60*Teams!$E$42</f>
        <v>9378</v>
      </c>
      <c r="AD76" s="44">
        <f>AD$5*AD66*MIN(1,Teams!$E$41*Params!$E$35)*Params!$E$36/60*Teams!$E$42</f>
        <v>9378</v>
      </c>
      <c r="AE76" s="44">
        <f>AE$5*AE66*MIN(1,Teams!$E$41*Params!$E$35)*Params!$E$36/60*Teams!$E$42</f>
        <v>9378</v>
      </c>
      <c r="AF76" s="44">
        <f>AF$5*AF66*MIN(1,Teams!$E$41*Params!$E$35)*Params!$E$36/60*Teams!$E$42</f>
        <v>9378</v>
      </c>
      <c r="AG76" s="44">
        <f>AG$5*AG66*MIN(1,Teams!$E$41*Params!$E$35)*Params!$E$36/60*Teams!$E$42</f>
        <v>9378</v>
      </c>
      <c r="AH76" s="44">
        <f>AH$5*AH66*MIN(1,Teams!$E$41*Params!$E$35)*Params!$E$36/60*Teams!$E$42</f>
        <v>9378</v>
      </c>
      <c r="AI76" s="44">
        <f>AI$5*AI66*MIN(1,Teams!$E$41*Params!$E$35)*Params!$E$36/60*Teams!$E$42</f>
        <v>9378</v>
      </c>
      <c r="AJ76" s="44">
        <f>AJ$5*AJ66*MIN(1,Teams!$E$41*Params!$E$35)*Params!$E$36/60*Teams!$E$42</f>
        <v>9378</v>
      </c>
      <c r="AK76" s="44">
        <f>AK$5*AK66*MIN(1,Teams!$E$41*Params!$E$35)*Params!$E$36/60*Teams!$E$42</f>
        <v>9378</v>
      </c>
      <c r="AL76" s="44">
        <f>AL$5*AL66*MIN(1,Teams!$E$41*Params!$E$35)*Params!$E$36/60*Teams!$E$42</f>
        <v>9378</v>
      </c>
      <c r="AM76" s="44">
        <f>AM$5*AM66*MIN(1,Teams!$E$41*Params!$E$35)*Params!$E$36/60*Teams!$E$42</f>
        <v>9378</v>
      </c>
      <c r="AN76" s="44">
        <f>AN$5*AN66*MIN(1,Teams!$E$41*Params!$E$35)*Params!$E$36/60*Teams!$E$42</f>
        <v>9378</v>
      </c>
      <c r="AO76" s="44">
        <f>AO$5*AO66*MIN(1,Teams!$E$41*Params!$E$35)*Params!$E$36/60*Teams!$E$42</f>
        <v>0</v>
      </c>
      <c r="AP76" s="44">
        <f>AP$5*AP66*MIN(1,Teams!$E$41*Params!$E$35)*Params!$E$36/60*Teams!$E$42</f>
        <v>0</v>
      </c>
      <c r="AQ76" s="44">
        <f>AQ$5*AQ66*MIN(1,Teams!$E$41*Params!$E$35)*Params!$E$36/60*Teams!$E$42</f>
        <v>0</v>
      </c>
      <c r="AR76" s="44">
        <f>AR$5*AR66*MIN(1,Teams!$E$41*Params!$E$35)*Params!$E$36/60*Teams!$E$42</f>
        <v>0</v>
      </c>
      <c r="AS76" s="44">
        <f>AS$5*AS66*MIN(1,Teams!$E$41*Params!$E$35)*Params!$E$36/60*Teams!$E$42</f>
        <v>0</v>
      </c>
      <c r="AT76" s="44">
        <f>AT$5*AT66*MIN(1,Teams!$E$41*Params!$E$35)*Params!$E$36/60*Teams!$E$42</f>
        <v>0</v>
      </c>
      <c r="AU76" s="44">
        <f>AU$5*AU66*MIN(1,Teams!$E$41*Params!$E$35)*Params!$E$36/60*Teams!$E$42</f>
        <v>0</v>
      </c>
      <c r="AV76" s="44">
        <f>AV$5*AV66*MIN(1,Teams!$E$41*Params!$E$35)*Params!$E$36/60*Teams!$E$42</f>
        <v>0</v>
      </c>
      <c r="AW76" s="44">
        <f>AW$5*AW66*MIN(1,Teams!$E$41*Params!$E$35)*Params!$E$36/60*Teams!$E$42</f>
        <v>0</v>
      </c>
      <c r="AX76" s="44">
        <f>AX$5*AX66*MIN(1,Teams!$E$41*Params!$E$35)*Params!$E$36/60*Teams!$E$42</f>
        <v>0</v>
      </c>
      <c r="AY76" s="44">
        <f>AY$5*AY66*MIN(1,Teams!$E$41*Params!$E$35)*Params!$E$36/60*Teams!$E$42</f>
        <v>0</v>
      </c>
      <c r="AZ76" s="44">
        <f>AZ$5*AZ66*MIN(1,Teams!$E$41*Params!$E$35)*Params!$E$36/60*Teams!$E$42</f>
        <v>0</v>
      </c>
      <c r="BA76" s="44">
        <f>BA$5*BA66*MIN(1,Teams!$E$41*Params!$E$35)*Params!$E$36/60*Teams!$E$42</f>
        <v>0</v>
      </c>
      <c r="BB76" s="44">
        <f>BB$5*BB66*MIN(1,Teams!$E$41*Params!$E$35)*Params!$E$36/60*Teams!$E$42</f>
        <v>0</v>
      </c>
      <c r="BC76" s="44">
        <f>BC$5*BC66*MIN(1,Teams!$E$41*Params!$E$35)*Params!$E$36/60*Teams!$E$42</f>
        <v>0</v>
      </c>
      <c r="BD76" s="44">
        <f>BD$5*BD66*MIN(1,Teams!$E$41*Params!$E$35)*Params!$E$36/60*Teams!$E$42</f>
        <v>0</v>
      </c>
      <c r="BE76" s="44">
        <f>BE$5*BE66*MIN(1,Teams!$E$41*Params!$E$35)*Params!$E$36/60*Teams!$E$42</f>
        <v>0</v>
      </c>
      <c r="BF76" s="44">
        <f>BF$5*BF66*MIN(1,Teams!$E$41*Params!$E$35)*Params!$E$36/60*Teams!$E$42</f>
        <v>0</v>
      </c>
      <c r="BG76" s="44">
        <f>BG$5*BG66*MIN(1,Teams!$E$41*Params!$E$35)*Params!$E$36/60*Teams!$E$42</f>
        <v>0</v>
      </c>
      <c r="BH76" s="44">
        <f>BH$5*BH66*MIN(1,Teams!$E$41*Params!$E$35)*Params!$E$36/60*Teams!$E$42</f>
        <v>0</v>
      </c>
      <c r="BI76" s="44">
        <f>BI$5*BI66*MIN(1,Teams!$E$41*Params!$E$35)*Params!$E$36/60*Teams!$E$42</f>
        <v>0</v>
      </c>
      <c r="BJ76" s="44">
        <f>BJ$5*BJ66*MIN(1,Teams!$E$41*Params!$E$35)*Params!$E$36/60*Teams!$E$42</f>
        <v>0</v>
      </c>
      <c r="BK76" s="44">
        <f>BK$5*BK66*MIN(1,Teams!$E$41*Params!$E$35)*Params!$E$36/60*Teams!$E$42</f>
        <v>0</v>
      </c>
      <c r="BL76" s="44">
        <f>BL$5*BL66*MIN(1,Teams!$E$41*Params!$E$35)*Params!$E$36/60*Teams!$E$42</f>
        <v>0</v>
      </c>
    </row>
    <row r="77" spans="1:64" x14ac:dyDescent="0.3">
      <c r="A77" s="8" t="s">
        <v>675</v>
      </c>
      <c r="B77" s="18" t="s">
        <v>169</v>
      </c>
      <c r="C77" s="44">
        <f t="shared" si="20"/>
        <v>5192</v>
      </c>
      <c r="E77" s="44">
        <f>E$5*IF(E$4&gt;=Teams!$E$80,E64/1000*IF(E$4-Teams!$E$80&lt;6,Params!$E$37,Params!$E$38)*Org!$B$10*Org!$B$12/12,0)</f>
        <v>0</v>
      </c>
      <c r="F77" s="44">
        <f>F$5*IF(F$4&gt;=Teams!$E$80,F64/1000*IF(F$4-Teams!$E$80&lt;6,Params!$E$37,Params!$E$38)*Org!$B$10*Org!$B$12/12,0)</f>
        <v>440</v>
      </c>
      <c r="G77" s="44">
        <f>G$5*IF(G$4&gt;=Teams!$E$80,G64/1000*IF(G$4-Teams!$E$80&lt;6,Params!$E$37,Params!$E$38)*Org!$B$10*Org!$B$12/12,0)</f>
        <v>440</v>
      </c>
      <c r="H77" s="44">
        <f>H$5*IF(H$4&gt;=Teams!$E$80,H64/1000*IF(H$4-Teams!$E$80&lt;6,Params!$E$37,Params!$E$38)*Org!$B$10*Org!$B$12/12,0)</f>
        <v>440</v>
      </c>
      <c r="I77" s="44">
        <f>I$5*IF(I$4&gt;=Teams!$E$80,I64/1000*IF(I$4-Teams!$E$80&lt;6,Params!$E$37,Params!$E$38)*Org!$B$10*Org!$B$12/12,0)</f>
        <v>440</v>
      </c>
      <c r="J77" s="44">
        <f>J$5*IF(J$4&gt;=Teams!$E$80,J64/1000*IF(J$4-Teams!$E$80&lt;6,Params!$E$37,Params!$E$38)*Org!$B$10*Org!$B$12/12,0)</f>
        <v>440</v>
      </c>
      <c r="K77" s="44">
        <f>K$5*IF(K$4&gt;=Teams!$E$80,K64/1000*IF(K$4-Teams!$E$80&lt;6,Params!$E$37,Params!$E$38)*Org!$B$10*Org!$B$12/12,0)</f>
        <v>440</v>
      </c>
      <c r="L77" s="44">
        <f>L$5*IF(L$4&gt;=Teams!$E$80,L64/1000*IF(L$4-Teams!$E$80&lt;6,Params!$E$37,Params!$E$38)*Org!$B$10*Org!$B$12/12,0)</f>
        <v>88</v>
      </c>
      <c r="M77" s="44">
        <f>M$5*IF(M$4&gt;=Teams!$E$80,M64/1000*IF(M$4-Teams!$E$80&lt;6,Params!$E$37,Params!$E$38)*Org!$B$10*Org!$B$12/12,0)</f>
        <v>88</v>
      </c>
      <c r="N77" s="44">
        <f>N$5*IF(N$4&gt;=Teams!$E$80,N64/1000*IF(N$4-Teams!$E$80&lt;6,Params!$E$37,Params!$E$38)*Org!$B$10*Org!$B$12/12,0)</f>
        <v>88</v>
      </c>
      <c r="O77" s="44">
        <f>O$5*IF(O$4&gt;=Teams!$E$80,O64/1000*IF(O$4-Teams!$E$80&lt;6,Params!$E$37,Params!$E$38)*Org!$B$10*Org!$B$12/12,0)</f>
        <v>88</v>
      </c>
      <c r="P77" s="44">
        <f>P$5*IF(P$4&gt;=Teams!$E$80,P64/1000*IF(P$4-Teams!$E$80&lt;6,Params!$E$37,Params!$E$38)*Org!$B$10*Org!$B$12/12,0)</f>
        <v>88</v>
      </c>
      <c r="Q77" s="44">
        <f>Q$5*IF(Q$4&gt;=Teams!$E$80,Q64/1000*IF(Q$4-Teams!$E$80&lt;6,Params!$E$37,Params!$E$38)*Org!$B$10*Org!$B$12/12,0)</f>
        <v>88</v>
      </c>
      <c r="R77" s="44">
        <f>R$5*IF(R$4&gt;=Teams!$E$80,R64/1000*IF(R$4-Teams!$E$80&lt;6,Params!$E$37,Params!$E$38)*Org!$B$10*Org!$B$12/12,0)</f>
        <v>88</v>
      </c>
      <c r="S77" s="44">
        <f>S$5*IF(S$4&gt;=Teams!$E$80,S64/1000*IF(S$4-Teams!$E$80&lt;6,Params!$E$37,Params!$E$38)*Org!$B$10*Org!$B$12/12,0)</f>
        <v>88</v>
      </c>
      <c r="T77" s="44">
        <f>T$5*IF(T$4&gt;=Teams!$E$80,T64/1000*IF(T$4-Teams!$E$80&lt;6,Params!$E$37,Params!$E$38)*Org!$B$10*Org!$B$12/12,0)</f>
        <v>88</v>
      </c>
      <c r="U77" s="44">
        <f>U$5*IF(U$4&gt;=Teams!$E$80,U64/1000*IF(U$4-Teams!$E$80&lt;6,Params!$E$37,Params!$E$38)*Org!$B$10*Org!$B$12/12,0)</f>
        <v>88</v>
      </c>
      <c r="V77" s="44">
        <f>V$5*IF(V$4&gt;=Teams!$E$80,V64/1000*IF(V$4-Teams!$E$80&lt;6,Params!$E$37,Params!$E$38)*Org!$B$10*Org!$B$12/12,0)</f>
        <v>88</v>
      </c>
      <c r="W77" s="44">
        <f>W$5*IF(W$4&gt;=Teams!$E$80,W64/1000*IF(W$4-Teams!$E$80&lt;6,Params!$E$37,Params!$E$38)*Org!$B$10*Org!$B$12/12,0)</f>
        <v>88</v>
      </c>
      <c r="X77" s="44">
        <f>X$5*IF(X$4&gt;=Teams!$E$80,X64/1000*IF(X$4-Teams!$E$80&lt;6,Params!$E$37,Params!$E$38)*Org!$B$10*Org!$B$12/12,0)</f>
        <v>88</v>
      </c>
      <c r="Y77" s="44">
        <f>Y$5*IF(Y$4&gt;=Teams!$E$80,Y64/1000*IF(Y$4-Teams!$E$80&lt;6,Params!$E$37,Params!$E$38)*Org!$B$10*Org!$B$12/12,0)</f>
        <v>88</v>
      </c>
      <c r="Z77" s="44">
        <f>Z$5*IF(Z$4&gt;=Teams!$E$80,Z64/1000*IF(Z$4-Teams!$E$80&lt;6,Params!$E$37,Params!$E$38)*Org!$B$10*Org!$B$12/12,0)</f>
        <v>88</v>
      </c>
      <c r="AA77" s="44">
        <f>AA$5*IF(AA$4&gt;=Teams!$E$80,AA64/1000*IF(AA$4-Teams!$E$80&lt;6,Params!$E$37,Params!$E$38)*Org!$B$10*Org!$B$12/12,0)</f>
        <v>88</v>
      </c>
      <c r="AB77" s="44">
        <f>AB$5*IF(AB$4&gt;=Teams!$E$80,AB64/1000*IF(AB$4-Teams!$E$80&lt;6,Params!$E$37,Params!$E$38)*Org!$B$10*Org!$B$12/12,0)</f>
        <v>88</v>
      </c>
      <c r="AC77" s="44">
        <f>AC$5*IF(AC$4&gt;=Teams!$E$80,AC64/1000*IF(AC$4-Teams!$E$80&lt;6,Params!$E$37,Params!$E$38)*Org!$B$10*Org!$B$12/12,0)</f>
        <v>88</v>
      </c>
      <c r="AD77" s="44">
        <f>AD$5*IF(AD$4&gt;=Teams!$E$80,AD64/1000*IF(AD$4-Teams!$E$80&lt;6,Params!$E$37,Params!$E$38)*Org!$B$10*Org!$B$12/12,0)</f>
        <v>88</v>
      </c>
      <c r="AE77" s="44">
        <f>AE$5*IF(AE$4&gt;=Teams!$E$80,AE64/1000*IF(AE$4-Teams!$E$80&lt;6,Params!$E$37,Params!$E$38)*Org!$B$10*Org!$B$12/12,0)</f>
        <v>88</v>
      </c>
      <c r="AF77" s="44">
        <f>AF$5*IF(AF$4&gt;=Teams!$E$80,AF64/1000*IF(AF$4-Teams!$E$80&lt;6,Params!$E$37,Params!$E$38)*Org!$B$10*Org!$B$12/12,0)</f>
        <v>88</v>
      </c>
      <c r="AG77" s="44">
        <f>AG$5*IF(AG$4&gt;=Teams!$E$80,AG64/1000*IF(AG$4-Teams!$E$80&lt;6,Params!$E$37,Params!$E$38)*Org!$B$10*Org!$B$12/12,0)</f>
        <v>88</v>
      </c>
      <c r="AH77" s="44">
        <f>AH$5*IF(AH$4&gt;=Teams!$E$80,AH64/1000*IF(AH$4-Teams!$E$80&lt;6,Params!$E$37,Params!$E$38)*Org!$B$10*Org!$B$12/12,0)</f>
        <v>88</v>
      </c>
      <c r="AI77" s="44">
        <f>AI$5*IF(AI$4&gt;=Teams!$E$80,AI64/1000*IF(AI$4-Teams!$E$80&lt;6,Params!$E$37,Params!$E$38)*Org!$B$10*Org!$B$12/12,0)</f>
        <v>88</v>
      </c>
      <c r="AJ77" s="44">
        <f>AJ$5*IF(AJ$4&gt;=Teams!$E$80,AJ64/1000*IF(AJ$4-Teams!$E$80&lt;6,Params!$E$37,Params!$E$38)*Org!$B$10*Org!$B$12/12,0)</f>
        <v>88</v>
      </c>
      <c r="AK77" s="44">
        <f>AK$5*IF(AK$4&gt;=Teams!$E$80,AK64/1000*IF(AK$4-Teams!$E$80&lt;6,Params!$E$37,Params!$E$38)*Org!$B$10*Org!$B$12/12,0)</f>
        <v>88</v>
      </c>
      <c r="AL77" s="44">
        <f>AL$5*IF(AL$4&gt;=Teams!$E$80,AL64/1000*IF(AL$4-Teams!$E$80&lt;6,Params!$E$37,Params!$E$38)*Org!$B$10*Org!$B$12/12,0)</f>
        <v>88</v>
      </c>
      <c r="AM77" s="44">
        <f>AM$5*IF(AM$4&gt;=Teams!$E$80,AM64/1000*IF(AM$4-Teams!$E$80&lt;6,Params!$E$37,Params!$E$38)*Org!$B$10*Org!$B$12/12,0)</f>
        <v>88</v>
      </c>
      <c r="AN77" s="44">
        <f>AN$5*IF(AN$4&gt;=Teams!$E$80,AN64/1000*IF(AN$4-Teams!$E$80&lt;6,Params!$E$37,Params!$E$38)*Org!$B$10*Org!$B$12/12,0)</f>
        <v>88</v>
      </c>
      <c r="AO77" s="44">
        <f>AO$5*IF(AO$4&gt;=Teams!$E$80,AO64/1000*IF(AO$4-Teams!$E$80&lt;6,Params!$E$37,Params!$E$38)*Org!$B$10*Org!$B$12/12,0)</f>
        <v>0</v>
      </c>
      <c r="AP77" s="44">
        <f>AP$5*IF(AP$4&gt;=Teams!$E$80,AP64/1000*IF(AP$4-Teams!$E$80&lt;6,Params!$E$37,Params!$E$38)*Org!$B$10*Org!$B$12/12,0)</f>
        <v>0</v>
      </c>
      <c r="AQ77" s="44">
        <f>AQ$5*IF(AQ$4&gt;=Teams!$E$80,AQ64/1000*IF(AQ$4-Teams!$E$80&lt;6,Params!$E$37,Params!$E$38)*Org!$B$10*Org!$B$12/12,0)</f>
        <v>0</v>
      </c>
      <c r="AR77" s="44">
        <f>AR$5*IF(AR$4&gt;=Teams!$E$80,AR64/1000*IF(AR$4-Teams!$E$80&lt;6,Params!$E$37,Params!$E$38)*Org!$B$10*Org!$B$12/12,0)</f>
        <v>0</v>
      </c>
      <c r="AS77" s="44">
        <f>AS$5*IF(AS$4&gt;=Teams!$E$80,AS64/1000*IF(AS$4-Teams!$E$80&lt;6,Params!$E$37,Params!$E$38)*Org!$B$10*Org!$B$12/12,0)</f>
        <v>0</v>
      </c>
      <c r="AT77" s="44">
        <f>AT$5*IF(AT$4&gt;=Teams!$E$80,AT64/1000*IF(AT$4-Teams!$E$80&lt;6,Params!$E$37,Params!$E$38)*Org!$B$10*Org!$B$12/12,0)</f>
        <v>0</v>
      </c>
      <c r="AU77" s="44">
        <f>AU$5*IF(AU$4&gt;=Teams!$E$80,AU64/1000*IF(AU$4-Teams!$E$80&lt;6,Params!$E$37,Params!$E$38)*Org!$B$10*Org!$B$12/12,0)</f>
        <v>0</v>
      </c>
      <c r="AV77" s="44">
        <f>AV$5*IF(AV$4&gt;=Teams!$E$80,AV64/1000*IF(AV$4-Teams!$E$80&lt;6,Params!$E$37,Params!$E$38)*Org!$B$10*Org!$B$12/12,0)</f>
        <v>0</v>
      </c>
      <c r="AW77" s="44">
        <f>AW$5*IF(AW$4&gt;=Teams!$E$80,AW64/1000*IF(AW$4-Teams!$E$80&lt;6,Params!$E$37,Params!$E$38)*Org!$B$10*Org!$B$12/12,0)</f>
        <v>0</v>
      </c>
      <c r="AX77" s="44">
        <f>AX$5*IF(AX$4&gt;=Teams!$E$80,AX64/1000*IF(AX$4-Teams!$E$80&lt;6,Params!$E$37,Params!$E$38)*Org!$B$10*Org!$B$12/12,0)</f>
        <v>0</v>
      </c>
      <c r="AY77" s="44">
        <f>AY$5*IF(AY$4&gt;=Teams!$E$80,AY64/1000*IF(AY$4-Teams!$E$80&lt;6,Params!$E$37,Params!$E$38)*Org!$B$10*Org!$B$12/12,0)</f>
        <v>0</v>
      </c>
      <c r="AZ77" s="44">
        <f>AZ$5*IF(AZ$4&gt;=Teams!$E$80,AZ64/1000*IF(AZ$4-Teams!$E$80&lt;6,Params!$E$37,Params!$E$38)*Org!$B$10*Org!$B$12/12,0)</f>
        <v>0</v>
      </c>
      <c r="BA77" s="44">
        <f>BA$5*IF(BA$4&gt;=Teams!$E$80,BA64/1000*IF(BA$4-Teams!$E$80&lt;6,Params!$E$37,Params!$E$38)*Org!$B$10*Org!$B$12/12,0)</f>
        <v>0</v>
      </c>
      <c r="BB77" s="44">
        <f>BB$5*IF(BB$4&gt;=Teams!$E$80,BB64/1000*IF(BB$4-Teams!$E$80&lt;6,Params!$E$37,Params!$E$38)*Org!$B$10*Org!$B$12/12,0)</f>
        <v>0</v>
      </c>
      <c r="BC77" s="44">
        <f>BC$5*IF(BC$4&gt;=Teams!$E$80,BC64/1000*IF(BC$4-Teams!$E$80&lt;6,Params!$E$37,Params!$E$38)*Org!$B$10*Org!$B$12/12,0)</f>
        <v>0</v>
      </c>
      <c r="BD77" s="44">
        <f>BD$5*IF(BD$4&gt;=Teams!$E$80,BD64/1000*IF(BD$4-Teams!$E$80&lt;6,Params!$E$37,Params!$E$38)*Org!$B$10*Org!$B$12/12,0)</f>
        <v>0</v>
      </c>
      <c r="BE77" s="44">
        <f>BE$5*IF(BE$4&gt;=Teams!$E$80,BE64/1000*IF(BE$4-Teams!$E$80&lt;6,Params!$E$37,Params!$E$38)*Org!$B$10*Org!$B$12/12,0)</f>
        <v>0</v>
      </c>
      <c r="BF77" s="44">
        <f>BF$5*IF(BF$4&gt;=Teams!$E$80,BF64/1000*IF(BF$4-Teams!$E$80&lt;6,Params!$E$37,Params!$E$38)*Org!$B$10*Org!$B$12/12,0)</f>
        <v>0</v>
      </c>
      <c r="BG77" s="44">
        <f>BG$5*IF(BG$4&gt;=Teams!$E$80,BG64/1000*IF(BG$4-Teams!$E$80&lt;6,Params!$E$37,Params!$E$38)*Org!$B$10*Org!$B$12/12,0)</f>
        <v>0</v>
      </c>
      <c r="BH77" s="44">
        <f>BH$5*IF(BH$4&gt;=Teams!$E$80,BH64/1000*IF(BH$4-Teams!$E$80&lt;6,Params!$E$37,Params!$E$38)*Org!$B$10*Org!$B$12/12,0)</f>
        <v>0</v>
      </c>
      <c r="BI77" s="44">
        <f>BI$5*IF(BI$4&gt;=Teams!$E$80,BI64/1000*IF(BI$4-Teams!$E$80&lt;6,Params!$E$37,Params!$E$38)*Org!$B$10*Org!$B$12/12,0)</f>
        <v>0</v>
      </c>
      <c r="BJ77" s="44">
        <f>BJ$5*IF(BJ$4&gt;=Teams!$E$80,BJ64/1000*IF(BJ$4-Teams!$E$80&lt;6,Params!$E$37,Params!$E$38)*Org!$B$10*Org!$B$12/12,0)</f>
        <v>0</v>
      </c>
      <c r="BK77" s="44">
        <f>BK$5*IF(BK$4&gt;=Teams!$E$80,BK64/1000*IF(BK$4-Teams!$E$80&lt;6,Params!$E$37,Params!$E$38)*Org!$B$10*Org!$B$12/12,0)</f>
        <v>0</v>
      </c>
      <c r="BL77" s="44">
        <f>BL$5*IF(BL$4&gt;=Teams!$E$80,BL64/1000*IF(BL$4-Teams!$E$80&lt;6,Params!$E$37,Params!$E$38)*Org!$B$10*Org!$B$12/12,0)</f>
        <v>0</v>
      </c>
    </row>
    <row r="78" spans="1:64" x14ac:dyDescent="0.3">
      <c r="A78" s="8" t="s">
        <v>676</v>
      </c>
      <c r="B78" s="18" t="s">
        <v>169</v>
      </c>
      <c r="C78" s="44">
        <f t="shared" si="20"/>
        <v>32480</v>
      </c>
      <c r="D78" s="44">
        <f>Teams!$E$5*((Teams!$E$43*Params!$E$4+Teams!$E$44/100000*Params!$E$5+Teams!$E$43*Params!$E$6)*Org!$B$10)</f>
        <v>32480</v>
      </c>
    </row>
    <row r="79" spans="1:64" x14ac:dyDescent="0.3">
      <c r="A79" s="8" t="s">
        <v>677</v>
      </c>
      <c r="B79" s="18" t="s">
        <v>435</v>
      </c>
      <c r="C79" s="44">
        <f t="shared" si="20"/>
        <v>0</v>
      </c>
      <c r="D79" s="44">
        <f>Teams!$E$5*(Teams!$E$49*(Teams!$E$44*Teams!$E$45*Teams!$E$75+Teams!$E$44*Teams!$E$47*Teams!$E$76/1000000))</f>
        <v>0</v>
      </c>
    </row>
    <row r="80" spans="1:64" x14ac:dyDescent="0.3">
      <c r="A80" s="8" t="s">
        <v>678</v>
      </c>
      <c r="B80" s="18" t="s">
        <v>169</v>
      </c>
      <c r="C80" s="44">
        <f t="shared" si="20"/>
        <v>48000</v>
      </c>
      <c r="D80" s="44">
        <f>Teams!$E$5*((Params!$E$13+Params!$E$16)*Org!$B$10)</f>
        <v>48000</v>
      </c>
    </row>
    <row r="81" spans="1:64" x14ac:dyDescent="0.3">
      <c r="A81" s="8" t="s">
        <v>679</v>
      </c>
      <c r="B81" s="18" t="s">
        <v>169</v>
      </c>
      <c r="C81" s="44">
        <f t="shared" si="20"/>
        <v>20400</v>
      </c>
      <c r="D81" s="44">
        <f>Teams!$E$5*(Teams!$E$18*Teams!$E$19*Params!$E$34*(Org!$B$10/Org!$B$11))</f>
        <v>20400</v>
      </c>
    </row>
    <row r="82" spans="1:64" x14ac:dyDescent="0.3">
      <c r="A82" s="8" t="s">
        <v>11</v>
      </c>
      <c r="C82" s="44">
        <f t="shared" si="20"/>
        <v>2590672.5</v>
      </c>
      <c r="E82" s="44">
        <f>E$5*E66*Teams!$E$55/60*Teams!$E$56*INDEX(Params!$D$41:$F$41,Org!$B$17)*Teams!$E$57</f>
        <v>0</v>
      </c>
      <c r="F82" s="44">
        <f>F$5*F66*Teams!$E$55/60*Teams!$E$56*INDEX(Params!$D$41:$F$41,Org!$B$17)*Teams!$E$57</f>
        <v>5904.6666666666661</v>
      </c>
      <c r="G82" s="44">
        <f>G$5*G66*Teams!$E$55/60*Teams!$E$56*INDEX(Params!$D$41:$F$41,Org!$B$17)*Teams!$E$57</f>
        <v>20666.333333333332</v>
      </c>
      <c r="H82" s="44">
        <f>H$5*H66*Teams!$E$55/60*Teams!$E$56*INDEX(Params!$D$41:$F$41,Org!$B$17)*Teams!$E$57</f>
        <v>39856.5</v>
      </c>
      <c r="I82" s="44">
        <f>I$5*I66*Teams!$E$55/60*Teams!$E$56*INDEX(Params!$D$41:$F$41,Org!$B$17)*Teams!$E$57</f>
        <v>59046.666666666657</v>
      </c>
      <c r="J82" s="44">
        <f>J$5*J66*Teams!$E$55/60*Teams!$E$56*INDEX(Params!$D$41:$F$41,Org!$B$17)*Teams!$E$57</f>
        <v>73808.333333333343</v>
      </c>
      <c r="K82" s="44">
        <f>K$5*K66*Teams!$E$55/60*Teams!$E$56*INDEX(Params!$D$41:$F$41,Org!$B$17)*Teams!$E$57</f>
        <v>79713</v>
      </c>
      <c r="L82" s="44">
        <f>L$5*L66*Teams!$E$55/60*Teams!$E$56*INDEX(Params!$D$41:$F$41,Org!$B$17)*Teams!$E$57</f>
        <v>79713</v>
      </c>
      <c r="M82" s="44">
        <f>M$5*M66*Teams!$E$55/60*Teams!$E$56*INDEX(Params!$D$41:$F$41,Org!$B$17)*Teams!$E$57</f>
        <v>79713</v>
      </c>
      <c r="N82" s="44">
        <f>N$5*N66*Teams!$E$55/60*Teams!$E$56*INDEX(Params!$D$41:$F$41,Org!$B$17)*Teams!$E$57</f>
        <v>79713</v>
      </c>
      <c r="O82" s="44">
        <f>O$5*O66*Teams!$E$55/60*Teams!$E$56*INDEX(Params!$D$41:$F$41,Org!$B$17)*Teams!$E$57</f>
        <v>79713</v>
      </c>
      <c r="P82" s="44">
        <f>P$5*P66*Teams!$E$55/60*Teams!$E$56*INDEX(Params!$D$41:$F$41,Org!$B$17)*Teams!$E$57</f>
        <v>79713</v>
      </c>
      <c r="Q82" s="44">
        <f>Q$5*Q66*Teams!$E$55/60*Teams!$E$56*INDEX(Params!$D$41:$F$41,Org!$B$17)*Teams!$E$57</f>
        <v>79713</v>
      </c>
      <c r="R82" s="44">
        <f>R$5*R66*Teams!$E$55/60*Teams!$E$56*INDEX(Params!$D$41:$F$41,Org!$B$17)*Teams!$E$57</f>
        <v>79713</v>
      </c>
      <c r="S82" s="44">
        <f>S$5*S66*Teams!$E$55/60*Teams!$E$56*INDEX(Params!$D$41:$F$41,Org!$B$17)*Teams!$E$57</f>
        <v>79713</v>
      </c>
      <c r="T82" s="44">
        <f>T$5*T66*Teams!$E$55/60*Teams!$E$56*INDEX(Params!$D$41:$F$41,Org!$B$17)*Teams!$E$57</f>
        <v>79713</v>
      </c>
      <c r="U82" s="44">
        <f>U$5*U66*Teams!$E$55/60*Teams!$E$56*INDEX(Params!$D$41:$F$41,Org!$B$17)*Teams!$E$57</f>
        <v>79713</v>
      </c>
      <c r="V82" s="44">
        <f>V$5*V66*Teams!$E$55/60*Teams!$E$56*INDEX(Params!$D$41:$F$41,Org!$B$17)*Teams!$E$57</f>
        <v>79713</v>
      </c>
      <c r="W82" s="44">
        <f>W$5*W66*Teams!$E$55/60*Teams!$E$56*INDEX(Params!$D$41:$F$41,Org!$B$17)*Teams!$E$57</f>
        <v>79713</v>
      </c>
      <c r="X82" s="44">
        <f>X$5*X66*Teams!$E$55/60*Teams!$E$56*INDEX(Params!$D$41:$F$41,Org!$B$17)*Teams!$E$57</f>
        <v>79713</v>
      </c>
      <c r="Y82" s="44">
        <f>Y$5*Y66*Teams!$E$55/60*Teams!$E$56*INDEX(Params!$D$41:$F$41,Org!$B$17)*Teams!$E$57</f>
        <v>79713</v>
      </c>
      <c r="Z82" s="44">
        <f>Z$5*Z66*Teams!$E$55/60*Teams!$E$56*INDEX(Params!$D$41:$F$41,Org!$B$17)*Teams!$E$57</f>
        <v>79713</v>
      </c>
      <c r="AA82" s="44">
        <f>AA$5*AA66*Teams!$E$55/60*Teams!$E$56*INDEX(Params!$D$41:$F$41,Org!$B$17)*Teams!$E$57</f>
        <v>79713</v>
      </c>
      <c r="AB82" s="44">
        <f>AB$5*AB66*Teams!$E$55/60*Teams!$E$56*INDEX(Params!$D$41:$F$41,Org!$B$17)*Teams!$E$57</f>
        <v>79713</v>
      </c>
      <c r="AC82" s="44">
        <f>AC$5*AC66*Teams!$E$55/60*Teams!$E$56*INDEX(Params!$D$41:$F$41,Org!$B$17)*Teams!$E$57</f>
        <v>79713</v>
      </c>
      <c r="AD82" s="44">
        <f>AD$5*AD66*Teams!$E$55/60*Teams!$E$56*INDEX(Params!$D$41:$F$41,Org!$B$17)*Teams!$E$57</f>
        <v>79713</v>
      </c>
      <c r="AE82" s="44">
        <f>AE$5*AE66*Teams!$E$55/60*Teams!$E$56*INDEX(Params!$D$41:$F$41,Org!$B$17)*Teams!$E$57</f>
        <v>79713</v>
      </c>
      <c r="AF82" s="44">
        <f>AF$5*AF66*Teams!$E$55/60*Teams!$E$56*INDEX(Params!$D$41:$F$41,Org!$B$17)*Teams!$E$57</f>
        <v>79713</v>
      </c>
      <c r="AG82" s="44">
        <f>AG$5*AG66*Teams!$E$55/60*Teams!$E$56*INDEX(Params!$D$41:$F$41,Org!$B$17)*Teams!$E$57</f>
        <v>79713</v>
      </c>
      <c r="AH82" s="44">
        <f>AH$5*AH66*Teams!$E$55/60*Teams!$E$56*INDEX(Params!$D$41:$F$41,Org!$B$17)*Teams!$E$57</f>
        <v>79713</v>
      </c>
      <c r="AI82" s="44">
        <f>AI$5*AI66*Teams!$E$55/60*Teams!$E$56*INDEX(Params!$D$41:$F$41,Org!$B$17)*Teams!$E$57</f>
        <v>79713</v>
      </c>
      <c r="AJ82" s="44">
        <f>AJ$5*AJ66*Teams!$E$55/60*Teams!$E$56*INDEX(Params!$D$41:$F$41,Org!$B$17)*Teams!$E$57</f>
        <v>79713</v>
      </c>
      <c r="AK82" s="44">
        <f>AK$5*AK66*Teams!$E$55/60*Teams!$E$56*INDEX(Params!$D$41:$F$41,Org!$B$17)*Teams!$E$57</f>
        <v>79713</v>
      </c>
      <c r="AL82" s="44">
        <f>AL$5*AL66*Teams!$E$55/60*Teams!$E$56*INDEX(Params!$D$41:$F$41,Org!$B$17)*Teams!$E$57</f>
        <v>79713</v>
      </c>
      <c r="AM82" s="44">
        <f>AM$5*AM66*Teams!$E$55/60*Teams!$E$56*INDEX(Params!$D$41:$F$41,Org!$B$17)*Teams!$E$57</f>
        <v>79713</v>
      </c>
      <c r="AN82" s="44">
        <f>AN$5*AN66*Teams!$E$55/60*Teams!$E$56*INDEX(Params!$D$41:$F$41,Org!$B$17)*Teams!$E$57</f>
        <v>79713</v>
      </c>
      <c r="AO82" s="44">
        <f>AO$5*AO66*Teams!$E$55/60*Teams!$E$56*INDEX(Params!$D$41:$F$41,Org!$B$17)*Teams!$E$57</f>
        <v>0</v>
      </c>
      <c r="AP82" s="44">
        <f>AP$5*AP66*Teams!$E$55/60*Teams!$E$56*INDEX(Params!$D$41:$F$41,Org!$B$17)*Teams!$E$57</f>
        <v>0</v>
      </c>
      <c r="AQ82" s="44">
        <f>AQ$5*AQ66*Teams!$E$55/60*Teams!$E$56*INDEX(Params!$D$41:$F$41,Org!$B$17)*Teams!$E$57</f>
        <v>0</v>
      </c>
      <c r="AR82" s="44">
        <f>AR$5*AR66*Teams!$E$55/60*Teams!$E$56*INDEX(Params!$D$41:$F$41,Org!$B$17)*Teams!$E$57</f>
        <v>0</v>
      </c>
      <c r="AS82" s="44">
        <f>AS$5*AS66*Teams!$E$55/60*Teams!$E$56*INDEX(Params!$D$41:$F$41,Org!$B$17)*Teams!$E$57</f>
        <v>0</v>
      </c>
      <c r="AT82" s="44">
        <f>AT$5*AT66*Teams!$E$55/60*Teams!$E$56*INDEX(Params!$D$41:$F$41,Org!$B$17)*Teams!$E$57</f>
        <v>0</v>
      </c>
      <c r="AU82" s="44">
        <f>AU$5*AU66*Teams!$E$55/60*Teams!$E$56*INDEX(Params!$D$41:$F$41,Org!$B$17)*Teams!$E$57</f>
        <v>0</v>
      </c>
      <c r="AV82" s="44">
        <f>AV$5*AV66*Teams!$E$55/60*Teams!$E$56*INDEX(Params!$D$41:$F$41,Org!$B$17)*Teams!$E$57</f>
        <v>0</v>
      </c>
      <c r="AW82" s="44">
        <f>AW$5*AW66*Teams!$E$55/60*Teams!$E$56*INDEX(Params!$D$41:$F$41,Org!$B$17)*Teams!$E$57</f>
        <v>0</v>
      </c>
      <c r="AX82" s="44">
        <f>AX$5*AX66*Teams!$E$55/60*Teams!$E$56*INDEX(Params!$D$41:$F$41,Org!$B$17)*Teams!$E$57</f>
        <v>0</v>
      </c>
      <c r="AY82" s="44">
        <f>AY$5*AY66*Teams!$E$55/60*Teams!$E$56*INDEX(Params!$D$41:$F$41,Org!$B$17)*Teams!$E$57</f>
        <v>0</v>
      </c>
      <c r="AZ82" s="44">
        <f>AZ$5*AZ66*Teams!$E$55/60*Teams!$E$56*INDEX(Params!$D$41:$F$41,Org!$B$17)*Teams!$E$57</f>
        <v>0</v>
      </c>
      <c r="BA82" s="44">
        <f>BA$5*BA66*Teams!$E$55/60*Teams!$E$56*INDEX(Params!$D$41:$F$41,Org!$B$17)*Teams!$E$57</f>
        <v>0</v>
      </c>
      <c r="BB82" s="44">
        <f>BB$5*BB66*Teams!$E$55/60*Teams!$E$56*INDEX(Params!$D$41:$F$41,Org!$B$17)*Teams!$E$57</f>
        <v>0</v>
      </c>
      <c r="BC82" s="44">
        <f>BC$5*BC66*Teams!$E$55/60*Teams!$E$56*INDEX(Params!$D$41:$F$41,Org!$B$17)*Teams!$E$57</f>
        <v>0</v>
      </c>
      <c r="BD82" s="44">
        <f>BD$5*BD66*Teams!$E$55/60*Teams!$E$56*INDEX(Params!$D$41:$F$41,Org!$B$17)*Teams!$E$57</f>
        <v>0</v>
      </c>
      <c r="BE82" s="44">
        <f>BE$5*BE66*Teams!$E$55/60*Teams!$E$56*INDEX(Params!$D$41:$F$41,Org!$B$17)*Teams!$E$57</f>
        <v>0</v>
      </c>
      <c r="BF82" s="44">
        <f>BF$5*BF66*Teams!$E$55/60*Teams!$E$56*INDEX(Params!$D$41:$F$41,Org!$B$17)*Teams!$E$57</f>
        <v>0</v>
      </c>
      <c r="BG82" s="44">
        <f>BG$5*BG66*Teams!$E$55/60*Teams!$E$56*INDEX(Params!$D$41:$F$41,Org!$B$17)*Teams!$E$57</f>
        <v>0</v>
      </c>
      <c r="BH82" s="44">
        <f>BH$5*BH66*Teams!$E$55/60*Teams!$E$56*INDEX(Params!$D$41:$F$41,Org!$B$17)*Teams!$E$57</f>
        <v>0</v>
      </c>
      <c r="BI82" s="44">
        <f>BI$5*BI66*Teams!$E$55/60*Teams!$E$56*INDEX(Params!$D$41:$F$41,Org!$B$17)*Teams!$E$57</f>
        <v>0</v>
      </c>
      <c r="BJ82" s="44">
        <f>BJ$5*BJ66*Teams!$E$55/60*Teams!$E$56*INDEX(Params!$D$41:$F$41,Org!$B$17)*Teams!$E$57</f>
        <v>0</v>
      </c>
      <c r="BK82" s="44">
        <f>BK$5*BK66*Teams!$E$55/60*Teams!$E$56*INDEX(Params!$D$41:$F$41,Org!$B$17)*Teams!$E$57</f>
        <v>0</v>
      </c>
      <c r="BL82" s="44">
        <f>BL$5*BL66*Teams!$E$55/60*Teams!$E$56*INDEX(Params!$D$41:$F$41,Org!$B$17)*Teams!$E$57</f>
        <v>0</v>
      </c>
    </row>
    <row r="83" spans="1:64" x14ac:dyDescent="0.3">
      <c r="A83" s="8" t="s">
        <v>701</v>
      </c>
      <c r="C83" s="44">
        <f t="shared" si="20"/>
        <v>1850472</v>
      </c>
      <c r="D83" s="44">
        <f t="shared" ref="D83:AI83" si="21">SUM(D67:D81)</f>
        <v>100880</v>
      </c>
      <c r="E83" s="44">
        <f t="shared" si="21"/>
        <v>0</v>
      </c>
      <c r="F83" s="44">
        <f t="shared" si="21"/>
        <v>7975.5555555555547</v>
      </c>
      <c r="G83" s="44">
        <f t="shared" si="21"/>
        <v>17064.444444444442</v>
      </c>
      <c r="H83" s="44">
        <f t="shared" si="21"/>
        <v>28880</v>
      </c>
      <c r="I83" s="44">
        <f t="shared" si="21"/>
        <v>40695.555555555555</v>
      </c>
      <c r="J83" s="44">
        <f t="shared" si="21"/>
        <v>49784.444444444453</v>
      </c>
      <c r="K83" s="44">
        <f t="shared" si="21"/>
        <v>53420</v>
      </c>
      <c r="L83" s="44">
        <f t="shared" si="21"/>
        <v>53068</v>
      </c>
      <c r="M83" s="44">
        <f t="shared" si="21"/>
        <v>53068</v>
      </c>
      <c r="N83" s="44">
        <f t="shared" si="21"/>
        <v>53068</v>
      </c>
      <c r="O83" s="44">
        <f t="shared" si="21"/>
        <v>53068</v>
      </c>
      <c r="P83" s="44">
        <f t="shared" si="21"/>
        <v>53068</v>
      </c>
      <c r="Q83" s="44">
        <f t="shared" si="21"/>
        <v>53068</v>
      </c>
      <c r="R83" s="44">
        <f t="shared" si="21"/>
        <v>53068</v>
      </c>
      <c r="S83" s="44">
        <f t="shared" si="21"/>
        <v>53068</v>
      </c>
      <c r="T83" s="44">
        <f t="shared" si="21"/>
        <v>53068</v>
      </c>
      <c r="U83" s="44">
        <f t="shared" si="21"/>
        <v>59468</v>
      </c>
      <c r="V83" s="44">
        <f t="shared" si="21"/>
        <v>53068</v>
      </c>
      <c r="W83" s="44">
        <f t="shared" si="21"/>
        <v>53068</v>
      </c>
      <c r="X83" s="44">
        <f t="shared" si="21"/>
        <v>53068</v>
      </c>
      <c r="Y83" s="44">
        <f t="shared" si="21"/>
        <v>53068</v>
      </c>
      <c r="Z83" s="44">
        <f t="shared" si="21"/>
        <v>53068</v>
      </c>
      <c r="AA83" s="44">
        <f t="shared" si="21"/>
        <v>53068</v>
      </c>
      <c r="AB83" s="44">
        <f t="shared" si="21"/>
        <v>53068</v>
      </c>
      <c r="AC83" s="44">
        <f t="shared" si="21"/>
        <v>53068</v>
      </c>
      <c r="AD83" s="44">
        <f t="shared" si="21"/>
        <v>53068</v>
      </c>
      <c r="AE83" s="44">
        <f t="shared" si="21"/>
        <v>53068</v>
      </c>
      <c r="AF83" s="44">
        <f t="shared" si="21"/>
        <v>53068</v>
      </c>
      <c r="AG83" s="44">
        <f t="shared" si="21"/>
        <v>53068</v>
      </c>
      <c r="AH83" s="44">
        <f t="shared" si="21"/>
        <v>53068</v>
      </c>
      <c r="AI83" s="44">
        <f t="shared" si="21"/>
        <v>53068</v>
      </c>
      <c r="AJ83" s="44">
        <f t="shared" ref="AJ83:BL83" si="22">SUM(AJ67:AJ81)</f>
        <v>59468</v>
      </c>
      <c r="AK83" s="44">
        <f t="shared" si="22"/>
        <v>53068</v>
      </c>
      <c r="AL83" s="44">
        <f t="shared" si="22"/>
        <v>53068</v>
      </c>
      <c r="AM83" s="44">
        <f t="shared" si="22"/>
        <v>53068</v>
      </c>
      <c r="AN83" s="44">
        <f t="shared" si="22"/>
        <v>53068</v>
      </c>
      <c r="AO83" s="44">
        <f t="shared" si="22"/>
        <v>0</v>
      </c>
      <c r="AP83" s="44">
        <f t="shared" si="22"/>
        <v>0</v>
      </c>
      <c r="AQ83" s="44">
        <f t="shared" si="22"/>
        <v>0</v>
      </c>
      <c r="AR83" s="44">
        <f t="shared" si="22"/>
        <v>0</v>
      </c>
      <c r="AS83" s="44">
        <f t="shared" si="22"/>
        <v>0</v>
      </c>
      <c r="AT83" s="44">
        <f t="shared" si="22"/>
        <v>0</v>
      </c>
      <c r="AU83" s="44">
        <f t="shared" si="22"/>
        <v>0</v>
      </c>
      <c r="AV83" s="44">
        <f t="shared" si="22"/>
        <v>0</v>
      </c>
      <c r="AW83" s="44">
        <f t="shared" si="22"/>
        <v>0</v>
      </c>
      <c r="AX83" s="44">
        <f t="shared" si="22"/>
        <v>0</v>
      </c>
      <c r="AY83" s="44">
        <f t="shared" si="22"/>
        <v>0</v>
      </c>
      <c r="AZ83" s="44">
        <f t="shared" si="22"/>
        <v>0</v>
      </c>
      <c r="BA83" s="44">
        <f t="shared" si="22"/>
        <v>0</v>
      </c>
      <c r="BB83" s="44">
        <f t="shared" si="22"/>
        <v>0</v>
      </c>
      <c r="BC83" s="44">
        <f t="shared" si="22"/>
        <v>0</v>
      </c>
      <c r="BD83" s="44">
        <f t="shared" si="22"/>
        <v>0</v>
      </c>
      <c r="BE83" s="44">
        <f t="shared" si="22"/>
        <v>0</v>
      </c>
      <c r="BF83" s="44">
        <f t="shared" si="22"/>
        <v>0</v>
      </c>
      <c r="BG83" s="44">
        <f t="shared" si="22"/>
        <v>0</v>
      </c>
      <c r="BH83" s="44">
        <f t="shared" si="22"/>
        <v>0</v>
      </c>
      <c r="BI83" s="44">
        <f t="shared" si="22"/>
        <v>0</v>
      </c>
      <c r="BJ83" s="44">
        <f t="shared" si="22"/>
        <v>0</v>
      </c>
      <c r="BK83" s="44">
        <f t="shared" si="22"/>
        <v>0</v>
      </c>
      <c r="BL83" s="44">
        <f t="shared" si="22"/>
        <v>0</v>
      </c>
    </row>
    <row r="84" spans="1:64" x14ac:dyDescent="0.3">
      <c r="A84" s="8" t="s">
        <v>702</v>
      </c>
      <c r="C84" s="44">
        <f t="shared" si="20"/>
        <v>378316.95782438322</v>
      </c>
      <c r="D84" s="44">
        <f t="shared" ref="D84:AI84" si="23">$D$169*D158</f>
        <v>25338.293879432393</v>
      </c>
      <c r="E84" s="44">
        <f t="shared" si="23"/>
        <v>9792.4587627168876</v>
      </c>
      <c r="F84" s="44">
        <f t="shared" si="23"/>
        <v>9795.3819242480222</v>
      </c>
      <c r="G84" s="44">
        <f t="shared" si="23"/>
        <v>9798.9794115875338</v>
      </c>
      <c r="H84" s="44">
        <f t="shared" si="23"/>
        <v>9802.7496710894557</v>
      </c>
      <c r="I84" s="44">
        <f t="shared" si="23"/>
        <v>9804.7481675123254</v>
      </c>
      <c r="J84" s="44">
        <f t="shared" si="23"/>
        <v>9805.7696406286777</v>
      </c>
      <c r="K84" s="44">
        <f t="shared" si="23"/>
        <v>9805.9525455722742</v>
      </c>
      <c r="L84" s="44">
        <f t="shared" si="23"/>
        <v>9805.9525455722742</v>
      </c>
      <c r="M84" s="44">
        <f t="shared" si="23"/>
        <v>9805.9525455722742</v>
      </c>
      <c r="N84" s="44">
        <f t="shared" si="23"/>
        <v>9805.9525455722742</v>
      </c>
      <c r="O84" s="44">
        <f t="shared" si="23"/>
        <v>9805.9525455722742</v>
      </c>
      <c r="P84" s="44">
        <f t="shared" si="23"/>
        <v>9805.9525455722742</v>
      </c>
      <c r="Q84" s="44">
        <f t="shared" si="23"/>
        <v>9805.9525455722742</v>
      </c>
      <c r="R84" s="44">
        <f t="shared" si="23"/>
        <v>9805.9525455722742</v>
      </c>
      <c r="S84" s="44">
        <f t="shared" si="23"/>
        <v>9805.9525455722742</v>
      </c>
      <c r="T84" s="44">
        <f t="shared" si="23"/>
        <v>9805.9525455722742</v>
      </c>
      <c r="U84" s="44">
        <f t="shared" si="23"/>
        <v>9805.9525455722742</v>
      </c>
      <c r="V84" s="44">
        <f t="shared" si="23"/>
        <v>9805.9525455722742</v>
      </c>
      <c r="W84" s="44">
        <f t="shared" si="23"/>
        <v>9805.9525455722742</v>
      </c>
      <c r="X84" s="44">
        <f t="shared" si="23"/>
        <v>9805.9525455722742</v>
      </c>
      <c r="Y84" s="44">
        <f t="shared" si="23"/>
        <v>9805.9525455722742</v>
      </c>
      <c r="Z84" s="44">
        <f t="shared" si="23"/>
        <v>9805.9525455722742</v>
      </c>
      <c r="AA84" s="44">
        <f t="shared" si="23"/>
        <v>9805.9525455722742</v>
      </c>
      <c r="AB84" s="44">
        <f t="shared" si="23"/>
        <v>9805.9525455722742</v>
      </c>
      <c r="AC84" s="44">
        <f t="shared" si="23"/>
        <v>9805.9525455722742</v>
      </c>
      <c r="AD84" s="44">
        <f t="shared" si="23"/>
        <v>9805.9525455722742</v>
      </c>
      <c r="AE84" s="44">
        <f t="shared" si="23"/>
        <v>9805.9525455722742</v>
      </c>
      <c r="AF84" s="44">
        <f t="shared" si="23"/>
        <v>9805.9525455722742</v>
      </c>
      <c r="AG84" s="44">
        <f t="shared" si="23"/>
        <v>9805.9525455722742</v>
      </c>
      <c r="AH84" s="44">
        <f t="shared" si="23"/>
        <v>9805.9525455722742</v>
      </c>
      <c r="AI84" s="44">
        <f t="shared" si="23"/>
        <v>9805.9525455722742</v>
      </c>
      <c r="AJ84" s="44">
        <f t="shared" ref="AJ84:BL84" si="24">$D$169*AJ158</f>
        <v>9805.9525455722742</v>
      </c>
      <c r="AK84" s="44">
        <f t="shared" si="24"/>
        <v>9805.9525455722742</v>
      </c>
      <c r="AL84" s="44">
        <f t="shared" si="24"/>
        <v>9805.9525455722742</v>
      </c>
      <c r="AM84" s="44">
        <f t="shared" si="24"/>
        <v>9805.9525455722742</v>
      </c>
      <c r="AN84" s="44">
        <f t="shared" si="24"/>
        <v>9805.9525455722742</v>
      </c>
      <c r="AO84" s="44">
        <f t="shared" si="24"/>
        <v>0</v>
      </c>
      <c r="AP84" s="44">
        <f t="shared" si="24"/>
        <v>0</v>
      </c>
      <c r="AQ84" s="44">
        <f t="shared" si="24"/>
        <v>0</v>
      </c>
      <c r="AR84" s="44">
        <f t="shared" si="24"/>
        <v>0</v>
      </c>
      <c r="AS84" s="44">
        <f t="shared" si="24"/>
        <v>0</v>
      </c>
      <c r="AT84" s="44">
        <f t="shared" si="24"/>
        <v>0</v>
      </c>
      <c r="AU84" s="44">
        <f t="shared" si="24"/>
        <v>0</v>
      </c>
      <c r="AV84" s="44">
        <f t="shared" si="24"/>
        <v>0</v>
      </c>
      <c r="AW84" s="44">
        <f t="shared" si="24"/>
        <v>0</v>
      </c>
      <c r="AX84" s="44">
        <f t="shared" si="24"/>
        <v>0</v>
      </c>
      <c r="AY84" s="44">
        <f t="shared" si="24"/>
        <v>0</v>
      </c>
      <c r="AZ84" s="44">
        <f t="shared" si="24"/>
        <v>0</v>
      </c>
      <c r="BA84" s="44">
        <f t="shared" si="24"/>
        <v>0</v>
      </c>
      <c r="BB84" s="44">
        <f t="shared" si="24"/>
        <v>0</v>
      </c>
      <c r="BC84" s="44">
        <f t="shared" si="24"/>
        <v>0</v>
      </c>
      <c r="BD84" s="44">
        <f t="shared" si="24"/>
        <v>0</v>
      </c>
      <c r="BE84" s="44">
        <f t="shared" si="24"/>
        <v>0</v>
      </c>
      <c r="BF84" s="44">
        <f t="shared" si="24"/>
        <v>0</v>
      </c>
      <c r="BG84" s="44">
        <f t="shared" si="24"/>
        <v>0</v>
      </c>
      <c r="BH84" s="44">
        <f t="shared" si="24"/>
        <v>0</v>
      </c>
      <c r="BI84" s="44">
        <f t="shared" si="24"/>
        <v>0</v>
      </c>
      <c r="BJ84" s="44">
        <f t="shared" si="24"/>
        <v>0</v>
      </c>
      <c r="BK84" s="44">
        <f t="shared" si="24"/>
        <v>0</v>
      </c>
      <c r="BL84" s="44">
        <f t="shared" si="24"/>
        <v>0</v>
      </c>
    </row>
    <row r="85" spans="1:64" x14ac:dyDescent="0.3">
      <c r="A85" s="8" t="s">
        <v>1012</v>
      </c>
      <c r="C85" s="44">
        <f t="shared" si="20"/>
        <v>361883.54217561637</v>
      </c>
      <c r="D85" s="44">
        <f t="shared" ref="D85:AI85" si="25">D82-D83-D84</f>
        <v>-126218.2938794324</v>
      </c>
      <c r="E85" s="44">
        <f t="shared" si="25"/>
        <v>-9792.4587627168876</v>
      </c>
      <c r="F85" s="44">
        <f t="shared" si="25"/>
        <v>-11866.270813136911</v>
      </c>
      <c r="G85" s="44">
        <f t="shared" si="25"/>
        <v>-6197.0905226986433</v>
      </c>
      <c r="H85" s="44">
        <f t="shared" si="25"/>
        <v>1173.7503289105443</v>
      </c>
      <c r="I85" s="44">
        <f t="shared" si="25"/>
        <v>8546.3629435987768</v>
      </c>
      <c r="J85" s="44">
        <f t="shared" si="25"/>
        <v>14218.119248260213</v>
      </c>
      <c r="K85" s="44">
        <f t="shared" si="25"/>
        <v>16487.047454427724</v>
      </c>
      <c r="L85" s="44">
        <f t="shared" si="25"/>
        <v>16839.047454427724</v>
      </c>
      <c r="M85" s="44">
        <f t="shared" si="25"/>
        <v>16839.047454427724</v>
      </c>
      <c r="N85" s="44">
        <f t="shared" si="25"/>
        <v>16839.047454427724</v>
      </c>
      <c r="O85" s="44">
        <f t="shared" si="25"/>
        <v>16839.047454427724</v>
      </c>
      <c r="P85" s="44">
        <f t="shared" si="25"/>
        <v>16839.047454427724</v>
      </c>
      <c r="Q85" s="44">
        <f t="shared" si="25"/>
        <v>16839.047454427724</v>
      </c>
      <c r="R85" s="44">
        <f t="shared" si="25"/>
        <v>16839.047454427724</v>
      </c>
      <c r="S85" s="44">
        <f t="shared" si="25"/>
        <v>16839.047454427724</v>
      </c>
      <c r="T85" s="44">
        <f t="shared" si="25"/>
        <v>16839.047454427724</v>
      </c>
      <c r="U85" s="44">
        <f t="shared" si="25"/>
        <v>10439.047454427726</v>
      </c>
      <c r="V85" s="44">
        <f t="shared" si="25"/>
        <v>16839.047454427724</v>
      </c>
      <c r="W85" s="44">
        <f t="shared" si="25"/>
        <v>16839.047454427724</v>
      </c>
      <c r="X85" s="44">
        <f t="shared" si="25"/>
        <v>16839.047454427724</v>
      </c>
      <c r="Y85" s="44">
        <f t="shared" si="25"/>
        <v>16839.047454427724</v>
      </c>
      <c r="Z85" s="44">
        <f t="shared" si="25"/>
        <v>16839.047454427724</v>
      </c>
      <c r="AA85" s="44">
        <f t="shared" si="25"/>
        <v>16839.047454427724</v>
      </c>
      <c r="AB85" s="44">
        <f t="shared" si="25"/>
        <v>16839.047454427724</v>
      </c>
      <c r="AC85" s="44">
        <f t="shared" si="25"/>
        <v>16839.047454427724</v>
      </c>
      <c r="AD85" s="44">
        <f t="shared" si="25"/>
        <v>16839.047454427724</v>
      </c>
      <c r="AE85" s="44">
        <f t="shared" si="25"/>
        <v>16839.047454427724</v>
      </c>
      <c r="AF85" s="44">
        <f t="shared" si="25"/>
        <v>16839.047454427724</v>
      </c>
      <c r="AG85" s="44">
        <f t="shared" si="25"/>
        <v>16839.047454427724</v>
      </c>
      <c r="AH85" s="44">
        <f t="shared" si="25"/>
        <v>16839.047454427724</v>
      </c>
      <c r="AI85" s="44">
        <f t="shared" si="25"/>
        <v>16839.047454427724</v>
      </c>
      <c r="AJ85" s="44">
        <f t="shared" ref="AJ85:BO85" si="26">AJ82-AJ83-AJ84</f>
        <v>10439.047454427726</v>
      </c>
      <c r="AK85" s="44">
        <f t="shared" si="26"/>
        <v>16839.047454427724</v>
      </c>
      <c r="AL85" s="44">
        <f t="shared" si="26"/>
        <v>16839.047454427724</v>
      </c>
      <c r="AM85" s="44">
        <f t="shared" si="26"/>
        <v>16839.047454427724</v>
      </c>
      <c r="AN85" s="44">
        <f t="shared" si="26"/>
        <v>16839.047454427724</v>
      </c>
      <c r="AO85" s="44">
        <f t="shared" si="26"/>
        <v>0</v>
      </c>
      <c r="AP85" s="44">
        <f t="shared" si="26"/>
        <v>0</v>
      </c>
      <c r="AQ85" s="44">
        <f t="shared" si="26"/>
        <v>0</v>
      </c>
      <c r="AR85" s="44">
        <f t="shared" si="26"/>
        <v>0</v>
      </c>
      <c r="AS85" s="44">
        <f t="shared" si="26"/>
        <v>0</v>
      </c>
      <c r="AT85" s="44">
        <f t="shared" si="26"/>
        <v>0</v>
      </c>
      <c r="AU85" s="44">
        <f t="shared" si="26"/>
        <v>0</v>
      </c>
      <c r="AV85" s="44">
        <f t="shared" si="26"/>
        <v>0</v>
      </c>
      <c r="AW85" s="44">
        <f t="shared" si="26"/>
        <v>0</v>
      </c>
      <c r="AX85" s="44">
        <f t="shared" si="26"/>
        <v>0</v>
      </c>
      <c r="AY85" s="44">
        <f t="shared" si="26"/>
        <v>0</v>
      </c>
      <c r="AZ85" s="44">
        <f t="shared" si="26"/>
        <v>0</v>
      </c>
      <c r="BA85" s="44">
        <f t="shared" si="26"/>
        <v>0</v>
      </c>
      <c r="BB85" s="44">
        <f t="shared" si="26"/>
        <v>0</v>
      </c>
      <c r="BC85" s="44">
        <f t="shared" si="26"/>
        <v>0</v>
      </c>
      <c r="BD85" s="44">
        <f t="shared" si="26"/>
        <v>0</v>
      </c>
      <c r="BE85" s="44">
        <f t="shared" si="26"/>
        <v>0</v>
      </c>
      <c r="BF85" s="44">
        <f t="shared" si="26"/>
        <v>0</v>
      </c>
      <c r="BG85" s="44">
        <f t="shared" si="26"/>
        <v>0</v>
      </c>
      <c r="BH85" s="44">
        <f t="shared" si="26"/>
        <v>0</v>
      </c>
      <c r="BI85" s="44">
        <f t="shared" si="26"/>
        <v>0</v>
      </c>
      <c r="BJ85" s="44">
        <f t="shared" si="26"/>
        <v>0</v>
      </c>
      <c r="BK85" s="44">
        <f t="shared" si="26"/>
        <v>0</v>
      </c>
      <c r="BL85" s="44">
        <f t="shared" si="26"/>
        <v>0</v>
      </c>
    </row>
    <row r="86" spans="1:64" x14ac:dyDescent="0.3">
      <c r="A86" s="8" t="s">
        <v>1013</v>
      </c>
      <c r="D86" s="44">
        <f>D85</f>
        <v>-126218.2938794324</v>
      </c>
      <c r="E86" s="44">
        <f t="shared" ref="E86:AJ86" si="27">D86+E85</f>
        <v>-136010.75264214928</v>
      </c>
      <c r="F86" s="44">
        <f t="shared" si="27"/>
        <v>-147877.02345528619</v>
      </c>
      <c r="G86" s="44">
        <f t="shared" si="27"/>
        <v>-154074.11397798485</v>
      </c>
      <c r="H86" s="44">
        <f t="shared" si="27"/>
        <v>-152900.36364907431</v>
      </c>
      <c r="I86" s="44">
        <f t="shared" si="27"/>
        <v>-144354.00070547554</v>
      </c>
      <c r="J86" s="44">
        <f t="shared" si="27"/>
        <v>-130135.88145721532</v>
      </c>
      <c r="K86" s="44">
        <f t="shared" si="27"/>
        <v>-113648.8340027876</v>
      </c>
      <c r="L86" s="44">
        <f t="shared" si="27"/>
        <v>-96809.786548359873</v>
      </c>
      <c r="M86" s="44">
        <f t="shared" si="27"/>
        <v>-79970.739093932149</v>
      </c>
      <c r="N86" s="44">
        <f t="shared" si="27"/>
        <v>-63131.691639504425</v>
      </c>
      <c r="O86" s="44">
        <f t="shared" si="27"/>
        <v>-46292.644185076701</v>
      </c>
      <c r="P86" s="44">
        <f t="shared" si="27"/>
        <v>-29453.596730648977</v>
      </c>
      <c r="Q86" s="44">
        <f t="shared" si="27"/>
        <v>-12614.549276221253</v>
      </c>
      <c r="R86" s="44">
        <f t="shared" si="27"/>
        <v>4224.4981782064715</v>
      </c>
      <c r="S86" s="44">
        <f t="shared" si="27"/>
        <v>21063.545632634195</v>
      </c>
      <c r="T86" s="44">
        <f t="shared" si="27"/>
        <v>37902.59308706192</v>
      </c>
      <c r="U86" s="44">
        <f t="shared" si="27"/>
        <v>48341.640541489644</v>
      </c>
      <c r="V86" s="44">
        <f t="shared" si="27"/>
        <v>65180.687995917368</v>
      </c>
      <c r="W86" s="44">
        <f t="shared" si="27"/>
        <v>82019.735450345092</v>
      </c>
      <c r="X86" s="44">
        <f t="shared" si="27"/>
        <v>98858.782904772816</v>
      </c>
      <c r="Y86" s="44">
        <f t="shared" si="27"/>
        <v>115697.83035920054</v>
      </c>
      <c r="Z86" s="44">
        <f t="shared" si="27"/>
        <v>132536.87781362826</v>
      </c>
      <c r="AA86" s="44">
        <f t="shared" si="27"/>
        <v>149375.92526805599</v>
      </c>
      <c r="AB86" s="44">
        <f t="shared" si="27"/>
        <v>166214.97272248371</v>
      </c>
      <c r="AC86" s="44">
        <f t="shared" si="27"/>
        <v>183054.02017691144</v>
      </c>
      <c r="AD86" s="44">
        <f t="shared" si="27"/>
        <v>199893.06763133916</v>
      </c>
      <c r="AE86" s="44">
        <f t="shared" si="27"/>
        <v>216732.11508576688</v>
      </c>
      <c r="AF86" s="44">
        <f t="shared" si="27"/>
        <v>233571.16254019461</v>
      </c>
      <c r="AG86" s="44">
        <f t="shared" si="27"/>
        <v>250410.20999462233</v>
      </c>
      <c r="AH86" s="44">
        <f t="shared" si="27"/>
        <v>267249.25744905008</v>
      </c>
      <c r="AI86" s="44">
        <f t="shared" si="27"/>
        <v>284088.30490347778</v>
      </c>
      <c r="AJ86" s="44">
        <f t="shared" si="27"/>
        <v>294527.35235790553</v>
      </c>
      <c r="AK86" s="44">
        <f t="shared" ref="AK86:BP86" si="28">AJ86+AK85</f>
        <v>311366.39981233329</v>
      </c>
      <c r="AL86" s="44">
        <f t="shared" si="28"/>
        <v>328205.44726676098</v>
      </c>
      <c r="AM86" s="44">
        <f t="shared" si="28"/>
        <v>345044.49472118868</v>
      </c>
      <c r="AN86" s="44">
        <f t="shared" si="28"/>
        <v>361883.54217561637</v>
      </c>
      <c r="AO86" s="44">
        <f t="shared" si="28"/>
        <v>361883.54217561637</v>
      </c>
      <c r="AP86" s="44">
        <f t="shared" si="28"/>
        <v>361883.54217561637</v>
      </c>
      <c r="AQ86" s="44">
        <f t="shared" si="28"/>
        <v>361883.54217561637</v>
      </c>
      <c r="AR86" s="44">
        <f t="shared" si="28"/>
        <v>361883.54217561637</v>
      </c>
      <c r="AS86" s="44">
        <f t="shared" si="28"/>
        <v>361883.54217561637</v>
      </c>
      <c r="AT86" s="44">
        <f t="shared" si="28"/>
        <v>361883.54217561637</v>
      </c>
      <c r="AU86" s="44">
        <f t="shared" si="28"/>
        <v>361883.54217561637</v>
      </c>
      <c r="AV86" s="44">
        <f t="shared" si="28"/>
        <v>361883.54217561637</v>
      </c>
      <c r="AW86" s="44">
        <f t="shared" si="28"/>
        <v>361883.54217561637</v>
      </c>
      <c r="AX86" s="44">
        <f t="shared" si="28"/>
        <v>361883.54217561637</v>
      </c>
      <c r="AY86" s="44">
        <f t="shared" si="28"/>
        <v>361883.54217561637</v>
      </c>
      <c r="AZ86" s="44">
        <f t="shared" si="28"/>
        <v>361883.54217561637</v>
      </c>
      <c r="BA86" s="44">
        <f t="shared" si="28"/>
        <v>361883.54217561637</v>
      </c>
      <c r="BB86" s="44">
        <f t="shared" si="28"/>
        <v>361883.54217561637</v>
      </c>
      <c r="BC86" s="44">
        <f t="shared" si="28"/>
        <v>361883.54217561637</v>
      </c>
      <c r="BD86" s="44">
        <f t="shared" si="28"/>
        <v>361883.54217561637</v>
      </c>
      <c r="BE86" s="44">
        <f t="shared" si="28"/>
        <v>361883.54217561637</v>
      </c>
      <c r="BF86" s="44">
        <f t="shared" si="28"/>
        <v>361883.54217561637</v>
      </c>
      <c r="BG86" s="44">
        <f t="shared" si="28"/>
        <v>361883.54217561637</v>
      </c>
      <c r="BH86" s="44">
        <f t="shared" si="28"/>
        <v>361883.54217561637</v>
      </c>
      <c r="BI86" s="44">
        <f t="shared" si="28"/>
        <v>361883.54217561637</v>
      </c>
      <c r="BJ86" s="44">
        <f t="shared" si="28"/>
        <v>361883.54217561637</v>
      </c>
      <c r="BK86" s="44">
        <f t="shared" si="28"/>
        <v>361883.54217561637</v>
      </c>
      <c r="BL86" s="44">
        <f t="shared" si="28"/>
        <v>361883.54217561637</v>
      </c>
    </row>
    <row r="87" spans="1:64" x14ac:dyDescent="0.3">
      <c r="A87" s="8" t="s">
        <v>1014</v>
      </c>
      <c r="C87" s="22">
        <f>IF(COUNT(E87:BL87)=0,"None",MIN(E87:BL87))</f>
        <v>14</v>
      </c>
      <c r="E87" s="22" t="str">
        <f>IF(AND(E$4&lt;=Org!$B$5,E86&gt;=0),E$4,"")</f>
        <v/>
      </c>
      <c r="F87" s="22" t="str">
        <f>IF(AND(F$4&lt;=Org!$B$5,F86&gt;=0),F$4,"")</f>
        <v/>
      </c>
      <c r="G87" s="22" t="str">
        <f>IF(AND(G$4&lt;=Org!$B$5,G86&gt;=0),G$4,"")</f>
        <v/>
      </c>
      <c r="H87" s="22" t="str">
        <f>IF(AND(H$4&lt;=Org!$B$5,H86&gt;=0),H$4,"")</f>
        <v/>
      </c>
      <c r="I87" s="22" t="str">
        <f>IF(AND(I$4&lt;=Org!$B$5,I86&gt;=0),I$4,"")</f>
        <v/>
      </c>
      <c r="J87" s="22" t="str">
        <f>IF(AND(J$4&lt;=Org!$B$5,J86&gt;=0),J$4,"")</f>
        <v/>
      </c>
      <c r="K87" s="22" t="str">
        <f>IF(AND(K$4&lt;=Org!$B$5,K86&gt;=0),K$4,"")</f>
        <v/>
      </c>
      <c r="L87" s="22" t="str">
        <f>IF(AND(L$4&lt;=Org!$B$5,L86&gt;=0),L$4,"")</f>
        <v/>
      </c>
      <c r="M87" s="22" t="str">
        <f>IF(AND(M$4&lt;=Org!$B$5,M86&gt;=0),M$4,"")</f>
        <v/>
      </c>
      <c r="N87" s="22" t="str">
        <f>IF(AND(N$4&lt;=Org!$B$5,N86&gt;=0),N$4,"")</f>
        <v/>
      </c>
      <c r="O87" s="22" t="str">
        <f>IF(AND(O$4&lt;=Org!$B$5,O86&gt;=0),O$4,"")</f>
        <v/>
      </c>
      <c r="P87" s="22" t="str">
        <f>IF(AND(P$4&lt;=Org!$B$5,P86&gt;=0),P$4,"")</f>
        <v/>
      </c>
      <c r="Q87" s="22" t="str">
        <f>IF(AND(Q$4&lt;=Org!$B$5,Q86&gt;=0),Q$4,"")</f>
        <v/>
      </c>
      <c r="R87" s="22">
        <f>IF(AND(R$4&lt;=Org!$B$5,R86&gt;=0),R$4,"")</f>
        <v>14</v>
      </c>
      <c r="S87" s="22">
        <f>IF(AND(S$4&lt;=Org!$B$5,S86&gt;=0),S$4,"")</f>
        <v>15</v>
      </c>
      <c r="T87" s="22">
        <f>IF(AND(T$4&lt;=Org!$B$5,T86&gt;=0),T$4,"")</f>
        <v>16</v>
      </c>
      <c r="U87" s="22">
        <f>IF(AND(U$4&lt;=Org!$B$5,U86&gt;=0),U$4,"")</f>
        <v>17</v>
      </c>
      <c r="V87" s="22">
        <f>IF(AND(V$4&lt;=Org!$B$5,V86&gt;=0),V$4,"")</f>
        <v>18</v>
      </c>
      <c r="W87" s="22">
        <f>IF(AND(W$4&lt;=Org!$B$5,W86&gt;=0),W$4,"")</f>
        <v>19</v>
      </c>
      <c r="X87" s="22">
        <f>IF(AND(X$4&lt;=Org!$B$5,X86&gt;=0),X$4,"")</f>
        <v>20</v>
      </c>
      <c r="Y87" s="22">
        <f>IF(AND(Y$4&lt;=Org!$B$5,Y86&gt;=0),Y$4,"")</f>
        <v>21</v>
      </c>
      <c r="Z87" s="22">
        <f>IF(AND(Z$4&lt;=Org!$B$5,Z86&gt;=0),Z$4,"")</f>
        <v>22</v>
      </c>
      <c r="AA87" s="22">
        <f>IF(AND(AA$4&lt;=Org!$B$5,AA86&gt;=0),AA$4,"")</f>
        <v>23</v>
      </c>
      <c r="AB87" s="22">
        <f>IF(AND(AB$4&lt;=Org!$B$5,AB86&gt;=0),AB$4,"")</f>
        <v>24</v>
      </c>
      <c r="AC87" s="22">
        <f>IF(AND(AC$4&lt;=Org!$B$5,AC86&gt;=0),AC$4,"")</f>
        <v>25</v>
      </c>
      <c r="AD87" s="22">
        <f>IF(AND(AD$4&lt;=Org!$B$5,AD86&gt;=0),AD$4,"")</f>
        <v>26</v>
      </c>
      <c r="AE87" s="22">
        <f>IF(AND(AE$4&lt;=Org!$B$5,AE86&gt;=0),AE$4,"")</f>
        <v>27</v>
      </c>
      <c r="AF87" s="22">
        <f>IF(AND(AF$4&lt;=Org!$B$5,AF86&gt;=0),AF$4,"")</f>
        <v>28</v>
      </c>
      <c r="AG87" s="22">
        <f>IF(AND(AG$4&lt;=Org!$B$5,AG86&gt;=0),AG$4,"")</f>
        <v>29</v>
      </c>
      <c r="AH87" s="22">
        <f>IF(AND(AH$4&lt;=Org!$B$5,AH86&gt;=0),AH$4,"")</f>
        <v>30</v>
      </c>
      <c r="AI87" s="22">
        <f>IF(AND(AI$4&lt;=Org!$B$5,AI86&gt;=0),AI$4,"")</f>
        <v>31</v>
      </c>
      <c r="AJ87" s="22">
        <f>IF(AND(AJ$4&lt;=Org!$B$5,AJ86&gt;=0),AJ$4,"")</f>
        <v>32</v>
      </c>
      <c r="AK87" s="22">
        <f>IF(AND(AK$4&lt;=Org!$B$5,AK86&gt;=0),AK$4,"")</f>
        <v>33</v>
      </c>
      <c r="AL87" s="22">
        <f>IF(AND(AL$4&lt;=Org!$B$5,AL86&gt;=0),AL$4,"")</f>
        <v>34</v>
      </c>
      <c r="AM87" s="22">
        <f>IF(AND(AM$4&lt;=Org!$B$5,AM86&gt;=0),AM$4,"")</f>
        <v>35</v>
      </c>
      <c r="AN87" s="22">
        <f>IF(AND(AN$4&lt;=Org!$B$5,AN86&gt;=0),AN$4,"")</f>
        <v>36</v>
      </c>
      <c r="AO87" s="22" t="str">
        <f>IF(AND(AO$4&lt;=Org!$B$5,AO86&gt;=0),AO$4,"")</f>
        <v/>
      </c>
      <c r="AP87" s="22" t="str">
        <f>IF(AND(AP$4&lt;=Org!$B$5,AP86&gt;=0),AP$4,"")</f>
        <v/>
      </c>
      <c r="AQ87" s="22" t="str">
        <f>IF(AND(AQ$4&lt;=Org!$B$5,AQ86&gt;=0),AQ$4,"")</f>
        <v/>
      </c>
      <c r="AR87" s="22" t="str">
        <f>IF(AND(AR$4&lt;=Org!$B$5,AR86&gt;=0),AR$4,"")</f>
        <v/>
      </c>
      <c r="AS87" s="22" t="str">
        <f>IF(AND(AS$4&lt;=Org!$B$5,AS86&gt;=0),AS$4,"")</f>
        <v/>
      </c>
      <c r="AT87" s="22" t="str">
        <f>IF(AND(AT$4&lt;=Org!$B$5,AT86&gt;=0),AT$4,"")</f>
        <v/>
      </c>
      <c r="AU87" s="22" t="str">
        <f>IF(AND(AU$4&lt;=Org!$B$5,AU86&gt;=0),AU$4,"")</f>
        <v/>
      </c>
      <c r="AV87" s="22" t="str">
        <f>IF(AND(AV$4&lt;=Org!$B$5,AV86&gt;=0),AV$4,"")</f>
        <v/>
      </c>
      <c r="AW87" s="22" t="str">
        <f>IF(AND(AW$4&lt;=Org!$B$5,AW86&gt;=0),AW$4,"")</f>
        <v/>
      </c>
      <c r="AX87" s="22" t="str">
        <f>IF(AND(AX$4&lt;=Org!$B$5,AX86&gt;=0),AX$4,"")</f>
        <v/>
      </c>
      <c r="AY87" s="22" t="str">
        <f>IF(AND(AY$4&lt;=Org!$B$5,AY86&gt;=0),AY$4,"")</f>
        <v/>
      </c>
      <c r="AZ87" s="22" t="str">
        <f>IF(AND(AZ$4&lt;=Org!$B$5,AZ86&gt;=0),AZ$4,"")</f>
        <v/>
      </c>
      <c r="BA87" s="22" t="str">
        <f>IF(AND(BA$4&lt;=Org!$B$5,BA86&gt;=0),BA$4,"")</f>
        <v/>
      </c>
      <c r="BB87" s="22" t="str">
        <f>IF(AND(BB$4&lt;=Org!$B$5,BB86&gt;=0),BB$4,"")</f>
        <v/>
      </c>
      <c r="BC87" s="22" t="str">
        <f>IF(AND(BC$4&lt;=Org!$B$5,BC86&gt;=0),BC$4,"")</f>
        <v/>
      </c>
      <c r="BD87" s="22" t="str">
        <f>IF(AND(BD$4&lt;=Org!$B$5,BD86&gt;=0),BD$4,"")</f>
        <v/>
      </c>
      <c r="BE87" s="22" t="str">
        <f>IF(AND(BE$4&lt;=Org!$B$5,BE86&gt;=0),BE$4,"")</f>
        <v/>
      </c>
      <c r="BF87" s="22" t="str">
        <f>IF(AND(BF$4&lt;=Org!$B$5,BF86&gt;=0),BF$4,"")</f>
        <v/>
      </c>
      <c r="BG87" s="22" t="str">
        <f>IF(AND(BG$4&lt;=Org!$B$5,BG86&gt;=0),BG$4,"")</f>
        <v/>
      </c>
      <c r="BH87" s="22" t="str">
        <f>IF(AND(BH$4&lt;=Org!$B$5,BH86&gt;=0),BH$4,"")</f>
        <v/>
      </c>
      <c r="BI87" s="22" t="str">
        <f>IF(AND(BI$4&lt;=Org!$B$5,BI86&gt;=0),BI$4,"")</f>
        <v/>
      </c>
      <c r="BJ87" s="22" t="str">
        <f>IF(AND(BJ$4&lt;=Org!$B$5,BJ86&gt;=0),BJ$4,"")</f>
        <v/>
      </c>
      <c r="BK87" s="22" t="str">
        <f>IF(AND(BK$4&lt;=Org!$B$5,BK86&gt;=0),BK$4,"")</f>
        <v/>
      </c>
      <c r="BL87" s="22" t="str">
        <f>IF(AND(BL$4&lt;=Org!$B$5,BL86&gt;=0),BL$4,"")</f>
        <v/>
      </c>
    </row>
    <row r="89" spans="1:64" x14ac:dyDescent="0.3">
      <c r="A89" s="17" t="str">
        <f>Teams!$F$4</f>
        <v>Regulated document review</v>
      </c>
      <c r="B89" s="18" t="s">
        <v>1009</v>
      </c>
      <c r="C89" s="50">
        <f>(Teams!$F$29*(1-Teams!$F$31)*Params!$E$39*Params!$E$21*IF(Teams!$F$36="Yes",Params!$E$22,1)*Teams!$F$68*Teams!$F$70+Teams!$F$30*(1-Teams!$F$31)*Params!$E$39*Params!$E$21*IF(Teams!$F$36="Yes",Params!$E$22,1)*Teams!$F$69)/1000000*Teams!$F$71*Teams!$F$35</f>
        <v>0.10546305000000002</v>
      </c>
    </row>
    <row r="90" spans="1:64" x14ac:dyDescent="0.3">
      <c r="A90" s="8" t="s">
        <v>1010</v>
      </c>
      <c r="E90" s="26">
        <f>IF(E$4&lt;Teams!$F$80,0,IF(Teams!$F$22="S",MIN(1,(E$4-Teams!$F$80+1)/Teams!$F$21)^2*(3-2*MIN(1,(E$4-Teams!$F$80+1)/Teams!$F$21)),MIN(1,(E$4-Teams!$F$80+1)/Teams!$F$21)))</f>
        <v>0</v>
      </c>
      <c r="F90" s="26">
        <f>IF(F$4&lt;Teams!$F$80,0,IF(Teams!$F$22="S",MIN(1,(F$4-Teams!$F$80+1)/Teams!$F$21)^2*(3-2*MIN(1,(F$4-Teams!$F$80+1)/Teams!$F$21)),MIN(1,(F$4-Teams!$F$80+1)/Teams!$F$21)))</f>
        <v>0</v>
      </c>
      <c r="G90" s="26">
        <f>IF(G$4&lt;Teams!$F$80,0,IF(Teams!$F$22="S",MIN(1,(G$4-Teams!$F$80+1)/Teams!$F$21)^2*(3-2*MIN(1,(G$4-Teams!$F$80+1)/Teams!$F$21)),MIN(1,(G$4-Teams!$F$80+1)/Teams!$F$21)))</f>
        <v>0.10400000000000002</v>
      </c>
      <c r="H90" s="26">
        <f>IF(H$4&lt;Teams!$F$80,0,IF(Teams!$F$22="S",MIN(1,(H$4-Teams!$F$80+1)/Teams!$F$21)^2*(3-2*MIN(1,(H$4-Teams!$F$80+1)/Teams!$F$21)),MIN(1,(H$4-Teams!$F$80+1)/Teams!$F$21)))</f>
        <v>0.35200000000000009</v>
      </c>
      <c r="I90" s="26">
        <f>IF(I$4&lt;Teams!$F$80,0,IF(Teams!$F$22="S",MIN(1,(I$4-Teams!$F$80+1)/Teams!$F$21)^2*(3-2*MIN(1,(I$4-Teams!$F$80+1)/Teams!$F$21)),MIN(1,(I$4-Teams!$F$80+1)/Teams!$F$21)))</f>
        <v>0.64800000000000002</v>
      </c>
      <c r="J90" s="26">
        <f>IF(J$4&lt;Teams!$F$80,0,IF(Teams!$F$22="S",MIN(1,(J$4-Teams!$F$80+1)/Teams!$F$21)^2*(3-2*MIN(1,(J$4-Teams!$F$80+1)/Teams!$F$21)),MIN(1,(J$4-Teams!$F$80+1)/Teams!$F$21)))</f>
        <v>0.89600000000000013</v>
      </c>
      <c r="K90" s="26">
        <f>IF(K$4&lt;Teams!$F$80,0,IF(Teams!$F$22="S",MIN(1,(K$4-Teams!$F$80+1)/Teams!$F$21)^2*(3-2*MIN(1,(K$4-Teams!$F$80+1)/Teams!$F$21)),MIN(1,(K$4-Teams!$F$80+1)/Teams!$F$21)))</f>
        <v>1</v>
      </c>
      <c r="L90" s="26">
        <f>IF(L$4&lt;Teams!$F$80,0,IF(Teams!$F$22="S",MIN(1,(L$4-Teams!$F$80+1)/Teams!$F$21)^2*(3-2*MIN(1,(L$4-Teams!$F$80+1)/Teams!$F$21)),MIN(1,(L$4-Teams!$F$80+1)/Teams!$F$21)))</f>
        <v>1</v>
      </c>
      <c r="M90" s="26">
        <f>IF(M$4&lt;Teams!$F$80,0,IF(Teams!$F$22="S",MIN(1,(M$4-Teams!$F$80+1)/Teams!$F$21)^2*(3-2*MIN(1,(M$4-Teams!$F$80+1)/Teams!$F$21)),MIN(1,(M$4-Teams!$F$80+1)/Teams!$F$21)))</f>
        <v>1</v>
      </c>
      <c r="N90" s="26">
        <f>IF(N$4&lt;Teams!$F$80,0,IF(Teams!$F$22="S",MIN(1,(N$4-Teams!$F$80+1)/Teams!$F$21)^2*(3-2*MIN(1,(N$4-Teams!$F$80+1)/Teams!$F$21)),MIN(1,(N$4-Teams!$F$80+1)/Teams!$F$21)))</f>
        <v>1</v>
      </c>
      <c r="O90" s="26">
        <f>IF(O$4&lt;Teams!$F$80,0,IF(Teams!$F$22="S",MIN(1,(O$4-Teams!$F$80+1)/Teams!$F$21)^2*(3-2*MIN(1,(O$4-Teams!$F$80+1)/Teams!$F$21)),MIN(1,(O$4-Teams!$F$80+1)/Teams!$F$21)))</f>
        <v>1</v>
      </c>
      <c r="P90" s="26">
        <f>IF(P$4&lt;Teams!$F$80,0,IF(Teams!$F$22="S",MIN(1,(P$4-Teams!$F$80+1)/Teams!$F$21)^2*(3-2*MIN(1,(P$4-Teams!$F$80+1)/Teams!$F$21)),MIN(1,(P$4-Teams!$F$80+1)/Teams!$F$21)))</f>
        <v>1</v>
      </c>
      <c r="Q90" s="26">
        <f>IF(Q$4&lt;Teams!$F$80,0,IF(Teams!$F$22="S",MIN(1,(Q$4-Teams!$F$80+1)/Teams!$F$21)^2*(3-2*MIN(1,(Q$4-Teams!$F$80+1)/Teams!$F$21)),MIN(1,(Q$4-Teams!$F$80+1)/Teams!$F$21)))</f>
        <v>1</v>
      </c>
      <c r="R90" s="26">
        <f>IF(R$4&lt;Teams!$F$80,0,IF(Teams!$F$22="S",MIN(1,(R$4-Teams!$F$80+1)/Teams!$F$21)^2*(3-2*MIN(1,(R$4-Teams!$F$80+1)/Teams!$F$21)),MIN(1,(R$4-Teams!$F$80+1)/Teams!$F$21)))</f>
        <v>1</v>
      </c>
      <c r="S90" s="26">
        <f>IF(S$4&lt;Teams!$F$80,0,IF(Teams!$F$22="S",MIN(1,(S$4-Teams!$F$80+1)/Teams!$F$21)^2*(3-2*MIN(1,(S$4-Teams!$F$80+1)/Teams!$F$21)),MIN(1,(S$4-Teams!$F$80+1)/Teams!$F$21)))</f>
        <v>1</v>
      </c>
      <c r="T90" s="26">
        <f>IF(T$4&lt;Teams!$F$80,0,IF(Teams!$F$22="S",MIN(1,(T$4-Teams!$F$80+1)/Teams!$F$21)^2*(3-2*MIN(1,(T$4-Teams!$F$80+1)/Teams!$F$21)),MIN(1,(T$4-Teams!$F$80+1)/Teams!$F$21)))</f>
        <v>1</v>
      </c>
      <c r="U90" s="26">
        <f>IF(U$4&lt;Teams!$F$80,0,IF(Teams!$F$22="S",MIN(1,(U$4-Teams!$F$80+1)/Teams!$F$21)^2*(3-2*MIN(1,(U$4-Teams!$F$80+1)/Teams!$F$21)),MIN(1,(U$4-Teams!$F$80+1)/Teams!$F$21)))</f>
        <v>1</v>
      </c>
      <c r="V90" s="26">
        <f>IF(V$4&lt;Teams!$F$80,0,IF(Teams!$F$22="S",MIN(1,(V$4-Teams!$F$80+1)/Teams!$F$21)^2*(3-2*MIN(1,(V$4-Teams!$F$80+1)/Teams!$F$21)),MIN(1,(V$4-Teams!$F$80+1)/Teams!$F$21)))</f>
        <v>1</v>
      </c>
      <c r="W90" s="26">
        <f>IF(W$4&lt;Teams!$F$80,0,IF(Teams!$F$22="S",MIN(1,(W$4-Teams!$F$80+1)/Teams!$F$21)^2*(3-2*MIN(1,(W$4-Teams!$F$80+1)/Teams!$F$21)),MIN(1,(W$4-Teams!$F$80+1)/Teams!$F$21)))</f>
        <v>1</v>
      </c>
      <c r="X90" s="26">
        <f>IF(X$4&lt;Teams!$F$80,0,IF(Teams!$F$22="S",MIN(1,(X$4-Teams!$F$80+1)/Teams!$F$21)^2*(3-2*MIN(1,(X$4-Teams!$F$80+1)/Teams!$F$21)),MIN(1,(X$4-Teams!$F$80+1)/Teams!$F$21)))</f>
        <v>1</v>
      </c>
      <c r="Y90" s="26">
        <f>IF(Y$4&lt;Teams!$F$80,0,IF(Teams!$F$22="S",MIN(1,(Y$4-Teams!$F$80+1)/Teams!$F$21)^2*(3-2*MIN(1,(Y$4-Teams!$F$80+1)/Teams!$F$21)),MIN(1,(Y$4-Teams!$F$80+1)/Teams!$F$21)))</f>
        <v>1</v>
      </c>
      <c r="Z90" s="26">
        <f>IF(Z$4&lt;Teams!$F$80,0,IF(Teams!$F$22="S",MIN(1,(Z$4-Teams!$F$80+1)/Teams!$F$21)^2*(3-2*MIN(1,(Z$4-Teams!$F$80+1)/Teams!$F$21)),MIN(1,(Z$4-Teams!$F$80+1)/Teams!$F$21)))</f>
        <v>1</v>
      </c>
      <c r="AA90" s="26">
        <f>IF(AA$4&lt;Teams!$F$80,0,IF(Teams!$F$22="S",MIN(1,(AA$4-Teams!$F$80+1)/Teams!$F$21)^2*(3-2*MIN(1,(AA$4-Teams!$F$80+1)/Teams!$F$21)),MIN(1,(AA$4-Teams!$F$80+1)/Teams!$F$21)))</f>
        <v>1</v>
      </c>
      <c r="AB90" s="26">
        <f>IF(AB$4&lt;Teams!$F$80,0,IF(Teams!$F$22="S",MIN(1,(AB$4-Teams!$F$80+1)/Teams!$F$21)^2*(3-2*MIN(1,(AB$4-Teams!$F$80+1)/Teams!$F$21)),MIN(1,(AB$4-Teams!$F$80+1)/Teams!$F$21)))</f>
        <v>1</v>
      </c>
      <c r="AC90" s="26">
        <f>IF(AC$4&lt;Teams!$F$80,0,IF(Teams!$F$22="S",MIN(1,(AC$4-Teams!$F$80+1)/Teams!$F$21)^2*(3-2*MIN(1,(AC$4-Teams!$F$80+1)/Teams!$F$21)),MIN(1,(AC$4-Teams!$F$80+1)/Teams!$F$21)))</f>
        <v>1</v>
      </c>
      <c r="AD90" s="26">
        <f>IF(AD$4&lt;Teams!$F$80,0,IF(Teams!$F$22="S",MIN(1,(AD$4-Teams!$F$80+1)/Teams!$F$21)^2*(3-2*MIN(1,(AD$4-Teams!$F$80+1)/Teams!$F$21)),MIN(1,(AD$4-Teams!$F$80+1)/Teams!$F$21)))</f>
        <v>1</v>
      </c>
      <c r="AE90" s="26">
        <f>IF(AE$4&lt;Teams!$F$80,0,IF(Teams!$F$22="S",MIN(1,(AE$4-Teams!$F$80+1)/Teams!$F$21)^2*(3-2*MIN(1,(AE$4-Teams!$F$80+1)/Teams!$F$21)),MIN(1,(AE$4-Teams!$F$80+1)/Teams!$F$21)))</f>
        <v>1</v>
      </c>
      <c r="AF90" s="26">
        <f>IF(AF$4&lt;Teams!$F$80,0,IF(Teams!$F$22="S",MIN(1,(AF$4-Teams!$F$80+1)/Teams!$F$21)^2*(3-2*MIN(1,(AF$4-Teams!$F$80+1)/Teams!$F$21)),MIN(1,(AF$4-Teams!$F$80+1)/Teams!$F$21)))</f>
        <v>1</v>
      </c>
      <c r="AG90" s="26">
        <f>IF(AG$4&lt;Teams!$F$80,0,IF(Teams!$F$22="S",MIN(1,(AG$4-Teams!$F$80+1)/Teams!$F$21)^2*(3-2*MIN(1,(AG$4-Teams!$F$80+1)/Teams!$F$21)),MIN(1,(AG$4-Teams!$F$80+1)/Teams!$F$21)))</f>
        <v>1</v>
      </c>
      <c r="AH90" s="26">
        <f>IF(AH$4&lt;Teams!$F$80,0,IF(Teams!$F$22="S",MIN(1,(AH$4-Teams!$F$80+1)/Teams!$F$21)^2*(3-2*MIN(1,(AH$4-Teams!$F$80+1)/Teams!$F$21)),MIN(1,(AH$4-Teams!$F$80+1)/Teams!$F$21)))</f>
        <v>1</v>
      </c>
      <c r="AI90" s="26">
        <f>IF(AI$4&lt;Teams!$F$80,0,IF(Teams!$F$22="S",MIN(1,(AI$4-Teams!$F$80+1)/Teams!$F$21)^2*(3-2*MIN(1,(AI$4-Teams!$F$80+1)/Teams!$F$21)),MIN(1,(AI$4-Teams!$F$80+1)/Teams!$F$21)))</f>
        <v>1</v>
      </c>
      <c r="AJ90" s="26">
        <f>IF(AJ$4&lt;Teams!$F$80,0,IF(Teams!$F$22="S",MIN(1,(AJ$4-Teams!$F$80+1)/Teams!$F$21)^2*(3-2*MIN(1,(AJ$4-Teams!$F$80+1)/Teams!$F$21)),MIN(1,(AJ$4-Teams!$F$80+1)/Teams!$F$21)))</f>
        <v>1</v>
      </c>
      <c r="AK90" s="26">
        <f>IF(AK$4&lt;Teams!$F$80,0,IF(Teams!$F$22="S",MIN(1,(AK$4-Teams!$F$80+1)/Teams!$F$21)^2*(3-2*MIN(1,(AK$4-Teams!$F$80+1)/Teams!$F$21)),MIN(1,(AK$4-Teams!$F$80+1)/Teams!$F$21)))</f>
        <v>1</v>
      </c>
      <c r="AL90" s="26">
        <f>IF(AL$4&lt;Teams!$F$80,0,IF(Teams!$F$22="S",MIN(1,(AL$4-Teams!$F$80+1)/Teams!$F$21)^2*(3-2*MIN(1,(AL$4-Teams!$F$80+1)/Teams!$F$21)),MIN(1,(AL$4-Teams!$F$80+1)/Teams!$F$21)))</f>
        <v>1</v>
      </c>
      <c r="AM90" s="26">
        <f>IF(AM$4&lt;Teams!$F$80,0,IF(Teams!$F$22="S",MIN(1,(AM$4-Teams!$F$80+1)/Teams!$F$21)^2*(3-2*MIN(1,(AM$4-Teams!$F$80+1)/Teams!$F$21)),MIN(1,(AM$4-Teams!$F$80+1)/Teams!$F$21)))</f>
        <v>1</v>
      </c>
      <c r="AN90" s="26">
        <f>IF(AN$4&lt;Teams!$F$80,0,IF(Teams!$F$22="S",MIN(1,(AN$4-Teams!$F$80+1)/Teams!$F$21)^2*(3-2*MIN(1,(AN$4-Teams!$F$80+1)/Teams!$F$21)),MIN(1,(AN$4-Teams!$F$80+1)/Teams!$F$21)))</f>
        <v>1</v>
      </c>
      <c r="AO90" s="26">
        <f>IF(AO$4&lt;Teams!$F$80,0,IF(Teams!$F$22="S",MIN(1,(AO$4-Teams!$F$80+1)/Teams!$F$21)^2*(3-2*MIN(1,(AO$4-Teams!$F$80+1)/Teams!$F$21)),MIN(1,(AO$4-Teams!$F$80+1)/Teams!$F$21)))</f>
        <v>1</v>
      </c>
      <c r="AP90" s="26">
        <f>IF(AP$4&lt;Teams!$F$80,0,IF(Teams!$F$22="S",MIN(1,(AP$4-Teams!$F$80+1)/Teams!$F$21)^2*(3-2*MIN(1,(AP$4-Teams!$F$80+1)/Teams!$F$21)),MIN(1,(AP$4-Teams!$F$80+1)/Teams!$F$21)))</f>
        <v>1</v>
      </c>
      <c r="AQ90" s="26">
        <f>IF(AQ$4&lt;Teams!$F$80,0,IF(Teams!$F$22="S",MIN(1,(AQ$4-Teams!$F$80+1)/Teams!$F$21)^2*(3-2*MIN(1,(AQ$4-Teams!$F$80+1)/Teams!$F$21)),MIN(1,(AQ$4-Teams!$F$80+1)/Teams!$F$21)))</f>
        <v>1</v>
      </c>
      <c r="AR90" s="26">
        <f>IF(AR$4&lt;Teams!$F$80,0,IF(Teams!$F$22="S",MIN(1,(AR$4-Teams!$F$80+1)/Teams!$F$21)^2*(3-2*MIN(1,(AR$4-Teams!$F$80+1)/Teams!$F$21)),MIN(1,(AR$4-Teams!$F$80+1)/Teams!$F$21)))</f>
        <v>1</v>
      </c>
      <c r="AS90" s="26">
        <f>IF(AS$4&lt;Teams!$F$80,0,IF(Teams!$F$22="S",MIN(1,(AS$4-Teams!$F$80+1)/Teams!$F$21)^2*(3-2*MIN(1,(AS$4-Teams!$F$80+1)/Teams!$F$21)),MIN(1,(AS$4-Teams!$F$80+1)/Teams!$F$21)))</f>
        <v>1</v>
      </c>
      <c r="AT90" s="26">
        <f>IF(AT$4&lt;Teams!$F$80,0,IF(Teams!$F$22="S",MIN(1,(AT$4-Teams!$F$80+1)/Teams!$F$21)^2*(3-2*MIN(1,(AT$4-Teams!$F$80+1)/Teams!$F$21)),MIN(1,(AT$4-Teams!$F$80+1)/Teams!$F$21)))</f>
        <v>1</v>
      </c>
      <c r="AU90" s="26">
        <f>IF(AU$4&lt;Teams!$F$80,0,IF(Teams!$F$22="S",MIN(1,(AU$4-Teams!$F$80+1)/Teams!$F$21)^2*(3-2*MIN(1,(AU$4-Teams!$F$80+1)/Teams!$F$21)),MIN(1,(AU$4-Teams!$F$80+1)/Teams!$F$21)))</f>
        <v>1</v>
      </c>
      <c r="AV90" s="26">
        <f>IF(AV$4&lt;Teams!$F$80,0,IF(Teams!$F$22="S",MIN(1,(AV$4-Teams!$F$80+1)/Teams!$F$21)^2*(3-2*MIN(1,(AV$4-Teams!$F$80+1)/Teams!$F$21)),MIN(1,(AV$4-Teams!$F$80+1)/Teams!$F$21)))</f>
        <v>1</v>
      </c>
      <c r="AW90" s="26">
        <f>IF(AW$4&lt;Teams!$F$80,0,IF(Teams!$F$22="S",MIN(1,(AW$4-Teams!$F$80+1)/Teams!$F$21)^2*(3-2*MIN(1,(AW$4-Teams!$F$80+1)/Teams!$F$21)),MIN(1,(AW$4-Teams!$F$80+1)/Teams!$F$21)))</f>
        <v>1</v>
      </c>
      <c r="AX90" s="26">
        <f>IF(AX$4&lt;Teams!$F$80,0,IF(Teams!$F$22="S",MIN(1,(AX$4-Teams!$F$80+1)/Teams!$F$21)^2*(3-2*MIN(1,(AX$4-Teams!$F$80+1)/Teams!$F$21)),MIN(1,(AX$4-Teams!$F$80+1)/Teams!$F$21)))</f>
        <v>1</v>
      </c>
      <c r="AY90" s="26">
        <f>IF(AY$4&lt;Teams!$F$80,0,IF(Teams!$F$22="S",MIN(1,(AY$4-Teams!$F$80+1)/Teams!$F$21)^2*(3-2*MIN(1,(AY$4-Teams!$F$80+1)/Teams!$F$21)),MIN(1,(AY$4-Teams!$F$80+1)/Teams!$F$21)))</f>
        <v>1</v>
      </c>
      <c r="AZ90" s="26">
        <f>IF(AZ$4&lt;Teams!$F$80,0,IF(Teams!$F$22="S",MIN(1,(AZ$4-Teams!$F$80+1)/Teams!$F$21)^2*(3-2*MIN(1,(AZ$4-Teams!$F$80+1)/Teams!$F$21)),MIN(1,(AZ$4-Teams!$F$80+1)/Teams!$F$21)))</f>
        <v>1</v>
      </c>
      <c r="BA90" s="26">
        <f>IF(BA$4&lt;Teams!$F$80,0,IF(Teams!$F$22="S",MIN(1,(BA$4-Teams!$F$80+1)/Teams!$F$21)^2*(3-2*MIN(1,(BA$4-Teams!$F$80+1)/Teams!$F$21)),MIN(1,(BA$4-Teams!$F$80+1)/Teams!$F$21)))</f>
        <v>1</v>
      </c>
      <c r="BB90" s="26">
        <f>IF(BB$4&lt;Teams!$F$80,0,IF(Teams!$F$22="S",MIN(1,(BB$4-Teams!$F$80+1)/Teams!$F$21)^2*(3-2*MIN(1,(BB$4-Teams!$F$80+1)/Teams!$F$21)),MIN(1,(BB$4-Teams!$F$80+1)/Teams!$F$21)))</f>
        <v>1</v>
      </c>
      <c r="BC90" s="26">
        <f>IF(BC$4&lt;Teams!$F$80,0,IF(Teams!$F$22="S",MIN(1,(BC$4-Teams!$F$80+1)/Teams!$F$21)^2*(3-2*MIN(1,(BC$4-Teams!$F$80+1)/Teams!$F$21)),MIN(1,(BC$4-Teams!$F$80+1)/Teams!$F$21)))</f>
        <v>1</v>
      </c>
      <c r="BD90" s="26">
        <f>IF(BD$4&lt;Teams!$F$80,0,IF(Teams!$F$22="S",MIN(1,(BD$4-Teams!$F$80+1)/Teams!$F$21)^2*(3-2*MIN(1,(BD$4-Teams!$F$80+1)/Teams!$F$21)),MIN(1,(BD$4-Teams!$F$80+1)/Teams!$F$21)))</f>
        <v>1</v>
      </c>
      <c r="BE90" s="26">
        <f>IF(BE$4&lt;Teams!$F$80,0,IF(Teams!$F$22="S",MIN(1,(BE$4-Teams!$F$80+1)/Teams!$F$21)^2*(3-2*MIN(1,(BE$4-Teams!$F$80+1)/Teams!$F$21)),MIN(1,(BE$4-Teams!$F$80+1)/Teams!$F$21)))</f>
        <v>1</v>
      </c>
      <c r="BF90" s="26">
        <f>IF(BF$4&lt;Teams!$F$80,0,IF(Teams!$F$22="S",MIN(1,(BF$4-Teams!$F$80+1)/Teams!$F$21)^2*(3-2*MIN(1,(BF$4-Teams!$F$80+1)/Teams!$F$21)),MIN(1,(BF$4-Teams!$F$80+1)/Teams!$F$21)))</f>
        <v>1</v>
      </c>
      <c r="BG90" s="26">
        <f>IF(BG$4&lt;Teams!$F$80,0,IF(Teams!$F$22="S",MIN(1,(BG$4-Teams!$F$80+1)/Teams!$F$21)^2*(3-2*MIN(1,(BG$4-Teams!$F$80+1)/Teams!$F$21)),MIN(1,(BG$4-Teams!$F$80+1)/Teams!$F$21)))</f>
        <v>1</v>
      </c>
      <c r="BH90" s="26">
        <f>IF(BH$4&lt;Teams!$F$80,0,IF(Teams!$F$22="S",MIN(1,(BH$4-Teams!$F$80+1)/Teams!$F$21)^2*(3-2*MIN(1,(BH$4-Teams!$F$80+1)/Teams!$F$21)),MIN(1,(BH$4-Teams!$F$80+1)/Teams!$F$21)))</f>
        <v>1</v>
      </c>
      <c r="BI90" s="26">
        <f>IF(BI$4&lt;Teams!$F$80,0,IF(Teams!$F$22="S",MIN(1,(BI$4-Teams!$F$80+1)/Teams!$F$21)^2*(3-2*MIN(1,(BI$4-Teams!$F$80+1)/Teams!$F$21)),MIN(1,(BI$4-Teams!$F$80+1)/Teams!$F$21)))</f>
        <v>1</v>
      </c>
      <c r="BJ90" s="26">
        <f>IF(BJ$4&lt;Teams!$F$80,0,IF(Teams!$F$22="S",MIN(1,(BJ$4-Teams!$F$80+1)/Teams!$F$21)^2*(3-2*MIN(1,(BJ$4-Teams!$F$80+1)/Teams!$F$21)),MIN(1,(BJ$4-Teams!$F$80+1)/Teams!$F$21)))</f>
        <v>1</v>
      </c>
      <c r="BK90" s="26">
        <f>IF(BK$4&lt;Teams!$F$80,0,IF(Teams!$F$22="S",MIN(1,(BK$4-Teams!$F$80+1)/Teams!$F$21)^2*(3-2*MIN(1,(BK$4-Teams!$F$80+1)/Teams!$F$21)),MIN(1,(BK$4-Teams!$F$80+1)/Teams!$F$21)))</f>
        <v>1</v>
      </c>
      <c r="BL90" s="26">
        <f>IF(BL$4&lt;Teams!$F$80,0,IF(Teams!$F$22="S",MIN(1,(BL$4-Teams!$F$80+1)/Teams!$F$21)^2*(3-2*MIN(1,(BL$4-Teams!$F$80+1)/Teams!$F$21)),MIN(1,(BL$4-Teams!$F$80+1)/Teams!$F$21)))</f>
        <v>1</v>
      </c>
    </row>
    <row r="91" spans="1:64" x14ac:dyDescent="0.3">
      <c r="A91" s="8" t="s">
        <v>160</v>
      </c>
      <c r="E91" s="22">
        <f>IF(E$4&gt;=Teams!$F$80,Teams!$F$18,0)</f>
        <v>0</v>
      </c>
      <c r="F91" s="22">
        <f>IF(F$4&gt;=Teams!$F$80,Teams!$F$18,0)</f>
        <v>0</v>
      </c>
      <c r="G91" s="22">
        <f>IF(G$4&gt;=Teams!$F$80,Teams!$F$18,0)</f>
        <v>150</v>
      </c>
      <c r="H91" s="22">
        <f>IF(H$4&gt;=Teams!$F$80,Teams!$F$18,0)</f>
        <v>150</v>
      </c>
      <c r="I91" s="22">
        <f>IF(I$4&gt;=Teams!$F$80,Teams!$F$18,0)</f>
        <v>150</v>
      </c>
      <c r="J91" s="22">
        <f>IF(J$4&gt;=Teams!$F$80,Teams!$F$18,0)</f>
        <v>150</v>
      </c>
      <c r="K91" s="22">
        <f>IF(K$4&gt;=Teams!$F$80,Teams!$F$18,0)</f>
        <v>150</v>
      </c>
      <c r="L91" s="22">
        <f>IF(L$4&gt;=Teams!$F$80,Teams!$F$18,0)</f>
        <v>150</v>
      </c>
      <c r="M91" s="22">
        <f>IF(M$4&gt;=Teams!$F$80,Teams!$F$18,0)</f>
        <v>150</v>
      </c>
      <c r="N91" s="22">
        <f>IF(N$4&gt;=Teams!$F$80,Teams!$F$18,0)</f>
        <v>150</v>
      </c>
      <c r="O91" s="22">
        <f>IF(O$4&gt;=Teams!$F$80,Teams!$F$18,0)</f>
        <v>150</v>
      </c>
      <c r="P91" s="22">
        <f>IF(P$4&gt;=Teams!$F$80,Teams!$F$18,0)</f>
        <v>150</v>
      </c>
      <c r="Q91" s="22">
        <f>IF(Q$4&gt;=Teams!$F$80,Teams!$F$18,0)</f>
        <v>150</v>
      </c>
      <c r="R91" s="22">
        <f>IF(R$4&gt;=Teams!$F$80,Teams!$F$18,0)</f>
        <v>150</v>
      </c>
      <c r="S91" s="22">
        <f>IF(S$4&gt;=Teams!$F$80,Teams!$F$18,0)</f>
        <v>150</v>
      </c>
      <c r="T91" s="22">
        <f>IF(T$4&gt;=Teams!$F$80,Teams!$F$18,0)</f>
        <v>150</v>
      </c>
      <c r="U91" s="22">
        <f>IF(U$4&gt;=Teams!$F$80,Teams!$F$18,0)</f>
        <v>150</v>
      </c>
      <c r="V91" s="22">
        <f>IF(V$4&gt;=Teams!$F$80,Teams!$F$18,0)</f>
        <v>150</v>
      </c>
      <c r="W91" s="22">
        <f>IF(W$4&gt;=Teams!$F$80,Teams!$F$18,0)</f>
        <v>150</v>
      </c>
      <c r="X91" s="22">
        <f>IF(X$4&gt;=Teams!$F$80,Teams!$F$18,0)</f>
        <v>150</v>
      </c>
      <c r="Y91" s="22">
        <f>IF(Y$4&gt;=Teams!$F$80,Teams!$F$18,0)</f>
        <v>150</v>
      </c>
      <c r="Z91" s="22">
        <f>IF(Z$4&gt;=Teams!$F$80,Teams!$F$18,0)</f>
        <v>150</v>
      </c>
      <c r="AA91" s="22">
        <f>IF(AA$4&gt;=Teams!$F$80,Teams!$F$18,0)</f>
        <v>150</v>
      </c>
      <c r="AB91" s="22">
        <f>IF(AB$4&gt;=Teams!$F$80,Teams!$F$18,0)</f>
        <v>150</v>
      </c>
      <c r="AC91" s="22">
        <f>IF(AC$4&gt;=Teams!$F$80,Teams!$F$18,0)</f>
        <v>150</v>
      </c>
      <c r="AD91" s="22">
        <f>IF(AD$4&gt;=Teams!$F$80,Teams!$F$18,0)</f>
        <v>150</v>
      </c>
      <c r="AE91" s="22">
        <f>IF(AE$4&gt;=Teams!$F$80,Teams!$F$18,0)</f>
        <v>150</v>
      </c>
      <c r="AF91" s="22">
        <f>IF(AF$4&gt;=Teams!$F$80,Teams!$F$18,0)</f>
        <v>150</v>
      </c>
      <c r="AG91" s="22">
        <f>IF(AG$4&gt;=Teams!$F$80,Teams!$F$18,0)</f>
        <v>150</v>
      </c>
      <c r="AH91" s="22">
        <f>IF(AH$4&gt;=Teams!$F$80,Teams!$F$18,0)</f>
        <v>150</v>
      </c>
      <c r="AI91" s="22">
        <f>IF(AI$4&gt;=Teams!$F$80,Teams!$F$18,0)</f>
        <v>150</v>
      </c>
      <c r="AJ91" s="22">
        <f>IF(AJ$4&gt;=Teams!$F$80,Teams!$F$18,0)</f>
        <v>150</v>
      </c>
      <c r="AK91" s="22">
        <f>IF(AK$4&gt;=Teams!$F$80,Teams!$F$18,0)</f>
        <v>150</v>
      </c>
      <c r="AL91" s="22">
        <f>IF(AL$4&gt;=Teams!$F$80,Teams!$F$18,0)</f>
        <v>150</v>
      </c>
      <c r="AM91" s="22">
        <f>IF(AM$4&gt;=Teams!$F$80,Teams!$F$18,0)</f>
        <v>150</v>
      </c>
      <c r="AN91" s="22">
        <f>IF(AN$4&gt;=Teams!$F$80,Teams!$F$18,0)</f>
        <v>150</v>
      </c>
      <c r="AO91" s="22">
        <f>IF(AO$4&gt;=Teams!$F$80,Teams!$F$18,0)</f>
        <v>150</v>
      </c>
      <c r="AP91" s="22">
        <f>IF(AP$4&gt;=Teams!$F$80,Teams!$F$18,0)</f>
        <v>150</v>
      </c>
      <c r="AQ91" s="22">
        <f>IF(AQ$4&gt;=Teams!$F$80,Teams!$F$18,0)</f>
        <v>150</v>
      </c>
      <c r="AR91" s="22">
        <f>IF(AR$4&gt;=Teams!$F$80,Teams!$F$18,0)</f>
        <v>150</v>
      </c>
      <c r="AS91" s="22">
        <f>IF(AS$4&gt;=Teams!$F$80,Teams!$F$18,0)</f>
        <v>150</v>
      </c>
      <c r="AT91" s="22">
        <f>IF(AT$4&gt;=Teams!$F$80,Teams!$F$18,0)</f>
        <v>150</v>
      </c>
      <c r="AU91" s="22">
        <f>IF(AU$4&gt;=Teams!$F$80,Teams!$F$18,0)</f>
        <v>150</v>
      </c>
      <c r="AV91" s="22">
        <f>IF(AV$4&gt;=Teams!$F$80,Teams!$F$18,0)</f>
        <v>150</v>
      </c>
      <c r="AW91" s="22">
        <f>IF(AW$4&gt;=Teams!$F$80,Teams!$F$18,0)</f>
        <v>150</v>
      </c>
      <c r="AX91" s="22">
        <f>IF(AX$4&gt;=Teams!$F$80,Teams!$F$18,0)</f>
        <v>150</v>
      </c>
      <c r="AY91" s="22">
        <f>IF(AY$4&gt;=Teams!$F$80,Teams!$F$18,0)</f>
        <v>150</v>
      </c>
      <c r="AZ91" s="22">
        <f>IF(AZ$4&gt;=Teams!$F$80,Teams!$F$18,0)</f>
        <v>150</v>
      </c>
      <c r="BA91" s="22">
        <f>IF(BA$4&gt;=Teams!$F$80,Teams!$F$18,0)</f>
        <v>150</v>
      </c>
      <c r="BB91" s="22">
        <f>IF(BB$4&gt;=Teams!$F$80,Teams!$F$18,0)</f>
        <v>150</v>
      </c>
      <c r="BC91" s="22">
        <f>IF(BC$4&gt;=Teams!$F$80,Teams!$F$18,0)</f>
        <v>150</v>
      </c>
      <c r="BD91" s="22">
        <f>IF(BD$4&gt;=Teams!$F$80,Teams!$F$18,0)</f>
        <v>150</v>
      </c>
      <c r="BE91" s="22">
        <f>IF(BE$4&gt;=Teams!$F$80,Teams!$F$18,0)</f>
        <v>150</v>
      </c>
      <c r="BF91" s="22">
        <f>IF(BF$4&gt;=Teams!$F$80,Teams!$F$18,0)</f>
        <v>150</v>
      </c>
      <c r="BG91" s="22">
        <f>IF(BG$4&gt;=Teams!$F$80,Teams!$F$18,0)</f>
        <v>150</v>
      </c>
      <c r="BH91" s="22">
        <f>IF(BH$4&gt;=Teams!$F$80,Teams!$F$18,0)</f>
        <v>150</v>
      </c>
      <c r="BI91" s="22">
        <f>IF(BI$4&gt;=Teams!$F$80,Teams!$F$18,0)</f>
        <v>150</v>
      </c>
      <c r="BJ91" s="22">
        <f>IF(BJ$4&gt;=Teams!$F$80,Teams!$F$18,0)</f>
        <v>150</v>
      </c>
      <c r="BK91" s="22">
        <f>IF(BK$4&gt;=Teams!$F$80,Teams!$F$18,0)</f>
        <v>150</v>
      </c>
      <c r="BL91" s="22">
        <f>IF(BL$4&gt;=Teams!$F$80,Teams!$F$18,0)</f>
        <v>150</v>
      </c>
    </row>
    <row r="92" spans="1:64" x14ac:dyDescent="0.3">
      <c r="A92" s="8" t="s">
        <v>1011</v>
      </c>
      <c r="C92" s="22">
        <f>SUMPRODUCT(E92:BL92,E$5:BL$5)</f>
        <v>3360</v>
      </c>
      <c r="E92" s="22">
        <f>E91*Teams!$F$19*E90</f>
        <v>0</v>
      </c>
      <c r="F92" s="22">
        <f>F91*Teams!$F$19*F90</f>
        <v>0</v>
      </c>
      <c r="G92" s="22">
        <f>G91*Teams!$F$19*G90</f>
        <v>10.920000000000002</v>
      </c>
      <c r="H92" s="22">
        <f>H91*Teams!$F$19*H90</f>
        <v>36.960000000000008</v>
      </c>
      <c r="I92" s="22">
        <f>I91*Teams!$F$19*I90</f>
        <v>68.040000000000006</v>
      </c>
      <c r="J92" s="22">
        <f>J91*Teams!$F$19*J90</f>
        <v>94.080000000000013</v>
      </c>
      <c r="K92" s="22">
        <f>K91*Teams!$F$19*K90</f>
        <v>105</v>
      </c>
      <c r="L92" s="22">
        <f>L91*Teams!$F$19*L90</f>
        <v>105</v>
      </c>
      <c r="M92" s="22">
        <f>M91*Teams!$F$19*M90</f>
        <v>105</v>
      </c>
      <c r="N92" s="22">
        <f>N91*Teams!$F$19*N90</f>
        <v>105</v>
      </c>
      <c r="O92" s="22">
        <f>O91*Teams!$F$19*O90</f>
        <v>105</v>
      </c>
      <c r="P92" s="22">
        <f>P91*Teams!$F$19*P90</f>
        <v>105</v>
      </c>
      <c r="Q92" s="22">
        <f>Q91*Teams!$F$19*Q90</f>
        <v>105</v>
      </c>
      <c r="R92" s="22">
        <f>R91*Teams!$F$19*R90</f>
        <v>105</v>
      </c>
      <c r="S92" s="22">
        <f>S91*Teams!$F$19*S90</f>
        <v>105</v>
      </c>
      <c r="T92" s="22">
        <f>T91*Teams!$F$19*T90</f>
        <v>105</v>
      </c>
      <c r="U92" s="22">
        <f>U91*Teams!$F$19*U90</f>
        <v>105</v>
      </c>
      <c r="V92" s="22">
        <f>V91*Teams!$F$19*V90</f>
        <v>105</v>
      </c>
      <c r="W92" s="22">
        <f>W91*Teams!$F$19*W90</f>
        <v>105</v>
      </c>
      <c r="X92" s="22">
        <f>X91*Teams!$F$19*X90</f>
        <v>105</v>
      </c>
      <c r="Y92" s="22">
        <f>Y91*Teams!$F$19*Y90</f>
        <v>105</v>
      </c>
      <c r="Z92" s="22">
        <f>Z91*Teams!$F$19*Z90</f>
        <v>105</v>
      </c>
      <c r="AA92" s="22">
        <f>AA91*Teams!$F$19*AA90</f>
        <v>105</v>
      </c>
      <c r="AB92" s="22">
        <f>AB91*Teams!$F$19*AB90</f>
        <v>105</v>
      </c>
      <c r="AC92" s="22">
        <f>AC91*Teams!$F$19*AC90</f>
        <v>105</v>
      </c>
      <c r="AD92" s="22">
        <f>AD91*Teams!$F$19*AD90</f>
        <v>105</v>
      </c>
      <c r="AE92" s="22">
        <f>AE91*Teams!$F$19*AE90</f>
        <v>105</v>
      </c>
      <c r="AF92" s="22">
        <f>AF91*Teams!$F$19*AF90</f>
        <v>105</v>
      </c>
      <c r="AG92" s="22">
        <f>AG91*Teams!$F$19*AG90</f>
        <v>105</v>
      </c>
      <c r="AH92" s="22">
        <f>AH91*Teams!$F$19*AH90</f>
        <v>105</v>
      </c>
      <c r="AI92" s="22">
        <f>AI91*Teams!$F$19*AI90</f>
        <v>105</v>
      </c>
      <c r="AJ92" s="22">
        <f>AJ91*Teams!$F$19*AJ90</f>
        <v>105</v>
      </c>
      <c r="AK92" s="22">
        <f>AK91*Teams!$F$19*AK90</f>
        <v>105</v>
      </c>
      <c r="AL92" s="22">
        <f>AL91*Teams!$F$19*AL90</f>
        <v>105</v>
      </c>
      <c r="AM92" s="22">
        <f>AM91*Teams!$F$19*AM90</f>
        <v>105</v>
      </c>
      <c r="AN92" s="22">
        <f>AN91*Teams!$F$19*AN90</f>
        <v>105</v>
      </c>
      <c r="AO92" s="22">
        <f>AO91*Teams!$F$19*AO90</f>
        <v>105</v>
      </c>
      <c r="AP92" s="22">
        <f>AP91*Teams!$F$19*AP90</f>
        <v>105</v>
      </c>
      <c r="AQ92" s="22">
        <f>AQ91*Teams!$F$19*AQ90</f>
        <v>105</v>
      </c>
      <c r="AR92" s="22">
        <f>AR91*Teams!$F$19*AR90</f>
        <v>105</v>
      </c>
      <c r="AS92" s="22">
        <f>AS91*Teams!$F$19*AS90</f>
        <v>105</v>
      </c>
      <c r="AT92" s="22">
        <f>AT91*Teams!$F$19*AT90</f>
        <v>105</v>
      </c>
      <c r="AU92" s="22">
        <f>AU91*Teams!$F$19*AU90</f>
        <v>105</v>
      </c>
      <c r="AV92" s="22">
        <f>AV91*Teams!$F$19*AV90</f>
        <v>105</v>
      </c>
      <c r="AW92" s="22">
        <f>AW91*Teams!$F$19*AW90</f>
        <v>105</v>
      </c>
      <c r="AX92" s="22">
        <f>AX91*Teams!$F$19*AX90</f>
        <v>105</v>
      </c>
      <c r="AY92" s="22">
        <f>AY91*Teams!$F$19*AY90</f>
        <v>105</v>
      </c>
      <c r="AZ92" s="22">
        <f>AZ91*Teams!$F$19*AZ90</f>
        <v>105</v>
      </c>
      <c r="BA92" s="22">
        <f>BA91*Teams!$F$19*BA90</f>
        <v>105</v>
      </c>
      <c r="BB92" s="22">
        <f>BB91*Teams!$F$19*BB90</f>
        <v>105</v>
      </c>
      <c r="BC92" s="22">
        <f>BC91*Teams!$F$19*BC90</f>
        <v>105</v>
      </c>
      <c r="BD92" s="22">
        <f>BD91*Teams!$F$19*BD90</f>
        <v>105</v>
      </c>
      <c r="BE92" s="22">
        <f>BE91*Teams!$F$19*BE90</f>
        <v>105</v>
      </c>
      <c r="BF92" s="22">
        <f>BF91*Teams!$F$19*BF90</f>
        <v>105</v>
      </c>
      <c r="BG92" s="22">
        <f>BG91*Teams!$F$19*BG90</f>
        <v>105</v>
      </c>
      <c r="BH92" s="22">
        <f>BH91*Teams!$F$19*BH90</f>
        <v>105</v>
      </c>
      <c r="BI92" s="22">
        <f>BI91*Teams!$F$19*BI90</f>
        <v>105</v>
      </c>
      <c r="BJ92" s="22">
        <f>BJ91*Teams!$F$19*BJ90</f>
        <v>105</v>
      </c>
      <c r="BK92" s="22">
        <f>BK91*Teams!$F$19*BK90</f>
        <v>105</v>
      </c>
      <c r="BL92" s="22">
        <f>BL91*Teams!$F$19*BL90</f>
        <v>105</v>
      </c>
    </row>
    <row r="93" spans="1:64" x14ac:dyDescent="0.3">
      <c r="A93" s="8" t="s">
        <v>28</v>
      </c>
      <c r="C93" s="22">
        <f>SUMPRODUCT(E93:BL93,E$5:BL$5)</f>
        <v>403200</v>
      </c>
      <c r="E93" s="22">
        <f>IF(Teams!$F$23="per user",E92*Teams!$F$24,Teams!$F$25*E90)</f>
        <v>0</v>
      </c>
      <c r="F93" s="22">
        <f>IF(Teams!$F$23="per user",F92*Teams!$F$24,Teams!$F$25*F90)</f>
        <v>0</v>
      </c>
      <c r="G93" s="22">
        <f>IF(Teams!$F$23="per user",G92*Teams!$F$24,Teams!$F$25*G90)</f>
        <v>1310.4000000000001</v>
      </c>
      <c r="H93" s="22">
        <f>IF(Teams!$F$23="per user",H92*Teams!$F$24,Teams!$F$25*H90)</f>
        <v>4435.2000000000007</v>
      </c>
      <c r="I93" s="22">
        <f>IF(Teams!$F$23="per user",I92*Teams!$F$24,Teams!$F$25*I90)</f>
        <v>8164.8000000000011</v>
      </c>
      <c r="J93" s="22">
        <f>IF(Teams!$F$23="per user",J92*Teams!$F$24,Teams!$F$25*J90)</f>
        <v>11289.600000000002</v>
      </c>
      <c r="K93" s="22">
        <f>IF(Teams!$F$23="per user",K92*Teams!$F$24,Teams!$F$25*K90)</f>
        <v>12600</v>
      </c>
      <c r="L93" s="22">
        <f>IF(Teams!$F$23="per user",L92*Teams!$F$24,Teams!$F$25*L90)</f>
        <v>12600</v>
      </c>
      <c r="M93" s="22">
        <f>IF(Teams!$F$23="per user",M92*Teams!$F$24,Teams!$F$25*M90)</f>
        <v>12600</v>
      </c>
      <c r="N93" s="22">
        <f>IF(Teams!$F$23="per user",N92*Teams!$F$24,Teams!$F$25*N90)</f>
        <v>12600</v>
      </c>
      <c r="O93" s="22">
        <f>IF(Teams!$F$23="per user",O92*Teams!$F$24,Teams!$F$25*O90)</f>
        <v>12600</v>
      </c>
      <c r="P93" s="22">
        <f>IF(Teams!$F$23="per user",P92*Teams!$F$24,Teams!$F$25*P90)</f>
        <v>12600</v>
      </c>
      <c r="Q93" s="22">
        <f>IF(Teams!$F$23="per user",Q92*Teams!$F$24,Teams!$F$25*Q90)</f>
        <v>12600</v>
      </c>
      <c r="R93" s="22">
        <f>IF(Teams!$F$23="per user",R92*Teams!$F$24,Teams!$F$25*R90)</f>
        <v>12600</v>
      </c>
      <c r="S93" s="22">
        <f>IF(Teams!$F$23="per user",S92*Teams!$F$24,Teams!$F$25*S90)</f>
        <v>12600</v>
      </c>
      <c r="T93" s="22">
        <f>IF(Teams!$F$23="per user",T92*Teams!$F$24,Teams!$F$25*T90)</f>
        <v>12600</v>
      </c>
      <c r="U93" s="22">
        <f>IF(Teams!$F$23="per user",U92*Teams!$F$24,Teams!$F$25*U90)</f>
        <v>12600</v>
      </c>
      <c r="V93" s="22">
        <f>IF(Teams!$F$23="per user",V92*Teams!$F$24,Teams!$F$25*V90)</f>
        <v>12600</v>
      </c>
      <c r="W93" s="22">
        <f>IF(Teams!$F$23="per user",W92*Teams!$F$24,Teams!$F$25*W90)</f>
        <v>12600</v>
      </c>
      <c r="X93" s="22">
        <f>IF(Teams!$F$23="per user",X92*Teams!$F$24,Teams!$F$25*X90)</f>
        <v>12600</v>
      </c>
      <c r="Y93" s="22">
        <f>IF(Teams!$F$23="per user",Y92*Teams!$F$24,Teams!$F$25*Y90)</f>
        <v>12600</v>
      </c>
      <c r="Z93" s="22">
        <f>IF(Teams!$F$23="per user",Z92*Teams!$F$24,Teams!$F$25*Z90)</f>
        <v>12600</v>
      </c>
      <c r="AA93" s="22">
        <f>IF(Teams!$F$23="per user",AA92*Teams!$F$24,Teams!$F$25*AA90)</f>
        <v>12600</v>
      </c>
      <c r="AB93" s="22">
        <f>IF(Teams!$F$23="per user",AB92*Teams!$F$24,Teams!$F$25*AB90)</f>
        <v>12600</v>
      </c>
      <c r="AC93" s="22">
        <f>IF(Teams!$F$23="per user",AC92*Teams!$F$24,Teams!$F$25*AC90)</f>
        <v>12600</v>
      </c>
      <c r="AD93" s="22">
        <f>IF(Teams!$F$23="per user",AD92*Teams!$F$24,Teams!$F$25*AD90)</f>
        <v>12600</v>
      </c>
      <c r="AE93" s="22">
        <f>IF(Teams!$F$23="per user",AE92*Teams!$F$24,Teams!$F$25*AE90)</f>
        <v>12600</v>
      </c>
      <c r="AF93" s="22">
        <f>IF(Teams!$F$23="per user",AF92*Teams!$F$24,Teams!$F$25*AF90)</f>
        <v>12600</v>
      </c>
      <c r="AG93" s="22">
        <f>IF(Teams!$F$23="per user",AG92*Teams!$F$24,Teams!$F$25*AG90)</f>
        <v>12600</v>
      </c>
      <c r="AH93" s="22">
        <f>IF(Teams!$F$23="per user",AH92*Teams!$F$24,Teams!$F$25*AH90)</f>
        <v>12600</v>
      </c>
      <c r="AI93" s="22">
        <f>IF(Teams!$F$23="per user",AI92*Teams!$F$24,Teams!$F$25*AI90)</f>
        <v>12600</v>
      </c>
      <c r="AJ93" s="22">
        <f>IF(Teams!$F$23="per user",AJ92*Teams!$F$24,Teams!$F$25*AJ90)</f>
        <v>12600</v>
      </c>
      <c r="AK93" s="22">
        <f>IF(Teams!$F$23="per user",AK92*Teams!$F$24,Teams!$F$25*AK90)</f>
        <v>12600</v>
      </c>
      <c r="AL93" s="22">
        <f>IF(Teams!$F$23="per user",AL92*Teams!$F$24,Teams!$F$25*AL90)</f>
        <v>12600</v>
      </c>
      <c r="AM93" s="22">
        <f>IF(Teams!$F$23="per user",AM92*Teams!$F$24,Teams!$F$25*AM90)</f>
        <v>12600</v>
      </c>
      <c r="AN93" s="22">
        <f>IF(Teams!$F$23="per user",AN92*Teams!$F$24,Teams!$F$25*AN90)</f>
        <v>12600</v>
      </c>
      <c r="AO93" s="22">
        <f>IF(Teams!$F$23="per user",AO92*Teams!$F$24,Teams!$F$25*AO90)</f>
        <v>12600</v>
      </c>
      <c r="AP93" s="22">
        <f>IF(Teams!$F$23="per user",AP92*Teams!$F$24,Teams!$F$25*AP90)</f>
        <v>12600</v>
      </c>
      <c r="AQ93" s="22">
        <f>IF(Teams!$F$23="per user",AQ92*Teams!$F$24,Teams!$F$25*AQ90)</f>
        <v>12600</v>
      </c>
      <c r="AR93" s="22">
        <f>IF(Teams!$F$23="per user",AR92*Teams!$F$24,Teams!$F$25*AR90)</f>
        <v>12600</v>
      </c>
      <c r="AS93" s="22">
        <f>IF(Teams!$F$23="per user",AS92*Teams!$F$24,Teams!$F$25*AS90)</f>
        <v>12600</v>
      </c>
      <c r="AT93" s="22">
        <f>IF(Teams!$F$23="per user",AT92*Teams!$F$24,Teams!$F$25*AT90)</f>
        <v>12600</v>
      </c>
      <c r="AU93" s="22">
        <f>IF(Teams!$F$23="per user",AU92*Teams!$F$24,Teams!$F$25*AU90)</f>
        <v>12600</v>
      </c>
      <c r="AV93" s="22">
        <f>IF(Teams!$F$23="per user",AV92*Teams!$F$24,Teams!$F$25*AV90)</f>
        <v>12600</v>
      </c>
      <c r="AW93" s="22">
        <f>IF(Teams!$F$23="per user",AW92*Teams!$F$24,Teams!$F$25*AW90)</f>
        <v>12600</v>
      </c>
      <c r="AX93" s="22">
        <f>IF(Teams!$F$23="per user",AX92*Teams!$F$24,Teams!$F$25*AX90)</f>
        <v>12600</v>
      </c>
      <c r="AY93" s="22">
        <f>IF(Teams!$F$23="per user",AY92*Teams!$F$24,Teams!$F$25*AY90)</f>
        <v>12600</v>
      </c>
      <c r="AZ93" s="22">
        <f>IF(Teams!$F$23="per user",AZ92*Teams!$F$24,Teams!$F$25*AZ90)</f>
        <v>12600</v>
      </c>
      <c r="BA93" s="22">
        <f>IF(Teams!$F$23="per user",BA92*Teams!$F$24,Teams!$F$25*BA90)</f>
        <v>12600</v>
      </c>
      <c r="BB93" s="22">
        <f>IF(Teams!$F$23="per user",BB92*Teams!$F$24,Teams!$F$25*BB90)</f>
        <v>12600</v>
      </c>
      <c r="BC93" s="22">
        <f>IF(Teams!$F$23="per user",BC92*Teams!$F$24,Teams!$F$25*BC90)</f>
        <v>12600</v>
      </c>
      <c r="BD93" s="22">
        <f>IF(Teams!$F$23="per user",BD92*Teams!$F$24,Teams!$F$25*BD90)</f>
        <v>12600</v>
      </c>
      <c r="BE93" s="22">
        <f>IF(Teams!$F$23="per user",BE92*Teams!$F$24,Teams!$F$25*BE90)</f>
        <v>12600</v>
      </c>
      <c r="BF93" s="22">
        <f>IF(Teams!$F$23="per user",BF92*Teams!$F$24,Teams!$F$25*BF90)</f>
        <v>12600</v>
      </c>
      <c r="BG93" s="22">
        <f>IF(Teams!$F$23="per user",BG92*Teams!$F$24,Teams!$F$25*BG90)</f>
        <v>12600</v>
      </c>
      <c r="BH93" s="22">
        <f>IF(Teams!$F$23="per user",BH92*Teams!$F$24,Teams!$F$25*BH90)</f>
        <v>12600</v>
      </c>
      <c r="BI93" s="22">
        <f>IF(Teams!$F$23="per user",BI92*Teams!$F$24,Teams!$F$25*BI90)</f>
        <v>12600</v>
      </c>
      <c r="BJ93" s="22">
        <f>IF(Teams!$F$23="per user",BJ92*Teams!$F$24,Teams!$F$25*BJ90)</f>
        <v>12600</v>
      </c>
      <c r="BK93" s="22">
        <f>IF(Teams!$F$23="per user",BK92*Teams!$F$24,Teams!$F$25*BK90)</f>
        <v>12600</v>
      </c>
      <c r="BL93" s="22">
        <f>IF(Teams!$F$23="per user",BL92*Teams!$F$24,Teams!$F$25*BL90)</f>
        <v>12600</v>
      </c>
    </row>
    <row r="94" spans="1:64" x14ac:dyDescent="0.3">
      <c r="A94" s="8" t="s">
        <v>665</v>
      </c>
      <c r="B94" s="18" t="s">
        <v>435</v>
      </c>
      <c r="C94" s="44">
        <f t="shared" ref="C94:C112" si="29">SUM(D94:BL94)</f>
        <v>0</v>
      </c>
      <c r="E94" s="44">
        <f>E$5*Teams!$F$60*E91*Teams!$F$66</f>
        <v>0</v>
      </c>
      <c r="F94" s="44">
        <f>F$5*Teams!$F$60*F91*Teams!$F$66</f>
        <v>0</v>
      </c>
      <c r="G94" s="44">
        <f>G$5*Teams!$F$60*G91*Teams!$F$66</f>
        <v>0</v>
      </c>
      <c r="H94" s="44">
        <f>H$5*Teams!$F$60*H91*Teams!$F$66</f>
        <v>0</v>
      </c>
      <c r="I94" s="44">
        <f>I$5*Teams!$F$60*I91*Teams!$F$66</f>
        <v>0</v>
      </c>
      <c r="J94" s="44">
        <f>J$5*Teams!$F$60*J91*Teams!$F$66</f>
        <v>0</v>
      </c>
      <c r="K94" s="44">
        <f>K$5*Teams!$F$60*K91*Teams!$F$66</f>
        <v>0</v>
      </c>
      <c r="L94" s="44">
        <f>L$5*Teams!$F$60*L91*Teams!$F$66</f>
        <v>0</v>
      </c>
      <c r="M94" s="44">
        <f>M$5*Teams!$F$60*M91*Teams!$F$66</f>
        <v>0</v>
      </c>
      <c r="N94" s="44">
        <f>N$5*Teams!$F$60*N91*Teams!$F$66</f>
        <v>0</v>
      </c>
      <c r="O94" s="44">
        <f>O$5*Teams!$F$60*O91*Teams!$F$66</f>
        <v>0</v>
      </c>
      <c r="P94" s="44">
        <f>P$5*Teams!$F$60*P91*Teams!$F$66</f>
        <v>0</v>
      </c>
      <c r="Q94" s="44">
        <f>Q$5*Teams!$F$60*Q91*Teams!$F$66</f>
        <v>0</v>
      </c>
      <c r="R94" s="44">
        <f>R$5*Teams!$F$60*R91*Teams!$F$66</f>
        <v>0</v>
      </c>
      <c r="S94" s="44">
        <f>S$5*Teams!$F$60*S91*Teams!$F$66</f>
        <v>0</v>
      </c>
      <c r="T94" s="44">
        <f>T$5*Teams!$F$60*T91*Teams!$F$66</f>
        <v>0</v>
      </c>
      <c r="U94" s="44">
        <f>U$5*Teams!$F$60*U91*Teams!$F$66</f>
        <v>0</v>
      </c>
      <c r="V94" s="44">
        <f>V$5*Teams!$F$60*V91*Teams!$F$66</f>
        <v>0</v>
      </c>
      <c r="W94" s="44">
        <f>W$5*Teams!$F$60*W91*Teams!$F$66</f>
        <v>0</v>
      </c>
      <c r="X94" s="44">
        <f>X$5*Teams!$F$60*X91*Teams!$F$66</f>
        <v>0</v>
      </c>
      <c r="Y94" s="44">
        <f>Y$5*Teams!$F$60*Y91*Teams!$F$66</f>
        <v>0</v>
      </c>
      <c r="Z94" s="44">
        <f>Z$5*Teams!$F$60*Z91*Teams!$F$66</f>
        <v>0</v>
      </c>
      <c r="AA94" s="44">
        <f>AA$5*Teams!$F$60*AA91*Teams!$F$66</f>
        <v>0</v>
      </c>
      <c r="AB94" s="44">
        <f>AB$5*Teams!$F$60*AB91*Teams!$F$66</f>
        <v>0</v>
      </c>
      <c r="AC94" s="44">
        <f>AC$5*Teams!$F$60*AC91*Teams!$F$66</f>
        <v>0</v>
      </c>
      <c r="AD94" s="44">
        <f>AD$5*Teams!$F$60*AD91*Teams!$F$66</f>
        <v>0</v>
      </c>
      <c r="AE94" s="44">
        <f>AE$5*Teams!$F$60*AE91*Teams!$F$66</f>
        <v>0</v>
      </c>
      <c r="AF94" s="44">
        <f>AF$5*Teams!$F$60*AF91*Teams!$F$66</f>
        <v>0</v>
      </c>
      <c r="AG94" s="44">
        <f>AG$5*Teams!$F$60*AG91*Teams!$F$66</f>
        <v>0</v>
      </c>
      <c r="AH94" s="44">
        <f>AH$5*Teams!$F$60*AH91*Teams!$F$66</f>
        <v>0</v>
      </c>
      <c r="AI94" s="44">
        <f>AI$5*Teams!$F$60*AI91*Teams!$F$66</f>
        <v>0</v>
      </c>
      <c r="AJ94" s="44">
        <f>AJ$5*Teams!$F$60*AJ91*Teams!$F$66</f>
        <v>0</v>
      </c>
      <c r="AK94" s="44">
        <f>AK$5*Teams!$F$60*AK91*Teams!$F$66</f>
        <v>0</v>
      </c>
      <c r="AL94" s="44">
        <f>AL$5*Teams!$F$60*AL91*Teams!$F$66</f>
        <v>0</v>
      </c>
      <c r="AM94" s="44">
        <f>AM$5*Teams!$F$60*AM91*Teams!$F$66</f>
        <v>0</v>
      </c>
      <c r="AN94" s="44">
        <f>AN$5*Teams!$F$60*AN91*Teams!$F$66</f>
        <v>0</v>
      </c>
      <c r="AO94" s="44">
        <f>AO$5*Teams!$F$60*AO91*Teams!$F$66</f>
        <v>0</v>
      </c>
      <c r="AP94" s="44">
        <f>AP$5*Teams!$F$60*AP91*Teams!$F$66</f>
        <v>0</v>
      </c>
      <c r="AQ94" s="44">
        <f>AQ$5*Teams!$F$60*AQ91*Teams!$F$66</f>
        <v>0</v>
      </c>
      <c r="AR94" s="44">
        <f>AR$5*Teams!$F$60*AR91*Teams!$F$66</f>
        <v>0</v>
      </c>
      <c r="AS94" s="44">
        <f>AS$5*Teams!$F$60*AS91*Teams!$F$66</f>
        <v>0</v>
      </c>
      <c r="AT94" s="44">
        <f>AT$5*Teams!$F$60*AT91*Teams!$F$66</f>
        <v>0</v>
      </c>
      <c r="AU94" s="44">
        <f>AU$5*Teams!$F$60*AU91*Teams!$F$66</f>
        <v>0</v>
      </c>
      <c r="AV94" s="44">
        <f>AV$5*Teams!$F$60*AV91*Teams!$F$66</f>
        <v>0</v>
      </c>
      <c r="AW94" s="44">
        <f>AW$5*Teams!$F$60*AW91*Teams!$F$66</f>
        <v>0</v>
      </c>
      <c r="AX94" s="44">
        <f>AX$5*Teams!$F$60*AX91*Teams!$F$66</f>
        <v>0</v>
      </c>
      <c r="AY94" s="44">
        <f>AY$5*Teams!$F$60*AY91*Teams!$F$66</f>
        <v>0</v>
      </c>
      <c r="AZ94" s="44">
        <f>AZ$5*Teams!$F$60*AZ91*Teams!$F$66</f>
        <v>0</v>
      </c>
      <c r="BA94" s="44">
        <f>BA$5*Teams!$F$60*BA91*Teams!$F$66</f>
        <v>0</v>
      </c>
      <c r="BB94" s="44">
        <f>BB$5*Teams!$F$60*BB91*Teams!$F$66</f>
        <v>0</v>
      </c>
      <c r="BC94" s="44">
        <f>BC$5*Teams!$F$60*BC91*Teams!$F$66</f>
        <v>0</v>
      </c>
      <c r="BD94" s="44">
        <f>BD$5*Teams!$F$60*BD91*Teams!$F$66</f>
        <v>0</v>
      </c>
      <c r="BE94" s="44">
        <f>BE$5*Teams!$F$60*BE91*Teams!$F$66</f>
        <v>0</v>
      </c>
      <c r="BF94" s="44">
        <f>BF$5*Teams!$F$60*BF91*Teams!$F$66</f>
        <v>0</v>
      </c>
      <c r="BG94" s="44">
        <f>BG$5*Teams!$F$60*BG91*Teams!$F$66</f>
        <v>0</v>
      </c>
      <c r="BH94" s="44">
        <f>BH$5*Teams!$F$60*BH91*Teams!$F$66</f>
        <v>0</v>
      </c>
      <c r="BI94" s="44">
        <f>BI$5*Teams!$F$60*BI91*Teams!$F$66</f>
        <v>0</v>
      </c>
      <c r="BJ94" s="44">
        <f>BJ$5*Teams!$F$60*BJ91*Teams!$F$66</f>
        <v>0</v>
      </c>
      <c r="BK94" s="44">
        <f>BK$5*Teams!$F$60*BK91*Teams!$F$66</f>
        <v>0</v>
      </c>
      <c r="BL94" s="44">
        <f>BL$5*Teams!$F$60*BL91*Teams!$F$66</f>
        <v>0</v>
      </c>
    </row>
    <row r="95" spans="1:64" x14ac:dyDescent="0.3">
      <c r="A95" s="8" t="s">
        <v>666</v>
      </c>
      <c r="B95" s="18" t="s">
        <v>435</v>
      </c>
      <c r="C95" s="44">
        <f t="shared" si="29"/>
        <v>42522.701760000011</v>
      </c>
      <c r="E95" s="44">
        <f>E$5*IF(Teams!$F$61=1,E92*((1-Teams!$F$13)*MAX(0,Teams!$F$72*$C$89-Teams!$F$12)+Teams!$F$13*MAX(0,Teams!$F$73*$C$89-Teams!$F$12)),IF(Teams!$F$62=1,E93*$C$89,0))</f>
        <v>0</v>
      </c>
      <c r="F95" s="44">
        <f>F$5*IF(Teams!$F$61=1,F92*((1-Teams!$F$13)*MAX(0,Teams!$F$72*$C$89-Teams!$F$12)+Teams!$F$13*MAX(0,Teams!$F$73*$C$89-Teams!$F$12)),IF(Teams!$F$62=1,F93*$C$89,0))</f>
        <v>0</v>
      </c>
      <c r="G95" s="44">
        <f>G$5*IF(Teams!$F$61=1,G92*((1-Teams!$F$13)*MAX(0,Teams!$F$72*$C$89-Teams!$F$12)+Teams!$F$13*MAX(0,Teams!$F$73*$C$89-Teams!$F$12)),IF(Teams!$F$62=1,G93*$C$89,0))</f>
        <v>138.19878072000003</v>
      </c>
      <c r="H95" s="44">
        <f>H$5*IF(Teams!$F$61=1,H92*((1-Teams!$F$13)*MAX(0,Teams!$F$72*$C$89-Teams!$F$12)+Teams!$F$13*MAX(0,Teams!$F$73*$C$89-Teams!$F$12)),IF(Teams!$F$62=1,H93*$C$89,0))</f>
        <v>467.74971936000014</v>
      </c>
      <c r="I95" s="44">
        <f>I$5*IF(Teams!$F$61=1,I92*((1-Teams!$F$13)*MAX(0,Teams!$F$72*$C$89-Teams!$F$12)+Teams!$F$13*MAX(0,Teams!$F$73*$C$89-Teams!$F$12)),IF(Teams!$F$62=1,I93*$C$89,0))</f>
        <v>861.08471064000025</v>
      </c>
      <c r="J95" s="44">
        <f>J$5*IF(Teams!$F$61=1,J92*((1-Teams!$F$13)*MAX(0,Teams!$F$72*$C$89-Teams!$F$12)+Teams!$F$13*MAX(0,Teams!$F$73*$C$89-Teams!$F$12)),IF(Teams!$F$62=1,J93*$C$89,0))</f>
        <v>1190.6356492800005</v>
      </c>
      <c r="K95" s="44">
        <f>K$5*IF(Teams!$F$61=1,K92*((1-Teams!$F$13)*MAX(0,Teams!$F$72*$C$89-Teams!$F$12)+Teams!$F$13*MAX(0,Teams!$F$73*$C$89-Teams!$F$12)),IF(Teams!$F$62=1,K93*$C$89,0))</f>
        <v>1328.8344300000001</v>
      </c>
      <c r="L95" s="44">
        <f>L$5*IF(Teams!$F$61=1,L92*((1-Teams!$F$13)*MAX(0,Teams!$F$72*$C$89-Teams!$F$12)+Teams!$F$13*MAX(0,Teams!$F$73*$C$89-Teams!$F$12)),IF(Teams!$F$62=1,L93*$C$89,0))</f>
        <v>1328.8344300000001</v>
      </c>
      <c r="M95" s="44">
        <f>M$5*IF(Teams!$F$61=1,M92*((1-Teams!$F$13)*MAX(0,Teams!$F$72*$C$89-Teams!$F$12)+Teams!$F$13*MAX(0,Teams!$F$73*$C$89-Teams!$F$12)),IF(Teams!$F$62=1,M93*$C$89,0))</f>
        <v>1328.8344300000001</v>
      </c>
      <c r="N95" s="44">
        <f>N$5*IF(Teams!$F$61=1,N92*((1-Teams!$F$13)*MAX(0,Teams!$F$72*$C$89-Teams!$F$12)+Teams!$F$13*MAX(0,Teams!$F$73*$C$89-Teams!$F$12)),IF(Teams!$F$62=1,N93*$C$89,0))</f>
        <v>1328.8344300000001</v>
      </c>
      <c r="O95" s="44">
        <f>O$5*IF(Teams!$F$61=1,O92*((1-Teams!$F$13)*MAX(0,Teams!$F$72*$C$89-Teams!$F$12)+Teams!$F$13*MAX(0,Teams!$F$73*$C$89-Teams!$F$12)),IF(Teams!$F$62=1,O93*$C$89,0))</f>
        <v>1328.8344300000001</v>
      </c>
      <c r="P95" s="44">
        <f>P$5*IF(Teams!$F$61=1,P92*((1-Teams!$F$13)*MAX(0,Teams!$F$72*$C$89-Teams!$F$12)+Teams!$F$13*MAX(0,Teams!$F$73*$C$89-Teams!$F$12)),IF(Teams!$F$62=1,P93*$C$89,0))</f>
        <v>1328.8344300000001</v>
      </c>
      <c r="Q95" s="44">
        <f>Q$5*IF(Teams!$F$61=1,Q92*((1-Teams!$F$13)*MAX(0,Teams!$F$72*$C$89-Teams!$F$12)+Teams!$F$13*MAX(0,Teams!$F$73*$C$89-Teams!$F$12)),IF(Teams!$F$62=1,Q93*$C$89,0))</f>
        <v>1328.8344300000001</v>
      </c>
      <c r="R95" s="44">
        <f>R$5*IF(Teams!$F$61=1,R92*((1-Teams!$F$13)*MAX(0,Teams!$F$72*$C$89-Teams!$F$12)+Teams!$F$13*MAX(0,Teams!$F$73*$C$89-Teams!$F$12)),IF(Teams!$F$62=1,R93*$C$89,0))</f>
        <v>1328.8344300000001</v>
      </c>
      <c r="S95" s="44">
        <f>S$5*IF(Teams!$F$61=1,S92*((1-Teams!$F$13)*MAX(0,Teams!$F$72*$C$89-Teams!$F$12)+Teams!$F$13*MAX(0,Teams!$F$73*$C$89-Teams!$F$12)),IF(Teams!$F$62=1,S93*$C$89,0))</f>
        <v>1328.8344300000001</v>
      </c>
      <c r="T95" s="44">
        <f>T$5*IF(Teams!$F$61=1,T92*((1-Teams!$F$13)*MAX(0,Teams!$F$72*$C$89-Teams!$F$12)+Teams!$F$13*MAX(0,Teams!$F$73*$C$89-Teams!$F$12)),IF(Teams!$F$62=1,T93*$C$89,0))</f>
        <v>1328.8344300000001</v>
      </c>
      <c r="U95" s="44">
        <f>U$5*IF(Teams!$F$61=1,U92*((1-Teams!$F$13)*MAX(0,Teams!$F$72*$C$89-Teams!$F$12)+Teams!$F$13*MAX(0,Teams!$F$73*$C$89-Teams!$F$12)),IF(Teams!$F$62=1,U93*$C$89,0))</f>
        <v>1328.8344300000001</v>
      </c>
      <c r="V95" s="44">
        <f>V$5*IF(Teams!$F$61=1,V92*((1-Teams!$F$13)*MAX(0,Teams!$F$72*$C$89-Teams!$F$12)+Teams!$F$13*MAX(0,Teams!$F$73*$C$89-Teams!$F$12)),IF(Teams!$F$62=1,V93*$C$89,0))</f>
        <v>1328.8344300000001</v>
      </c>
      <c r="W95" s="44">
        <f>W$5*IF(Teams!$F$61=1,W92*((1-Teams!$F$13)*MAX(0,Teams!$F$72*$C$89-Teams!$F$12)+Teams!$F$13*MAX(0,Teams!$F$73*$C$89-Teams!$F$12)),IF(Teams!$F$62=1,W93*$C$89,0))</f>
        <v>1328.8344300000001</v>
      </c>
      <c r="X95" s="44">
        <f>X$5*IF(Teams!$F$61=1,X92*((1-Teams!$F$13)*MAX(0,Teams!$F$72*$C$89-Teams!$F$12)+Teams!$F$13*MAX(0,Teams!$F$73*$C$89-Teams!$F$12)),IF(Teams!$F$62=1,X93*$C$89,0))</f>
        <v>1328.8344300000001</v>
      </c>
      <c r="Y95" s="44">
        <f>Y$5*IF(Teams!$F$61=1,Y92*((1-Teams!$F$13)*MAX(0,Teams!$F$72*$C$89-Teams!$F$12)+Teams!$F$13*MAX(0,Teams!$F$73*$C$89-Teams!$F$12)),IF(Teams!$F$62=1,Y93*$C$89,0))</f>
        <v>1328.8344300000001</v>
      </c>
      <c r="Z95" s="44">
        <f>Z$5*IF(Teams!$F$61=1,Z92*((1-Teams!$F$13)*MAX(0,Teams!$F$72*$C$89-Teams!$F$12)+Teams!$F$13*MAX(0,Teams!$F$73*$C$89-Teams!$F$12)),IF(Teams!$F$62=1,Z93*$C$89,0))</f>
        <v>1328.8344300000001</v>
      </c>
      <c r="AA95" s="44">
        <f>AA$5*IF(Teams!$F$61=1,AA92*((1-Teams!$F$13)*MAX(0,Teams!$F$72*$C$89-Teams!$F$12)+Teams!$F$13*MAX(0,Teams!$F$73*$C$89-Teams!$F$12)),IF(Teams!$F$62=1,AA93*$C$89,0))</f>
        <v>1328.8344300000001</v>
      </c>
      <c r="AB95" s="44">
        <f>AB$5*IF(Teams!$F$61=1,AB92*((1-Teams!$F$13)*MAX(0,Teams!$F$72*$C$89-Teams!$F$12)+Teams!$F$13*MAX(0,Teams!$F$73*$C$89-Teams!$F$12)),IF(Teams!$F$62=1,AB93*$C$89,0))</f>
        <v>1328.8344300000001</v>
      </c>
      <c r="AC95" s="44">
        <f>AC$5*IF(Teams!$F$61=1,AC92*((1-Teams!$F$13)*MAX(0,Teams!$F$72*$C$89-Teams!$F$12)+Teams!$F$13*MAX(0,Teams!$F$73*$C$89-Teams!$F$12)),IF(Teams!$F$62=1,AC93*$C$89,0))</f>
        <v>1328.8344300000001</v>
      </c>
      <c r="AD95" s="44">
        <f>AD$5*IF(Teams!$F$61=1,AD92*((1-Teams!$F$13)*MAX(0,Teams!$F$72*$C$89-Teams!$F$12)+Teams!$F$13*MAX(0,Teams!$F$73*$C$89-Teams!$F$12)),IF(Teams!$F$62=1,AD93*$C$89,0))</f>
        <v>1328.8344300000001</v>
      </c>
      <c r="AE95" s="44">
        <f>AE$5*IF(Teams!$F$61=1,AE92*((1-Teams!$F$13)*MAX(0,Teams!$F$72*$C$89-Teams!$F$12)+Teams!$F$13*MAX(0,Teams!$F$73*$C$89-Teams!$F$12)),IF(Teams!$F$62=1,AE93*$C$89,0))</f>
        <v>1328.8344300000001</v>
      </c>
      <c r="AF95" s="44">
        <f>AF$5*IF(Teams!$F$61=1,AF92*((1-Teams!$F$13)*MAX(0,Teams!$F$72*$C$89-Teams!$F$12)+Teams!$F$13*MAX(0,Teams!$F$73*$C$89-Teams!$F$12)),IF(Teams!$F$62=1,AF93*$C$89,0))</f>
        <v>1328.8344300000001</v>
      </c>
      <c r="AG95" s="44">
        <f>AG$5*IF(Teams!$F$61=1,AG92*((1-Teams!$F$13)*MAX(0,Teams!$F$72*$C$89-Teams!$F$12)+Teams!$F$13*MAX(0,Teams!$F$73*$C$89-Teams!$F$12)),IF(Teams!$F$62=1,AG93*$C$89,0))</f>
        <v>1328.8344300000001</v>
      </c>
      <c r="AH95" s="44">
        <f>AH$5*IF(Teams!$F$61=1,AH92*((1-Teams!$F$13)*MAX(0,Teams!$F$72*$C$89-Teams!$F$12)+Teams!$F$13*MAX(0,Teams!$F$73*$C$89-Teams!$F$12)),IF(Teams!$F$62=1,AH93*$C$89,0))</f>
        <v>1328.8344300000001</v>
      </c>
      <c r="AI95" s="44">
        <f>AI$5*IF(Teams!$F$61=1,AI92*((1-Teams!$F$13)*MAX(0,Teams!$F$72*$C$89-Teams!$F$12)+Teams!$F$13*MAX(0,Teams!$F$73*$C$89-Teams!$F$12)),IF(Teams!$F$62=1,AI93*$C$89,0))</f>
        <v>1328.8344300000001</v>
      </c>
      <c r="AJ95" s="44">
        <f>AJ$5*IF(Teams!$F$61=1,AJ92*((1-Teams!$F$13)*MAX(0,Teams!$F$72*$C$89-Teams!$F$12)+Teams!$F$13*MAX(0,Teams!$F$73*$C$89-Teams!$F$12)),IF(Teams!$F$62=1,AJ93*$C$89,0))</f>
        <v>1328.8344300000001</v>
      </c>
      <c r="AK95" s="44">
        <f>AK$5*IF(Teams!$F$61=1,AK92*((1-Teams!$F$13)*MAX(0,Teams!$F$72*$C$89-Teams!$F$12)+Teams!$F$13*MAX(0,Teams!$F$73*$C$89-Teams!$F$12)),IF(Teams!$F$62=1,AK93*$C$89,0))</f>
        <v>1328.8344300000001</v>
      </c>
      <c r="AL95" s="44">
        <f>AL$5*IF(Teams!$F$61=1,AL92*((1-Teams!$F$13)*MAX(0,Teams!$F$72*$C$89-Teams!$F$12)+Teams!$F$13*MAX(0,Teams!$F$73*$C$89-Teams!$F$12)),IF(Teams!$F$62=1,AL93*$C$89,0))</f>
        <v>1328.8344300000001</v>
      </c>
      <c r="AM95" s="44">
        <f>AM$5*IF(Teams!$F$61=1,AM92*((1-Teams!$F$13)*MAX(0,Teams!$F$72*$C$89-Teams!$F$12)+Teams!$F$13*MAX(0,Teams!$F$73*$C$89-Teams!$F$12)),IF(Teams!$F$62=1,AM93*$C$89,0))</f>
        <v>1328.8344300000001</v>
      </c>
      <c r="AN95" s="44">
        <f>AN$5*IF(Teams!$F$61=1,AN92*((1-Teams!$F$13)*MAX(0,Teams!$F$72*$C$89-Teams!$F$12)+Teams!$F$13*MAX(0,Teams!$F$73*$C$89-Teams!$F$12)),IF(Teams!$F$62=1,AN93*$C$89,0))</f>
        <v>1328.8344300000001</v>
      </c>
      <c r="AO95" s="44">
        <f>AO$5*IF(Teams!$F$61=1,AO92*((1-Teams!$F$13)*MAX(0,Teams!$F$72*$C$89-Teams!$F$12)+Teams!$F$13*MAX(0,Teams!$F$73*$C$89-Teams!$F$12)),IF(Teams!$F$62=1,AO93*$C$89,0))</f>
        <v>0</v>
      </c>
      <c r="AP95" s="44">
        <f>AP$5*IF(Teams!$F$61=1,AP92*((1-Teams!$F$13)*MAX(0,Teams!$F$72*$C$89-Teams!$F$12)+Teams!$F$13*MAX(0,Teams!$F$73*$C$89-Teams!$F$12)),IF(Teams!$F$62=1,AP93*$C$89,0))</f>
        <v>0</v>
      </c>
      <c r="AQ95" s="44">
        <f>AQ$5*IF(Teams!$F$61=1,AQ92*((1-Teams!$F$13)*MAX(0,Teams!$F$72*$C$89-Teams!$F$12)+Teams!$F$13*MAX(0,Teams!$F$73*$C$89-Teams!$F$12)),IF(Teams!$F$62=1,AQ93*$C$89,0))</f>
        <v>0</v>
      </c>
      <c r="AR95" s="44">
        <f>AR$5*IF(Teams!$F$61=1,AR92*((1-Teams!$F$13)*MAX(0,Teams!$F$72*$C$89-Teams!$F$12)+Teams!$F$13*MAX(0,Teams!$F$73*$C$89-Teams!$F$12)),IF(Teams!$F$62=1,AR93*$C$89,0))</f>
        <v>0</v>
      </c>
      <c r="AS95" s="44">
        <f>AS$5*IF(Teams!$F$61=1,AS92*((1-Teams!$F$13)*MAX(0,Teams!$F$72*$C$89-Teams!$F$12)+Teams!$F$13*MAX(0,Teams!$F$73*$C$89-Teams!$F$12)),IF(Teams!$F$62=1,AS93*$C$89,0))</f>
        <v>0</v>
      </c>
      <c r="AT95" s="44">
        <f>AT$5*IF(Teams!$F$61=1,AT92*((1-Teams!$F$13)*MAX(0,Teams!$F$72*$C$89-Teams!$F$12)+Teams!$F$13*MAX(0,Teams!$F$73*$C$89-Teams!$F$12)),IF(Teams!$F$62=1,AT93*$C$89,0))</f>
        <v>0</v>
      </c>
      <c r="AU95" s="44">
        <f>AU$5*IF(Teams!$F$61=1,AU92*((1-Teams!$F$13)*MAX(0,Teams!$F$72*$C$89-Teams!$F$12)+Teams!$F$13*MAX(0,Teams!$F$73*$C$89-Teams!$F$12)),IF(Teams!$F$62=1,AU93*$C$89,0))</f>
        <v>0</v>
      </c>
      <c r="AV95" s="44">
        <f>AV$5*IF(Teams!$F$61=1,AV92*((1-Teams!$F$13)*MAX(0,Teams!$F$72*$C$89-Teams!$F$12)+Teams!$F$13*MAX(0,Teams!$F$73*$C$89-Teams!$F$12)),IF(Teams!$F$62=1,AV93*$C$89,0))</f>
        <v>0</v>
      </c>
      <c r="AW95" s="44">
        <f>AW$5*IF(Teams!$F$61=1,AW92*((1-Teams!$F$13)*MAX(0,Teams!$F$72*$C$89-Teams!$F$12)+Teams!$F$13*MAX(0,Teams!$F$73*$C$89-Teams!$F$12)),IF(Teams!$F$62=1,AW93*$C$89,0))</f>
        <v>0</v>
      </c>
      <c r="AX95" s="44">
        <f>AX$5*IF(Teams!$F$61=1,AX92*((1-Teams!$F$13)*MAX(0,Teams!$F$72*$C$89-Teams!$F$12)+Teams!$F$13*MAX(0,Teams!$F$73*$C$89-Teams!$F$12)),IF(Teams!$F$62=1,AX93*$C$89,0))</f>
        <v>0</v>
      </c>
      <c r="AY95" s="44">
        <f>AY$5*IF(Teams!$F$61=1,AY92*((1-Teams!$F$13)*MAX(0,Teams!$F$72*$C$89-Teams!$F$12)+Teams!$F$13*MAX(0,Teams!$F$73*$C$89-Teams!$F$12)),IF(Teams!$F$62=1,AY93*$C$89,0))</f>
        <v>0</v>
      </c>
      <c r="AZ95" s="44">
        <f>AZ$5*IF(Teams!$F$61=1,AZ92*((1-Teams!$F$13)*MAX(0,Teams!$F$72*$C$89-Teams!$F$12)+Teams!$F$13*MAX(0,Teams!$F$73*$C$89-Teams!$F$12)),IF(Teams!$F$62=1,AZ93*$C$89,0))</f>
        <v>0</v>
      </c>
      <c r="BA95" s="44">
        <f>BA$5*IF(Teams!$F$61=1,BA92*((1-Teams!$F$13)*MAX(0,Teams!$F$72*$C$89-Teams!$F$12)+Teams!$F$13*MAX(0,Teams!$F$73*$C$89-Teams!$F$12)),IF(Teams!$F$62=1,BA93*$C$89,0))</f>
        <v>0</v>
      </c>
      <c r="BB95" s="44">
        <f>BB$5*IF(Teams!$F$61=1,BB92*((1-Teams!$F$13)*MAX(0,Teams!$F$72*$C$89-Teams!$F$12)+Teams!$F$13*MAX(0,Teams!$F$73*$C$89-Teams!$F$12)),IF(Teams!$F$62=1,BB93*$C$89,0))</f>
        <v>0</v>
      </c>
      <c r="BC95" s="44">
        <f>BC$5*IF(Teams!$F$61=1,BC92*((1-Teams!$F$13)*MAX(0,Teams!$F$72*$C$89-Teams!$F$12)+Teams!$F$13*MAX(0,Teams!$F$73*$C$89-Teams!$F$12)),IF(Teams!$F$62=1,BC93*$C$89,0))</f>
        <v>0</v>
      </c>
      <c r="BD95" s="44">
        <f>BD$5*IF(Teams!$F$61=1,BD92*((1-Teams!$F$13)*MAX(0,Teams!$F$72*$C$89-Teams!$F$12)+Teams!$F$13*MAX(0,Teams!$F$73*$C$89-Teams!$F$12)),IF(Teams!$F$62=1,BD93*$C$89,0))</f>
        <v>0</v>
      </c>
      <c r="BE95" s="44">
        <f>BE$5*IF(Teams!$F$61=1,BE92*((1-Teams!$F$13)*MAX(0,Teams!$F$72*$C$89-Teams!$F$12)+Teams!$F$13*MAX(0,Teams!$F$73*$C$89-Teams!$F$12)),IF(Teams!$F$62=1,BE93*$C$89,0))</f>
        <v>0</v>
      </c>
      <c r="BF95" s="44">
        <f>BF$5*IF(Teams!$F$61=1,BF92*((1-Teams!$F$13)*MAX(0,Teams!$F$72*$C$89-Teams!$F$12)+Teams!$F$13*MAX(0,Teams!$F$73*$C$89-Teams!$F$12)),IF(Teams!$F$62=1,BF93*$C$89,0))</f>
        <v>0</v>
      </c>
      <c r="BG95" s="44">
        <f>BG$5*IF(Teams!$F$61=1,BG92*((1-Teams!$F$13)*MAX(0,Teams!$F$72*$C$89-Teams!$F$12)+Teams!$F$13*MAX(0,Teams!$F$73*$C$89-Teams!$F$12)),IF(Teams!$F$62=1,BG93*$C$89,0))</f>
        <v>0</v>
      </c>
      <c r="BH95" s="44">
        <f>BH$5*IF(Teams!$F$61=1,BH92*((1-Teams!$F$13)*MAX(0,Teams!$F$72*$C$89-Teams!$F$12)+Teams!$F$13*MAX(0,Teams!$F$73*$C$89-Teams!$F$12)),IF(Teams!$F$62=1,BH93*$C$89,0))</f>
        <v>0</v>
      </c>
      <c r="BI95" s="44">
        <f>BI$5*IF(Teams!$F$61=1,BI92*((1-Teams!$F$13)*MAX(0,Teams!$F$72*$C$89-Teams!$F$12)+Teams!$F$13*MAX(0,Teams!$F$73*$C$89-Teams!$F$12)),IF(Teams!$F$62=1,BI93*$C$89,0))</f>
        <v>0</v>
      </c>
      <c r="BJ95" s="44">
        <f>BJ$5*IF(Teams!$F$61=1,BJ92*((1-Teams!$F$13)*MAX(0,Teams!$F$72*$C$89-Teams!$F$12)+Teams!$F$13*MAX(0,Teams!$F$73*$C$89-Teams!$F$12)),IF(Teams!$F$62=1,BJ93*$C$89,0))</f>
        <v>0</v>
      </c>
      <c r="BK95" s="44">
        <f>BK$5*IF(Teams!$F$61=1,BK92*((1-Teams!$F$13)*MAX(0,Teams!$F$72*$C$89-Teams!$F$12)+Teams!$F$13*MAX(0,Teams!$F$73*$C$89-Teams!$F$12)),IF(Teams!$F$62=1,BK93*$C$89,0))</f>
        <v>0</v>
      </c>
      <c r="BL95" s="44">
        <f>BL$5*IF(Teams!$F$61=1,BL92*((1-Teams!$F$13)*MAX(0,Teams!$F$72*$C$89-Teams!$F$12)+Teams!$F$13*MAX(0,Teams!$F$73*$C$89-Teams!$F$12)),IF(Teams!$F$62=1,BL93*$C$89,0))</f>
        <v>0</v>
      </c>
    </row>
    <row r="96" spans="1:64" x14ac:dyDescent="0.3">
      <c r="A96" s="8" t="s">
        <v>667</v>
      </c>
      <c r="B96" s="18" t="s">
        <v>435</v>
      </c>
      <c r="C96" s="44">
        <f t="shared" si="29"/>
        <v>0</v>
      </c>
      <c r="E96" s="44">
        <f>E$5*Teams!$F$63*E93*Teams!$F$67</f>
        <v>0</v>
      </c>
      <c r="F96" s="44">
        <f>F$5*Teams!$F$63*F93*Teams!$F$67</f>
        <v>0</v>
      </c>
      <c r="G96" s="44">
        <f>G$5*Teams!$F$63*G93*Teams!$F$67</f>
        <v>0</v>
      </c>
      <c r="H96" s="44">
        <f>H$5*Teams!$F$63*H93*Teams!$F$67</f>
        <v>0</v>
      </c>
      <c r="I96" s="44">
        <f>I$5*Teams!$F$63*I93*Teams!$F$67</f>
        <v>0</v>
      </c>
      <c r="J96" s="44">
        <f>J$5*Teams!$F$63*J93*Teams!$F$67</f>
        <v>0</v>
      </c>
      <c r="K96" s="44">
        <f>K$5*Teams!$F$63*K93*Teams!$F$67</f>
        <v>0</v>
      </c>
      <c r="L96" s="44">
        <f>L$5*Teams!$F$63*L93*Teams!$F$67</f>
        <v>0</v>
      </c>
      <c r="M96" s="44">
        <f>M$5*Teams!$F$63*M93*Teams!$F$67</f>
        <v>0</v>
      </c>
      <c r="N96" s="44">
        <f>N$5*Teams!$F$63*N93*Teams!$F$67</f>
        <v>0</v>
      </c>
      <c r="O96" s="44">
        <f>O$5*Teams!$F$63*O93*Teams!$F$67</f>
        <v>0</v>
      </c>
      <c r="P96" s="44">
        <f>P$5*Teams!$F$63*P93*Teams!$F$67</f>
        <v>0</v>
      </c>
      <c r="Q96" s="44">
        <f>Q$5*Teams!$F$63*Q93*Teams!$F$67</f>
        <v>0</v>
      </c>
      <c r="R96" s="44">
        <f>R$5*Teams!$F$63*R93*Teams!$F$67</f>
        <v>0</v>
      </c>
      <c r="S96" s="44">
        <f>S$5*Teams!$F$63*S93*Teams!$F$67</f>
        <v>0</v>
      </c>
      <c r="T96" s="44">
        <f>T$5*Teams!$F$63*T93*Teams!$F$67</f>
        <v>0</v>
      </c>
      <c r="U96" s="44">
        <f>U$5*Teams!$F$63*U93*Teams!$F$67</f>
        <v>0</v>
      </c>
      <c r="V96" s="44">
        <f>V$5*Teams!$F$63*V93*Teams!$F$67</f>
        <v>0</v>
      </c>
      <c r="W96" s="44">
        <f>W$5*Teams!$F$63*W93*Teams!$F$67</f>
        <v>0</v>
      </c>
      <c r="X96" s="44">
        <f>X$5*Teams!$F$63*X93*Teams!$F$67</f>
        <v>0</v>
      </c>
      <c r="Y96" s="44">
        <f>Y$5*Teams!$F$63*Y93*Teams!$F$67</f>
        <v>0</v>
      </c>
      <c r="Z96" s="44">
        <f>Z$5*Teams!$F$63*Z93*Teams!$F$67</f>
        <v>0</v>
      </c>
      <c r="AA96" s="44">
        <f>AA$5*Teams!$F$63*AA93*Teams!$F$67</f>
        <v>0</v>
      </c>
      <c r="AB96" s="44">
        <f>AB$5*Teams!$F$63*AB93*Teams!$F$67</f>
        <v>0</v>
      </c>
      <c r="AC96" s="44">
        <f>AC$5*Teams!$F$63*AC93*Teams!$F$67</f>
        <v>0</v>
      </c>
      <c r="AD96" s="44">
        <f>AD$5*Teams!$F$63*AD93*Teams!$F$67</f>
        <v>0</v>
      </c>
      <c r="AE96" s="44">
        <f>AE$5*Teams!$F$63*AE93*Teams!$F$67</f>
        <v>0</v>
      </c>
      <c r="AF96" s="44">
        <f>AF$5*Teams!$F$63*AF93*Teams!$F$67</f>
        <v>0</v>
      </c>
      <c r="AG96" s="44">
        <f>AG$5*Teams!$F$63*AG93*Teams!$F$67</f>
        <v>0</v>
      </c>
      <c r="AH96" s="44">
        <f>AH$5*Teams!$F$63*AH93*Teams!$F$67</f>
        <v>0</v>
      </c>
      <c r="AI96" s="44">
        <f>AI$5*Teams!$F$63*AI93*Teams!$F$67</f>
        <v>0</v>
      </c>
      <c r="AJ96" s="44">
        <f>AJ$5*Teams!$F$63*AJ93*Teams!$F$67</f>
        <v>0</v>
      </c>
      <c r="AK96" s="44">
        <f>AK$5*Teams!$F$63*AK93*Teams!$F$67</f>
        <v>0</v>
      </c>
      <c r="AL96" s="44">
        <f>AL$5*Teams!$F$63*AL93*Teams!$F$67</f>
        <v>0</v>
      </c>
      <c r="AM96" s="44">
        <f>AM$5*Teams!$F$63*AM93*Teams!$F$67</f>
        <v>0</v>
      </c>
      <c r="AN96" s="44">
        <f>AN$5*Teams!$F$63*AN93*Teams!$F$67</f>
        <v>0</v>
      </c>
      <c r="AO96" s="44">
        <f>AO$5*Teams!$F$63*AO93*Teams!$F$67</f>
        <v>0</v>
      </c>
      <c r="AP96" s="44">
        <f>AP$5*Teams!$F$63*AP93*Teams!$F$67</f>
        <v>0</v>
      </c>
      <c r="AQ96" s="44">
        <f>AQ$5*Teams!$F$63*AQ93*Teams!$F$67</f>
        <v>0</v>
      </c>
      <c r="AR96" s="44">
        <f>AR$5*Teams!$F$63*AR93*Teams!$F$67</f>
        <v>0</v>
      </c>
      <c r="AS96" s="44">
        <f>AS$5*Teams!$F$63*AS93*Teams!$F$67</f>
        <v>0</v>
      </c>
      <c r="AT96" s="44">
        <f>AT$5*Teams!$F$63*AT93*Teams!$F$67</f>
        <v>0</v>
      </c>
      <c r="AU96" s="44">
        <f>AU$5*Teams!$F$63*AU93*Teams!$F$67</f>
        <v>0</v>
      </c>
      <c r="AV96" s="44">
        <f>AV$5*Teams!$F$63*AV93*Teams!$F$67</f>
        <v>0</v>
      </c>
      <c r="AW96" s="44">
        <f>AW$5*Teams!$F$63*AW93*Teams!$F$67</f>
        <v>0</v>
      </c>
      <c r="AX96" s="44">
        <f>AX$5*Teams!$F$63*AX93*Teams!$F$67</f>
        <v>0</v>
      </c>
      <c r="AY96" s="44">
        <f>AY$5*Teams!$F$63*AY93*Teams!$F$67</f>
        <v>0</v>
      </c>
      <c r="AZ96" s="44">
        <f>AZ$5*Teams!$F$63*AZ93*Teams!$F$67</f>
        <v>0</v>
      </c>
      <c r="BA96" s="44">
        <f>BA$5*Teams!$F$63*BA93*Teams!$F$67</f>
        <v>0</v>
      </c>
      <c r="BB96" s="44">
        <f>BB$5*Teams!$F$63*BB93*Teams!$F$67</f>
        <v>0</v>
      </c>
      <c r="BC96" s="44">
        <f>BC$5*Teams!$F$63*BC93*Teams!$F$67</f>
        <v>0</v>
      </c>
      <c r="BD96" s="44">
        <f>BD$5*Teams!$F$63*BD93*Teams!$F$67</f>
        <v>0</v>
      </c>
      <c r="BE96" s="44">
        <f>BE$5*Teams!$F$63*BE93*Teams!$F$67</f>
        <v>0</v>
      </c>
      <c r="BF96" s="44">
        <f>BF$5*Teams!$F$63*BF93*Teams!$F$67</f>
        <v>0</v>
      </c>
      <c r="BG96" s="44">
        <f>BG$5*Teams!$F$63*BG93*Teams!$F$67</f>
        <v>0</v>
      </c>
      <c r="BH96" s="44">
        <f>BH$5*Teams!$F$63*BH93*Teams!$F$67</f>
        <v>0</v>
      </c>
      <c r="BI96" s="44">
        <f>BI$5*Teams!$F$63*BI93*Teams!$F$67</f>
        <v>0</v>
      </c>
      <c r="BJ96" s="44">
        <f>BJ$5*Teams!$F$63*BJ93*Teams!$F$67</f>
        <v>0</v>
      </c>
      <c r="BK96" s="44">
        <f>BK$5*Teams!$F$63*BK93*Teams!$F$67</f>
        <v>0</v>
      </c>
      <c r="BL96" s="44">
        <f>BL$5*Teams!$F$63*BL93*Teams!$F$67</f>
        <v>0</v>
      </c>
    </row>
    <row r="97" spans="1:64" x14ac:dyDescent="0.3">
      <c r="A97" s="8" t="s">
        <v>668</v>
      </c>
      <c r="B97" s="18" t="s">
        <v>435</v>
      </c>
      <c r="C97" s="44">
        <f t="shared" si="29"/>
        <v>7620.4800000000041</v>
      </c>
      <c r="E97" s="44">
        <f>E$5*Teams!$F$65*E93*Teams!$F$74</f>
        <v>0</v>
      </c>
      <c r="F97" s="44">
        <f>F$5*Teams!$F$65*F93*Teams!$F$74</f>
        <v>0</v>
      </c>
      <c r="G97" s="44">
        <f>G$5*Teams!$F$65*G93*Teams!$F$74</f>
        <v>24.766560000000002</v>
      </c>
      <c r="H97" s="44">
        <f>H$5*Teams!$F$65*H93*Teams!$F$74</f>
        <v>83.825280000000021</v>
      </c>
      <c r="I97" s="44">
        <f>I$5*Teams!$F$65*I93*Teams!$F$74</f>
        <v>154.31472000000002</v>
      </c>
      <c r="J97" s="44">
        <f>J$5*Teams!$F$65*J93*Teams!$F$74</f>
        <v>213.37344000000004</v>
      </c>
      <c r="K97" s="44">
        <f>K$5*Teams!$F$65*K93*Teams!$F$74</f>
        <v>238.14000000000001</v>
      </c>
      <c r="L97" s="44">
        <f>L$5*Teams!$F$65*L93*Teams!$F$74</f>
        <v>238.14000000000001</v>
      </c>
      <c r="M97" s="44">
        <f>M$5*Teams!$F$65*M93*Teams!$F$74</f>
        <v>238.14000000000001</v>
      </c>
      <c r="N97" s="44">
        <f>N$5*Teams!$F$65*N93*Teams!$F$74</f>
        <v>238.14000000000001</v>
      </c>
      <c r="O97" s="44">
        <f>O$5*Teams!$F$65*O93*Teams!$F$74</f>
        <v>238.14000000000001</v>
      </c>
      <c r="P97" s="44">
        <f>P$5*Teams!$F$65*P93*Teams!$F$74</f>
        <v>238.14000000000001</v>
      </c>
      <c r="Q97" s="44">
        <f>Q$5*Teams!$F$65*Q93*Teams!$F$74</f>
        <v>238.14000000000001</v>
      </c>
      <c r="R97" s="44">
        <f>R$5*Teams!$F$65*R93*Teams!$F$74</f>
        <v>238.14000000000001</v>
      </c>
      <c r="S97" s="44">
        <f>S$5*Teams!$F$65*S93*Teams!$F$74</f>
        <v>238.14000000000001</v>
      </c>
      <c r="T97" s="44">
        <f>T$5*Teams!$F$65*T93*Teams!$F$74</f>
        <v>238.14000000000001</v>
      </c>
      <c r="U97" s="44">
        <f>U$5*Teams!$F$65*U93*Teams!$F$74</f>
        <v>238.14000000000001</v>
      </c>
      <c r="V97" s="44">
        <f>V$5*Teams!$F$65*V93*Teams!$F$74</f>
        <v>238.14000000000001</v>
      </c>
      <c r="W97" s="44">
        <f>W$5*Teams!$F$65*W93*Teams!$F$74</f>
        <v>238.14000000000001</v>
      </c>
      <c r="X97" s="44">
        <f>X$5*Teams!$F$65*X93*Teams!$F$74</f>
        <v>238.14000000000001</v>
      </c>
      <c r="Y97" s="44">
        <f>Y$5*Teams!$F$65*Y93*Teams!$F$74</f>
        <v>238.14000000000001</v>
      </c>
      <c r="Z97" s="44">
        <f>Z$5*Teams!$F$65*Z93*Teams!$F$74</f>
        <v>238.14000000000001</v>
      </c>
      <c r="AA97" s="44">
        <f>AA$5*Teams!$F$65*AA93*Teams!$F$74</f>
        <v>238.14000000000001</v>
      </c>
      <c r="AB97" s="44">
        <f>AB$5*Teams!$F$65*AB93*Teams!$F$74</f>
        <v>238.14000000000001</v>
      </c>
      <c r="AC97" s="44">
        <f>AC$5*Teams!$F$65*AC93*Teams!$F$74</f>
        <v>238.14000000000001</v>
      </c>
      <c r="AD97" s="44">
        <f>AD$5*Teams!$F$65*AD93*Teams!$F$74</f>
        <v>238.14000000000001</v>
      </c>
      <c r="AE97" s="44">
        <f>AE$5*Teams!$F$65*AE93*Teams!$F$74</f>
        <v>238.14000000000001</v>
      </c>
      <c r="AF97" s="44">
        <f>AF$5*Teams!$F$65*AF93*Teams!$F$74</f>
        <v>238.14000000000001</v>
      </c>
      <c r="AG97" s="44">
        <f>AG$5*Teams!$F$65*AG93*Teams!$F$74</f>
        <v>238.14000000000001</v>
      </c>
      <c r="AH97" s="44">
        <f>AH$5*Teams!$F$65*AH93*Teams!$F$74</f>
        <v>238.14000000000001</v>
      </c>
      <c r="AI97" s="44">
        <f>AI$5*Teams!$F$65*AI93*Teams!$F$74</f>
        <v>238.14000000000001</v>
      </c>
      <c r="AJ97" s="44">
        <f>AJ$5*Teams!$F$65*AJ93*Teams!$F$74</f>
        <v>238.14000000000001</v>
      </c>
      <c r="AK97" s="44">
        <f>AK$5*Teams!$F$65*AK93*Teams!$F$74</f>
        <v>238.14000000000001</v>
      </c>
      <c r="AL97" s="44">
        <f>AL$5*Teams!$F$65*AL93*Teams!$F$74</f>
        <v>238.14000000000001</v>
      </c>
      <c r="AM97" s="44">
        <f>AM$5*Teams!$F$65*AM93*Teams!$F$74</f>
        <v>238.14000000000001</v>
      </c>
      <c r="AN97" s="44">
        <f>AN$5*Teams!$F$65*AN93*Teams!$F$74</f>
        <v>238.14000000000001</v>
      </c>
      <c r="AO97" s="44">
        <f>AO$5*Teams!$F$65*AO93*Teams!$F$74</f>
        <v>0</v>
      </c>
      <c r="AP97" s="44">
        <f>AP$5*Teams!$F$65*AP93*Teams!$F$74</f>
        <v>0</v>
      </c>
      <c r="AQ97" s="44">
        <f>AQ$5*Teams!$F$65*AQ93*Teams!$F$74</f>
        <v>0</v>
      </c>
      <c r="AR97" s="44">
        <f>AR$5*Teams!$F$65*AR93*Teams!$F$74</f>
        <v>0</v>
      </c>
      <c r="AS97" s="44">
        <f>AS$5*Teams!$F$65*AS93*Teams!$F$74</f>
        <v>0</v>
      </c>
      <c r="AT97" s="44">
        <f>AT$5*Teams!$F$65*AT93*Teams!$F$74</f>
        <v>0</v>
      </c>
      <c r="AU97" s="44">
        <f>AU$5*Teams!$F$65*AU93*Teams!$F$74</f>
        <v>0</v>
      </c>
      <c r="AV97" s="44">
        <f>AV$5*Teams!$F$65*AV93*Teams!$F$74</f>
        <v>0</v>
      </c>
      <c r="AW97" s="44">
        <f>AW$5*Teams!$F$65*AW93*Teams!$F$74</f>
        <v>0</v>
      </c>
      <c r="AX97" s="44">
        <f>AX$5*Teams!$F$65*AX93*Teams!$F$74</f>
        <v>0</v>
      </c>
      <c r="AY97" s="44">
        <f>AY$5*Teams!$F$65*AY93*Teams!$F$74</f>
        <v>0</v>
      </c>
      <c r="AZ97" s="44">
        <f>AZ$5*Teams!$F$65*AZ93*Teams!$F$74</f>
        <v>0</v>
      </c>
      <c r="BA97" s="44">
        <f>BA$5*Teams!$F$65*BA93*Teams!$F$74</f>
        <v>0</v>
      </c>
      <c r="BB97" s="44">
        <f>BB$5*Teams!$F$65*BB93*Teams!$F$74</f>
        <v>0</v>
      </c>
      <c r="BC97" s="44">
        <f>BC$5*Teams!$F$65*BC93*Teams!$F$74</f>
        <v>0</v>
      </c>
      <c r="BD97" s="44">
        <f>BD$5*Teams!$F$65*BD93*Teams!$F$74</f>
        <v>0</v>
      </c>
      <c r="BE97" s="44">
        <f>BE$5*Teams!$F$65*BE93*Teams!$F$74</f>
        <v>0</v>
      </c>
      <c r="BF97" s="44">
        <f>BF$5*Teams!$F$65*BF93*Teams!$F$74</f>
        <v>0</v>
      </c>
      <c r="BG97" s="44">
        <f>BG$5*Teams!$F$65*BG93*Teams!$F$74</f>
        <v>0</v>
      </c>
      <c r="BH97" s="44">
        <f>BH$5*Teams!$F$65*BH93*Teams!$F$74</f>
        <v>0</v>
      </c>
      <c r="BI97" s="44">
        <f>BI$5*Teams!$F$65*BI93*Teams!$F$74</f>
        <v>0</v>
      </c>
      <c r="BJ97" s="44">
        <f>BJ$5*Teams!$F$65*BJ93*Teams!$F$74</f>
        <v>0</v>
      </c>
      <c r="BK97" s="44">
        <f>BK$5*Teams!$F$65*BK93*Teams!$F$74</f>
        <v>0</v>
      </c>
      <c r="BL97" s="44">
        <f>BL$5*Teams!$F$65*BL93*Teams!$F$74</f>
        <v>0</v>
      </c>
    </row>
    <row r="98" spans="1:64" x14ac:dyDescent="0.3">
      <c r="A98" s="8" t="s">
        <v>669</v>
      </c>
      <c r="B98" s="18" t="s">
        <v>505</v>
      </c>
      <c r="C98" s="44">
        <f t="shared" si="29"/>
        <v>0</v>
      </c>
      <c r="E98" s="44">
        <f>E$5*Teams!$F$64*Teams!$F$16*IF(E$4&gt;=Teams!$F$80,1,0)</f>
        <v>0</v>
      </c>
      <c r="F98" s="44">
        <f>F$5*Teams!$F$64*Teams!$F$16*IF(F$4&gt;=Teams!$F$80,1,0)</f>
        <v>0</v>
      </c>
      <c r="G98" s="44">
        <f>G$5*Teams!$F$64*Teams!$F$16*IF(G$4&gt;=Teams!$F$80,1,0)</f>
        <v>0</v>
      </c>
      <c r="H98" s="44">
        <f>H$5*Teams!$F$64*Teams!$F$16*IF(H$4&gt;=Teams!$F$80,1,0)</f>
        <v>0</v>
      </c>
      <c r="I98" s="44">
        <f>I$5*Teams!$F$64*Teams!$F$16*IF(I$4&gt;=Teams!$F$80,1,0)</f>
        <v>0</v>
      </c>
      <c r="J98" s="44">
        <f>J$5*Teams!$F$64*Teams!$F$16*IF(J$4&gt;=Teams!$F$80,1,0)</f>
        <v>0</v>
      </c>
      <c r="K98" s="44">
        <f>K$5*Teams!$F$64*Teams!$F$16*IF(K$4&gt;=Teams!$F$80,1,0)</f>
        <v>0</v>
      </c>
      <c r="L98" s="44">
        <f>L$5*Teams!$F$64*Teams!$F$16*IF(L$4&gt;=Teams!$F$80,1,0)</f>
        <v>0</v>
      </c>
      <c r="M98" s="44">
        <f>M$5*Teams!$F$64*Teams!$F$16*IF(M$4&gt;=Teams!$F$80,1,0)</f>
        <v>0</v>
      </c>
      <c r="N98" s="44">
        <f>N$5*Teams!$F$64*Teams!$F$16*IF(N$4&gt;=Teams!$F$80,1,0)</f>
        <v>0</v>
      </c>
      <c r="O98" s="44">
        <f>O$5*Teams!$F$64*Teams!$F$16*IF(O$4&gt;=Teams!$F$80,1,0)</f>
        <v>0</v>
      </c>
      <c r="P98" s="44">
        <f>P$5*Teams!$F$64*Teams!$F$16*IF(P$4&gt;=Teams!$F$80,1,0)</f>
        <v>0</v>
      </c>
      <c r="Q98" s="44">
        <f>Q$5*Teams!$F$64*Teams!$F$16*IF(Q$4&gt;=Teams!$F$80,1,0)</f>
        <v>0</v>
      </c>
      <c r="R98" s="44">
        <f>R$5*Teams!$F$64*Teams!$F$16*IF(R$4&gt;=Teams!$F$80,1,0)</f>
        <v>0</v>
      </c>
      <c r="S98" s="44">
        <f>S$5*Teams!$F$64*Teams!$F$16*IF(S$4&gt;=Teams!$F$80,1,0)</f>
        <v>0</v>
      </c>
      <c r="T98" s="44">
        <f>T$5*Teams!$F$64*Teams!$F$16*IF(T$4&gt;=Teams!$F$80,1,0)</f>
        <v>0</v>
      </c>
      <c r="U98" s="44">
        <f>U$5*Teams!$F$64*Teams!$F$16*IF(U$4&gt;=Teams!$F$80,1,0)</f>
        <v>0</v>
      </c>
      <c r="V98" s="44">
        <f>V$5*Teams!$F$64*Teams!$F$16*IF(V$4&gt;=Teams!$F$80,1,0)</f>
        <v>0</v>
      </c>
      <c r="W98" s="44">
        <f>W$5*Teams!$F$64*Teams!$F$16*IF(W$4&gt;=Teams!$F$80,1,0)</f>
        <v>0</v>
      </c>
      <c r="X98" s="44">
        <f>X$5*Teams!$F$64*Teams!$F$16*IF(X$4&gt;=Teams!$F$80,1,0)</f>
        <v>0</v>
      </c>
      <c r="Y98" s="44">
        <f>Y$5*Teams!$F$64*Teams!$F$16*IF(Y$4&gt;=Teams!$F$80,1,0)</f>
        <v>0</v>
      </c>
      <c r="Z98" s="44">
        <f>Z$5*Teams!$F$64*Teams!$F$16*IF(Z$4&gt;=Teams!$F$80,1,0)</f>
        <v>0</v>
      </c>
      <c r="AA98" s="44">
        <f>AA$5*Teams!$F$64*Teams!$F$16*IF(AA$4&gt;=Teams!$F$80,1,0)</f>
        <v>0</v>
      </c>
      <c r="AB98" s="44">
        <f>AB$5*Teams!$F$64*Teams!$F$16*IF(AB$4&gt;=Teams!$F$80,1,0)</f>
        <v>0</v>
      </c>
      <c r="AC98" s="44">
        <f>AC$5*Teams!$F$64*Teams!$F$16*IF(AC$4&gt;=Teams!$F$80,1,0)</f>
        <v>0</v>
      </c>
      <c r="AD98" s="44">
        <f>AD$5*Teams!$F$64*Teams!$F$16*IF(AD$4&gt;=Teams!$F$80,1,0)</f>
        <v>0</v>
      </c>
      <c r="AE98" s="44">
        <f>AE$5*Teams!$F$64*Teams!$F$16*IF(AE$4&gt;=Teams!$F$80,1,0)</f>
        <v>0</v>
      </c>
      <c r="AF98" s="44">
        <f>AF$5*Teams!$F$64*Teams!$F$16*IF(AF$4&gt;=Teams!$F$80,1,0)</f>
        <v>0</v>
      </c>
      <c r="AG98" s="44">
        <f>AG$5*Teams!$F$64*Teams!$F$16*IF(AG$4&gt;=Teams!$F$80,1,0)</f>
        <v>0</v>
      </c>
      <c r="AH98" s="44">
        <f>AH$5*Teams!$F$64*Teams!$F$16*IF(AH$4&gt;=Teams!$F$80,1,0)</f>
        <v>0</v>
      </c>
      <c r="AI98" s="44">
        <f>AI$5*Teams!$F$64*Teams!$F$16*IF(AI$4&gt;=Teams!$F$80,1,0)</f>
        <v>0</v>
      </c>
      <c r="AJ98" s="44">
        <f>AJ$5*Teams!$F$64*Teams!$F$16*IF(AJ$4&gt;=Teams!$F$80,1,0)</f>
        <v>0</v>
      </c>
      <c r="AK98" s="44">
        <f>AK$5*Teams!$F$64*Teams!$F$16*IF(AK$4&gt;=Teams!$F$80,1,0)</f>
        <v>0</v>
      </c>
      <c r="AL98" s="44">
        <f>AL$5*Teams!$F$64*Teams!$F$16*IF(AL$4&gt;=Teams!$F$80,1,0)</f>
        <v>0</v>
      </c>
      <c r="AM98" s="44">
        <f>AM$5*Teams!$F$64*Teams!$F$16*IF(AM$4&gt;=Teams!$F$80,1,0)</f>
        <v>0</v>
      </c>
      <c r="AN98" s="44">
        <f>AN$5*Teams!$F$64*Teams!$F$16*IF(AN$4&gt;=Teams!$F$80,1,0)</f>
        <v>0</v>
      </c>
      <c r="AO98" s="44">
        <f>AO$5*Teams!$F$64*Teams!$F$16*IF(AO$4&gt;=Teams!$F$80,1,0)</f>
        <v>0</v>
      </c>
      <c r="AP98" s="44">
        <f>AP$5*Teams!$F$64*Teams!$F$16*IF(AP$4&gt;=Teams!$F$80,1,0)</f>
        <v>0</v>
      </c>
      <c r="AQ98" s="44">
        <f>AQ$5*Teams!$F$64*Teams!$F$16*IF(AQ$4&gt;=Teams!$F$80,1,0)</f>
        <v>0</v>
      </c>
      <c r="AR98" s="44">
        <f>AR$5*Teams!$F$64*Teams!$F$16*IF(AR$4&gt;=Teams!$F$80,1,0)</f>
        <v>0</v>
      </c>
      <c r="AS98" s="44">
        <f>AS$5*Teams!$F$64*Teams!$F$16*IF(AS$4&gt;=Teams!$F$80,1,0)</f>
        <v>0</v>
      </c>
      <c r="AT98" s="44">
        <f>AT$5*Teams!$F$64*Teams!$F$16*IF(AT$4&gt;=Teams!$F$80,1,0)</f>
        <v>0</v>
      </c>
      <c r="AU98" s="44">
        <f>AU$5*Teams!$F$64*Teams!$F$16*IF(AU$4&gt;=Teams!$F$80,1,0)</f>
        <v>0</v>
      </c>
      <c r="AV98" s="44">
        <f>AV$5*Teams!$F$64*Teams!$F$16*IF(AV$4&gt;=Teams!$F$80,1,0)</f>
        <v>0</v>
      </c>
      <c r="AW98" s="44">
        <f>AW$5*Teams!$F$64*Teams!$F$16*IF(AW$4&gt;=Teams!$F$80,1,0)</f>
        <v>0</v>
      </c>
      <c r="AX98" s="44">
        <f>AX$5*Teams!$F$64*Teams!$F$16*IF(AX$4&gt;=Teams!$F$80,1,0)</f>
        <v>0</v>
      </c>
      <c r="AY98" s="44">
        <f>AY$5*Teams!$F$64*Teams!$F$16*IF(AY$4&gt;=Teams!$F$80,1,0)</f>
        <v>0</v>
      </c>
      <c r="AZ98" s="44">
        <f>AZ$5*Teams!$F$64*Teams!$F$16*IF(AZ$4&gt;=Teams!$F$80,1,0)</f>
        <v>0</v>
      </c>
      <c r="BA98" s="44">
        <f>BA$5*Teams!$F$64*Teams!$F$16*IF(BA$4&gt;=Teams!$F$80,1,0)</f>
        <v>0</v>
      </c>
      <c r="BB98" s="44">
        <f>BB$5*Teams!$F$64*Teams!$F$16*IF(BB$4&gt;=Teams!$F$80,1,0)</f>
        <v>0</v>
      </c>
      <c r="BC98" s="44">
        <f>BC$5*Teams!$F$64*Teams!$F$16*IF(BC$4&gt;=Teams!$F$80,1,0)</f>
        <v>0</v>
      </c>
      <c r="BD98" s="44">
        <f>BD$5*Teams!$F$64*Teams!$F$16*IF(BD$4&gt;=Teams!$F$80,1,0)</f>
        <v>0</v>
      </c>
      <c r="BE98" s="44">
        <f>BE$5*Teams!$F$64*Teams!$F$16*IF(BE$4&gt;=Teams!$F$80,1,0)</f>
        <v>0</v>
      </c>
      <c r="BF98" s="44">
        <f>BF$5*Teams!$F$64*Teams!$F$16*IF(BF$4&gt;=Teams!$F$80,1,0)</f>
        <v>0</v>
      </c>
      <c r="BG98" s="44">
        <f>BG$5*Teams!$F$64*Teams!$F$16*IF(BG$4&gt;=Teams!$F$80,1,0)</f>
        <v>0</v>
      </c>
      <c r="BH98" s="44">
        <f>BH$5*Teams!$F$64*Teams!$F$16*IF(BH$4&gt;=Teams!$F$80,1,0)</f>
        <v>0</v>
      </c>
      <c r="BI98" s="44">
        <f>BI$5*Teams!$F$64*Teams!$F$16*IF(BI$4&gt;=Teams!$F$80,1,0)</f>
        <v>0</v>
      </c>
      <c r="BJ98" s="44">
        <f>BJ$5*Teams!$F$64*Teams!$F$16*IF(BJ$4&gt;=Teams!$F$80,1,0)</f>
        <v>0</v>
      </c>
      <c r="BK98" s="44">
        <f>BK$5*Teams!$F$64*Teams!$F$16*IF(BK$4&gt;=Teams!$F$80,1,0)</f>
        <v>0</v>
      </c>
      <c r="BL98" s="44">
        <f>BL$5*Teams!$F$64*Teams!$F$16*IF(BL$4&gt;=Teams!$F$80,1,0)</f>
        <v>0</v>
      </c>
    </row>
    <row r="99" spans="1:64" x14ac:dyDescent="0.3">
      <c r="A99" s="8" t="s">
        <v>670</v>
      </c>
      <c r="B99" s="18" t="s">
        <v>435</v>
      </c>
      <c r="C99" s="44">
        <f t="shared" si="29"/>
        <v>29769.631999999998</v>
      </c>
      <c r="E99" s="44">
        <f>E$5*IF(AND(E$4&gt;=Teams!$F$80,Teams!$F$49=1),Teams!$F$44*Params!$E$10*Teams!$F$45*Teams!$F$75+Teams!$F$44*Params!$E$10*Teams!$F$47*Teams!$F$76/1000000+Teams!$F$77+Teams!$F$50*Teams!$F$78+E93*Teams!$F$51*Teams!$F$79/1000000,0)</f>
        <v>0</v>
      </c>
      <c r="F99" s="44">
        <f>F$5*IF(AND(F$4&gt;=Teams!$F$80,Teams!$F$49=1),Teams!$F$44*Params!$E$10*Teams!$F$45*Teams!$F$75+Teams!$F$44*Params!$E$10*Teams!$F$47*Teams!$F$76/1000000+Teams!$F$77+Teams!$F$50*Teams!$F$78+F93*Teams!$F$51*Teams!$F$79/1000000,0)</f>
        <v>0</v>
      </c>
      <c r="G99" s="44">
        <f>G$5*IF(AND(G$4&gt;=Teams!$F$80,Teams!$F$49=1),Teams!$F$44*Params!$E$10*Teams!$F$45*Teams!$F$75+Teams!$F$44*Params!$E$10*Teams!$F$47*Teams!$F$76/1000000+Teams!$F$77+Teams!$F$50*Teams!$F$78+G93*Teams!$F$51*Teams!$F$79/1000000,0)</f>
        <v>873.88966399999993</v>
      </c>
      <c r="H99" s="44">
        <f>H$5*IF(AND(H$4&gt;=Teams!$F$80,Teams!$F$49=1),Teams!$F$44*Params!$E$10*Teams!$F$45*Teams!$F$75+Teams!$F$44*Params!$E$10*Teams!$F$47*Teams!$F$76/1000000+Teams!$F$77+Teams!$F$50*Teams!$F$78+H93*Teams!$F$51*Teams!$F$79/1000000,0)</f>
        <v>874.38963200000001</v>
      </c>
      <c r="I99" s="44">
        <f>I$5*IF(AND(I$4&gt;=Teams!$F$80,Teams!$F$49=1),Teams!$F$44*Params!$E$10*Teams!$F$45*Teams!$F$75+Teams!$F$44*Params!$E$10*Teams!$F$47*Teams!$F$76/1000000+Teams!$F$77+Teams!$F$50*Teams!$F$78+I93*Teams!$F$51*Teams!$F$79/1000000,0)</f>
        <v>874.98636799999997</v>
      </c>
      <c r="J99" s="44">
        <f>J$5*IF(AND(J$4&gt;=Teams!$F$80,Teams!$F$49=1),Teams!$F$44*Params!$E$10*Teams!$F$45*Teams!$F$75+Teams!$F$44*Params!$E$10*Teams!$F$47*Teams!$F$76/1000000+Teams!$F$77+Teams!$F$50*Teams!$F$78+J93*Teams!$F$51*Teams!$F$79/1000000,0)</f>
        <v>875.48633599999994</v>
      </c>
      <c r="K99" s="44">
        <f>K$5*IF(AND(K$4&gt;=Teams!$F$80,Teams!$F$49=1),Teams!$F$44*Params!$E$10*Teams!$F$45*Teams!$F$75+Teams!$F$44*Params!$E$10*Teams!$F$47*Teams!$F$76/1000000+Teams!$F$77+Teams!$F$50*Teams!$F$78+K93*Teams!$F$51*Teams!$F$79/1000000,0)</f>
        <v>875.69599999999991</v>
      </c>
      <c r="L99" s="44">
        <f>L$5*IF(AND(L$4&gt;=Teams!$F$80,Teams!$F$49=1),Teams!$F$44*Params!$E$10*Teams!$F$45*Teams!$F$75+Teams!$F$44*Params!$E$10*Teams!$F$47*Teams!$F$76/1000000+Teams!$F$77+Teams!$F$50*Teams!$F$78+L93*Teams!$F$51*Teams!$F$79/1000000,0)</f>
        <v>875.69599999999991</v>
      </c>
      <c r="M99" s="44">
        <f>M$5*IF(AND(M$4&gt;=Teams!$F$80,Teams!$F$49=1),Teams!$F$44*Params!$E$10*Teams!$F$45*Teams!$F$75+Teams!$F$44*Params!$E$10*Teams!$F$47*Teams!$F$76/1000000+Teams!$F$77+Teams!$F$50*Teams!$F$78+M93*Teams!$F$51*Teams!$F$79/1000000,0)</f>
        <v>875.69599999999991</v>
      </c>
      <c r="N99" s="44">
        <f>N$5*IF(AND(N$4&gt;=Teams!$F$80,Teams!$F$49=1),Teams!$F$44*Params!$E$10*Teams!$F$45*Teams!$F$75+Teams!$F$44*Params!$E$10*Teams!$F$47*Teams!$F$76/1000000+Teams!$F$77+Teams!$F$50*Teams!$F$78+N93*Teams!$F$51*Teams!$F$79/1000000,0)</f>
        <v>875.69599999999991</v>
      </c>
      <c r="O99" s="44">
        <f>O$5*IF(AND(O$4&gt;=Teams!$F$80,Teams!$F$49=1),Teams!$F$44*Params!$E$10*Teams!$F$45*Teams!$F$75+Teams!$F$44*Params!$E$10*Teams!$F$47*Teams!$F$76/1000000+Teams!$F$77+Teams!$F$50*Teams!$F$78+O93*Teams!$F$51*Teams!$F$79/1000000,0)</f>
        <v>875.69599999999991</v>
      </c>
      <c r="P99" s="44">
        <f>P$5*IF(AND(P$4&gt;=Teams!$F$80,Teams!$F$49=1),Teams!$F$44*Params!$E$10*Teams!$F$45*Teams!$F$75+Teams!$F$44*Params!$E$10*Teams!$F$47*Teams!$F$76/1000000+Teams!$F$77+Teams!$F$50*Teams!$F$78+P93*Teams!$F$51*Teams!$F$79/1000000,0)</f>
        <v>875.69599999999991</v>
      </c>
      <c r="Q99" s="44">
        <f>Q$5*IF(AND(Q$4&gt;=Teams!$F$80,Teams!$F$49=1),Teams!$F$44*Params!$E$10*Teams!$F$45*Teams!$F$75+Teams!$F$44*Params!$E$10*Teams!$F$47*Teams!$F$76/1000000+Teams!$F$77+Teams!$F$50*Teams!$F$78+Q93*Teams!$F$51*Teams!$F$79/1000000,0)</f>
        <v>875.69599999999991</v>
      </c>
      <c r="R99" s="44">
        <f>R$5*IF(AND(R$4&gt;=Teams!$F$80,Teams!$F$49=1),Teams!$F$44*Params!$E$10*Teams!$F$45*Teams!$F$75+Teams!$F$44*Params!$E$10*Teams!$F$47*Teams!$F$76/1000000+Teams!$F$77+Teams!$F$50*Teams!$F$78+R93*Teams!$F$51*Teams!$F$79/1000000,0)</f>
        <v>875.69599999999991</v>
      </c>
      <c r="S99" s="44">
        <f>S$5*IF(AND(S$4&gt;=Teams!$F$80,Teams!$F$49=1),Teams!$F$44*Params!$E$10*Teams!$F$45*Teams!$F$75+Teams!$F$44*Params!$E$10*Teams!$F$47*Teams!$F$76/1000000+Teams!$F$77+Teams!$F$50*Teams!$F$78+S93*Teams!$F$51*Teams!$F$79/1000000,0)</f>
        <v>875.69599999999991</v>
      </c>
      <c r="T99" s="44">
        <f>T$5*IF(AND(T$4&gt;=Teams!$F$80,Teams!$F$49=1),Teams!$F$44*Params!$E$10*Teams!$F$45*Teams!$F$75+Teams!$F$44*Params!$E$10*Teams!$F$47*Teams!$F$76/1000000+Teams!$F$77+Teams!$F$50*Teams!$F$78+T93*Teams!$F$51*Teams!$F$79/1000000,0)</f>
        <v>875.69599999999991</v>
      </c>
      <c r="U99" s="44">
        <f>U$5*IF(AND(U$4&gt;=Teams!$F$80,Teams!$F$49=1),Teams!$F$44*Params!$E$10*Teams!$F$45*Teams!$F$75+Teams!$F$44*Params!$E$10*Teams!$F$47*Teams!$F$76/1000000+Teams!$F$77+Teams!$F$50*Teams!$F$78+U93*Teams!$F$51*Teams!$F$79/1000000,0)</f>
        <v>875.69599999999991</v>
      </c>
      <c r="V99" s="44">
        <f>V$5*IF(AND(V$4&gt;=Teams!$F$80,Teams!$F$49=1),Teams!$F$44*Params!$E$10*Teams!$F$45*Teams!$F$75+Teams!$F$44*Params!$E$10*Teams!$F$47*Teams!$F$76/1000000+Teams!$F$77+Teams!$F$50*Teams!$F$78+V93*Teams!$F$51*Teams!$F$79/1000000,0)</f>
        <v>875.69599999999991</v>
      </c>
      <c r="W99" s="44">
        <f>W$5*IF(AND(W$4&gt;=Teams!$F$80,Teams!$F$49=1),Teams!$F$44*Params!$E$10*Teams!$F$45*Teams!$F$75+Teams!$F$44*Params!$E$10*Teams!$F$47*Teams!$F$76/1000000+Teams!$F$77+Teams!$F$50*Teams!$F$78+W93*Teams!$F$51*Teams!$F$79/1000000,0)</f>
        <v>875.69599999999991</v>
      </c>
      <c r="X99" s="44">
        <f>X$5*IF(AND(X$4&gt;=Teams!$F$80,Teams!$F$49=1),Teams!$F$44*Params!$E$10*Teams!$F$45*Teams!$F$75+Teams!$F$44*Params!$E$10*Teams!$F$47*Teams!$F$76/1000000+Teams!$F$77+Teams!$F$50*Teams!$F$78+X93*Teams!$F$51*Teams!$F$79/1000000,0)</f>
        <v>875.69599999999991</v>
      </c>
      <c r="Y99" s="44">
        <f>Y$5*IF(AND(Y$4&gt;=Teams!$F$80,Teams!$F$49=1),Teams!$F$44*Params!$E$10*Teams!$F$45*Teams!$F$75+Teams!$F$44*Params!$E$10*Teams!$F$47*Teams!$F$76/1000000+Teams!$F$77+Teams!$F$50*Teams!$F$78+Y93*Teams!$F$51*Teams!$F$79/1000000,0)</f>
        <v>875.69599999999991</v>
      </c>
      <c r="Z99" s="44">
        <f>Z$5*IF(AND(Z$4&gt;=Teams!$F$80,Teams!$F$49=1),Teams!$F$44*Params!$E$10*Teams!$F$45*Teams!$F$75+Teams!$F$44*Params!$E$10*Teams!$F$47*Teams!$F$76/1000000+Teams!$F$77+Teams!$F$50*Teams!$F$78+Z93*Teams!$F$51*Teams!$F$79/1000000,0)</f>
        <v>875.69599999999991</v>
      </c>
      <c r="AA99" s="44">
        <f>AA$5*IF(AND(AA$4&gt;=Teams!$F$80,Teams!$F$49=1),Teams!$F$44*Params!$E$10*Teams!$F$45*Teams!$F$75+Teams!$F$44*Params!$E$10*Teams!$F$47*Teams!$F$76/1000000+Teams!$F$77+Teams!$F$50*Teams!$F$78+AA93*Teams!$F$51*Teams!$F$79/1000000,0)</f>
        <v>875.69599999999991</v>
      </c>
      <c r="AB99" s="44">
        <f>AB$5*IF(AND(AB$4&gt;=Teams!$F$80,Teams!$F$49=1),Teams!$F$44*Params!$E$10*Teams!$F$45*Teams!$F$75+Teams!$F$44*Params!$E$10*Teams!$F$47*Teams!$F$76/1000000+Teams!$F$77+Teams!$F$50*Teams!$F$78+AB93*Teams!$F$51*Teams!$F$79/1000000,0)</f>
        <v>875.69599999999991</v>
      </c>
      <c r="AC99" s="44">
        <f>AC$5*IF(AND(AC$4&gt;=Teams!$F$80,Teams!$F$49=1),Teams!$F$44*Params!$E$10*Teams!$F$45*Teams!$F$75+Teams!$F$44*Params!$E$10*Teams!$F$47*Teams!$F$76/1000000+Teams!$F$77+Teams!$F$50*Teams!$F$78+AC93*Teams!$F$51*Teams!$F$79/1000000,0)</f>
        <v>875.69599999999991</v>
      </c>
      <c r="AD99" s="44">
        <f>AD$5*IF(AND(AD$4&gt;=Teams!$F$80,Teams!$F$49=1),Teams!$F$44*Params!$E$10*Teams!$F$45*Teams!$F$75+Teams!$F$44*Params!$E$10*Teams!$F$47*Teams!$F$76/1000000+Teams!$F$77+Teams!$F$50*Teams!$F$78+AD93*Teams!$F$51*Teams!$F$79/1000000,0)</f>
        <v>875.69599999999991</v>
      </c>
      <c r="AE99" s="44">
        <f>AE$5*IF(AND(AE$4&gt;=Teams!$F$80,Teams!$F$49=1),Teams!$F$44*Params!$E$10*Teams!$F$45*Teams!$F$75+Teams!$F$44*Params!$E$10*Teams!$F$47*Teams!$F$76/1000000+Teams!$F$77+Teams!$F$50*Teams!$F$78+AE93*Teams!$F$51*Teams!$F$79/1000000,0)</f>
        <v>875.69599999999991</v>
      </c>
      <c r="AF99" s="44">
        <f>AF$5*IF(AND(AF$4&gt;=Teams!$F$80,Teams!$F$49=1),Teams!$F$44*Params!$E$10*Teams!$F$45*Teams!$F$75+Teams!$F$44*Params!$E$10*Teams!$F$47*Teams!$F$76/1000000+Teams!$F$77+Teams!$F$50*Teams!$F$78+AF93*Teams!$F$51*Teams!$F$79/1000000,0)</f>
        <v>875.69599999999991</v>
      </c>
      <c r="AG99" s="44">
        <f>AG$5*IF(AND(AG$4&gt;=Teams!$F$80,Teams!$F$49=1),Teams!$F$44*Params!$E$10*Teams!$F$45*Teams!$F$75+Teams!$F$44*Params!$E$10*Teams!$F$47*Teams!$F$76/1000000+Teams!$F$77+Teams!$F$50*Teams!$F$78+AG93*Teams!$F$51*Teams!$F$79/1000000,0)</f>
        <v>875.69599999999991</v>
      </c>
      <c r="AH99" s="44">
        <f>AH$5*IF(AND(AH$4&gt;=Teams!$F$80,Teams!$F$49=1),Teams!$F$44*Params!$E$10*Teams!$F$45*Teams!$F$75+Teams!$F$44*Params!$E$10*Teams!$F$47*Teams!$F$76/1000000+Teams!$F$77+Teams!$F$50*Teams!$F$78+AH93*Teams!$F$51*Teams!$F$79/1000000,0)</f>
        <v>875.69599999999991</v>
      </c>
      <c r="AI99" s="44">
        <f>AI$5*IF(AND(AI$4&gt;=Teams!$F$80,Teams!$F$49=1),Teams!$F$44*Params!$E$10*Teams!$F$45*Teams!$F$75+Teams!$F$44*Params!$E$10*Teams!$F$47*Teams!$F$76/1000000+Teams!$F$77+Teams!$F$50*Teams!$F$78+AI93*Teams!$F$51*Teams!$F$79/1000000,0)</f>
        <v>875.69599999999991</v>
      </c>
      <c r="AJ99" s="44">
        <f>AJ$5*IF(AND(AJ$4&gt;=Teams!$F$80,Teams!$F$49=1),Teams!$F$44*Params!$E$10*Teams!$F$45*Teams!$F$75+Teams!$F$44*Params!$E$10*Teams!$F$47*Teams!$F$76/1000000+Teams!$F$77+Teams!$F$50*Teams!$F$78+AJ93*Teams!$F$51*Teams!$F$79/1000000,0)</f>
        <v>875.69599999999991</v>
      </c>
      <c r="AK99" s="44">
        <f>AK$5*IF(AND(AK$4&gt;=Teams!$F$80,Teams!$F$49=1),Teams!$F$44*Params!$E$10*Teams!$F$45*Teams!$F$75+Teams!$F$44*Params!$E$10*Teams!$F$47*Teams!$F$76/1000000+Teams!$F$77+Teams!$F$50*Teams!$F$78+AK93*Teams!$F$51*Teams!$F$79/1000000,0)</f>
        <v>875.69599999999991</v>
      </c>
      <c r="AL99" s="44">
        <f>AL$5*IF(AND(AL$4&gt;=Teams!$F$80,Teams!$F$49=1),Teams!$F$44*Params!$E$10*Teams!$F$45*Teams!$F$75+Teams!$F$44*Params!$E$10*Teams!$F$47*Teams!$F$76/1000000+Teams!$F$77+Teams!$F$50*Teams!$F$78+AL93*Teams!$F$51*Teams!$F$79/1000000,0)</f>
        <v>875.69599999999991</v>
      </c>
      <c r="AM99" s="44">
        <f>AM$5*IF(AND(AM$4&gt;=Teams!$F$80,Teams!$F$49=1),Teams!$F$44*Params!$E$10*Teams!$F$45*Teams!$F$75+Teams!$F$44*Params!$E$10*Teams!$F$47*Teams!$F$76/1000000+Teams!$F$77+Teams!$F$50*Teams!$F$78+AM93*Teams!$F$51*Teams!$F$79/1000000,0)</f>
        <v>875.69599999999991</v>
      </c>
      <c r="AN99" s="44">
        <f>AN$5*IF(AND(AN$4&gt;=Teams!$F$80,Teams!$F$49=1),Teams!$F$44*Params!$E$10*Teams!$F$45*Teams!$F$75+Teams!$F$44*Params!$E$10*Teams!$F$47*Teams!$F$76/1000000+Teams!$F$77+Teams!$F$50*Teams!$F$78+AN93*Teams!$F$51*Teams!$F$79/1000000,0)</f>
        <v>875.69599999999991</v>
      </c>
      <c r="AO99" s="44">
        <f>AO$5*IF(AND(AO$4&gt;=Teams!$F$80,Teams!$F$49=1),Teams!$F$44*Params!$E$10*Teams!$F$45*Teams!$F$75+Teams!$F$44*Params!$E$10*Teams!$F$47*Teams!$F$76/1000000+Teams!$F$77+Teams!$F$50*Teams!$F$78+AO93*Teams!$F$51*Teams!$F$79/1000000,0)</f>
        <v>0</v>
      </c>
      <c r="AP99" s="44">
        <f>AP$5*IF(AND(AP$4&gt;=Teams!$F$80,Teams!$F$49=1),Teams!$F$44*Params!$E$10*Teams!$F$45*Teams!$F$75+Teams!$F$44*Params!$E$10*Teams!$F$47*Teams!$F$76/1000000+Teams!$F$77+Teams!$F$50*Teams!$F$78+AP93*Teams!$F$51*Teams!$F$79/1000000,0)</f>
        <v>0</v>
      </c>
      <c r="AQ99" s="44">
        <f>AQ$5*IF(AND(AQ$4&gt;=Teams!$F$80,Teams!$F$49=1),Teams!$F$44*Params!$E$10*Teams!$F$45*Teams!$F$75+Teams!$F$44*Params!$E$10*Teams!$F$47*Teams!$F$76/1000000+Teams!$F$77+Teams!$F$50*Teams!$F$78+AQ93*Teams!$F$51*Teams!$F$79/1000000,0)</f>
        <v>0</v>
      </c>
      <c r="AR99" s="44">
        <f>AR$5*IF(AND(AR$4&gt;=Teams!$F$80,Teams!$F$49=1),Teams!$F$44*Params!$E$10*Teams!$F$45*Teams!$F$75+Teams!$F$44*Params!$E$10*Teams!$F$47*Teams!$F$76/1000000+Teams!$F$77+Teams!$F$50*Teams!$F$78+AR93*Teams!$F$51*Teams!$F$79/1000000,0)</f>
        <v>0</v>
      </c>
      <c r="AS99" s="44">
        <f>AS$5*IF(AND(AS$4&gt;=Teams!$F$80,Teams!$F$49=1),Teams!$F$44*Params!$E$10*Teams!$F$45*Teams!$F$75+Teams!$F$44*Params!$E$10*Teams!$F$47*Teams!$F$76/1000000+Teams!$F$77+Teams!$F$50*Teams!$F$78+AS93*Teams!$F$51*Teams!$F$79/1000000,0)</f>
        <v>0</v>
      </c>
      <c r="AT99" s="44">
        <f>AT$5*IF(AND(AT$4&gt;=Teams!$F$80,Teams!$F$49=1),Teams!$F$44*Params!$E$10*Teams!$F$45*Teams!$F$75+Teams!$F$44*Params!$E$10*Teams!$F$47*Teams!$F$76/1000000+Teams!$F$77+Teams!$F$50*Teams!$F$78+AT93*Teams!$F$51*Teams!$F$79/1000000,0)</f>
        <v>0</v>
      </c>
      <c r="AU99" s="44">
        <f>AU$5*IF(AND(AU$4&gt;=Teams!$F$80,Teams!$F$49=1),Teams!$F$44*Params!$E$10*Teams!$F$45*Teams!$F$75+Teams!$F$44*Params!$E$10*Teams!$F$47*Teams!$F$76/1000000+Teams!$F$77+Teams!$F$50*Teams!$F$78+AU93*Teams!$F$51*Teams!$F$79/1000000,0)</f>
        <v>0</v>
      </c>
      <c r="AV99" s="44">
        <f>AV$5*IF(AND(AV$4&gt;=Teams!$F$80,Teams!$F$49=1),Teams!$F$44*Params!$E$10*Teams!$F$45*Teams!$F$75+Teams!$F$44*Params!$E$10*Teams!$F$47*Teams!$F$76/1000000+Teams!$F$77+Teams!$F$50*Teams!$F$78+AV93*Teams!$F$51*Teams!$F$79/1000000,0)</f>
        <v>0</v>
      </c>
      <c r="AW99" s="44">
        <f>AW$5*IF(AND(AW$4&gt;=Teams!$F$80,Teams!$F$49=1),Teams!$F$44*Params!$E$10*Teams!$F$45*Teams!$F$75+Teams!$F$44*Params!$E$10*Teams!$F$47*Teams!$F$76/1000000+Teams!$F$77+Teams!$F$50*Teams!$F$78+AW93*Teams!$F$51*Teams!$F$79/1000000,0)</f>
        <v>0</v>
      </c>
      <c r="AX99" s="44">
        <f>AX$5*IF(AND(AX$4&gt;=Teams!$F$80,Teams!$F$49=1),Teams!$F$44*Params!$E$10*Teams!$F$45*Teams!$F$75+Teams!$F$44*Params!$E$10*Teams!$F$47*Teams!$F$76/1000000+Teams!$F$77+Teams!$F$50*Teams!$F$78+AX93*Teams!$F$51*Teams!$F$79/1000000,0)</f>
        <v>0</v>
      </c>
      <c r="AY99" s="44">
        <f>AY$5*IF(AND(AY$4&gt;=Teams!$F$80,Teams!$F$49=1),Teams!$F$44*Params!$E$10*Teams!$F$45*Teams!$F$75+Teams!$F$44*Params!$E$10*Teams!$F$47*Teams!$F$76/1000000+Teams!$F$77+Teams!$F$50*Teams!$F$78+AY93*Teams!$F$51*Teams!$F$79/1000000,0)</f>
        <v>0</v>
      </c>
      <c r="AZ99" s="44">
        <f>AZ$5*IF(AND(AZ$4&gt;=Teams!$F$80,Teams!$F$49=1),Teams!$F$44*Params!$E$10*Teams!$F$45*Teams!$F$75+Teams!$F$44*Params!$E$10*Teams!$F$47*Teams!$F$76/1000000+Teams!$F$77+Teams!$F$50*Teams!$F$78+AZ93*Teams!$F$51*Teams!$F$79/1000000,0)</f>
        <v>0</v>
      </c>
      <c r="BA99" s="44">
        <f>BA$5*IF(AND(BA$4&gt;=Teams!$F$80,Teams!$F$49=1),Teams!$F$44*Params!$E$10*Teams!$F$45*Teams!$F$75+Teams!$F$44*Params!$E$10*Teams!$F$47*Teams!$F$76/1000000+Teams!$F$77+Teams!$F$50*Teams!$F$78+BA93*Teams!$F$51*Teams!$F$79/1000000,0)</f>
        <v>0</v>
      </c>
      <c r="BB99" s="44">
        <f>BB$5*IF(AND(BB$4&gt;=Teams!$F$80,Teams!$F$49=1),Teams!$F$44*Params!$E$10*Teams!$F$45*Teams!$F$75+Teams!$F$44*Params!$E$10*Teams!$F$47*Teams!$F$76/1000000+Teams!$F$77+Teams!$F$50*Teams!$F$78+BB93*Teams!$F$51*Teams!$F$79/1000000,0)</f>
        <v>0</v>
      </c>
      <c r="BC99" s="44">
        <f>BC$5*IF(AND(BC$4&gt;=Teams!$F$80,Teams!$F$49=1),Teams!$F$44*Params!$E$10*Teams!$F$45*Teams!$F$75+Teams!$F$44*Params!$E$10*Teams!$F$47*Teams!$F$76/1000000+Teams!$F$77+Teams!$F$50*Teams!$F$78+BC93*Teams!$F$51*Teams!$F$79/1000000,0)</f>
        <v>0</v>
      </c>
      <c r="BD99" s="44">
        <f>BD$5*IF(AND(BD$4&gt;=Teams!$F$80,Teams!$F$49=1),Teams!$F$44*Params!$E$10*Teams!$F$45*Teams!$F$75+Teams!$F$44*Params!$E$10*Teams!$F$47*Teams!$F$76/1000000+Teams!$F$77+Teams!$F$50*Teams!$F$78+BD93*Teams!$F$51*Teams!$F$79/1000000,0)</f>
        <v>0</v>
      </c>
      <c r="BE99" s="44">
        <f>BE$5*IF(AND(BE$4&gt;=Teams!$F$80,Teams!$F$49=1),Teams!$F$44*Params!$E$10*Teams!$F$45*Teams!$F$75+Teams!$F$44*Params!$E$10*Teams!$F$47*Teams!$F$76/1000000+Teams!$F$77+Teams!$F$50*Teams!$F$78+BE93*Teams!$F$51*Teams!$F$79/1000000,0)</f>
        <v>0</v>
      </c>
      <c r="BF99" s="44">
        <f>BF$5*IF(AND(BF$4&gt;=Teams!$F$80,Teams!$F$49=1),Teams!$F$44*Params!$E$10*Teams!$F$45*Teams!$F$75+Teams!$F$44*Params!$E$10*Teams!$F$47*Teams!$F$76/1000000+Teams!$F$77+Teams!$F$50*Teams!$F$78+BF93*Teams!$F$51*Teams!$F$79/1000000,0)</f>
        <v>0</v>
      </c>
      <c r="BG99" s="44">
        <f>BG$5*IF(AND(BG$4&gt;=Teams!$F$80,Teams!$F$49=1),Teams!$F$44*Params!$E$10*Teams!$F$45*Teams!$F$75+Teams!$F$44*Params!$E$10*Teams!$F$47*Teams!$F$76/1000000+Teams!$F$77+Teams!$F$50*Teams!$F$78+BG93*Teams!$F$51*Teams!$F$79/1000000,0)</f>
        <v>0</v>
      </c>
      <c r="BH99" s="44">
        <f>BH$5*IF(AND(BH$4&gt;=Teams!$F$80,Teams!$F$49=1),Teams!$F$44*Params!$E$10*Teams!$F$45*Teams!$F$75+Teams!$F$44*Params!$E$10*Teams!$F$47*Teams!$F$76/1000000+Teams!$F$77+Teams!$F$50*Teams!$F$78+BH93*Teams!$F$51*Teams!$F$79/1000000,0)</f>
        <v>0</v>
      </c>
      <c r="BI99" s="44">
        <f>BI$5*IF(AND(BI$4&gt;=Teams!$F$80,Teams!$F$49=1),Teams!$F$44*Params!$E$10*Teams!$F$45*Teams!$F$75+Teams!$F$44*Params!$E$10*Teams!$F$47*Teams!$F$76/1000000+Teams!$F$77+Teams!$F$50*Teams!$F$78+BI93*Teams!$F$51*Teams!$F$79/1000000,0)</f>
        <v>0</v>
      </c>
      <c r="BJ99" s="44">
        <f>BJ$5*IF(AND(BJ$4&gt;=Teams!$F$80,Teams!$F$49=1),Teams!$F$44*Params!$E$10*Teams!$F$45*Teams!$F$75+Teams!$F$44*Params!$E$10*Teams!$F$47*Teams!$F$76/1000000+Teams!$F$77+Teams!$F$50*Teams!$F$78+BJ93*Teams!$F$51*Teams!$F$79/1000000,0)</f>
        <v>0</v>
      </c>
      <c r="BK99" s="44">
        <f>BK$5*IF(AND(BK$4&gt;=Teams!$F$80,Teams!$F$49=1),Teams!$F$44*Params!$E$10*Teams!$F$45*Teams!$F$75+Teams!$F$44*Params!$E$10*Teams!$F$47*Teams!$F$76/1000000+Teams!$F$77+Teams!$F$50*Teams!$F$78+BK93*Teams!$F$51*Teams!$F$79/1000000,0)</f>
        <v>0</v>
      </c>
      <c r="BL99" s="44">
        <f>BL$5*IF(AND(BL$4&gt;=Teams!$F$80,Teams!$F$49=1),Teams!$F$44*Params!$E$10*Teams!$F$45*Teams!$F$75+Teams!$F$44*Params!$E$10*Teams!$F$47*Teams!$F$76/1000000+Teams!$F$77+Teams!$F$50*Teams!$F$78+BL93*Teams!$F$51*Teams!$F$79/1000000,0)</f>
        <v>0</v>
      </c>
    </row>
    <row r="100" spans="1:64" x14ac:dyDescent="0.3">
      <c r="A100" s="8" t="s">
        <v>671</v>
      </c>
      <c r="B100" s="18" t="s">
        <v>169</v>
      </c>
      <c r="C100" s="44">
        <f t="shared" si="29"/>
        <v>13600</v>
      </c>
      <c r="E100" s="44">
        <f>E$5*IF(E$4&gt;=Teams!$F$80,Teams!$F$43*Params!$E$6*Org!$B$10*Params!$E$7/12,0)</f>
        <v>0</v>
      </c>
      <c r="F100" s="44">
        <f>F$5*IF(F$4&gt;=Teams!$F$80,Teams!$F$43*Params!$E$6*Org!$B$10*Params!$E$7/12,0)</f>
        <v>0</v>
      </c>
      <c r="G100" s="44">
        <f>G$5*IF(G$4&gt;=Teams!$F$80,Teams!$F$43*Params!$E$6*Org!$B$10*Params!$E$7/12,0)</f>
        <v>400</v>
      </c>
      <c r="H100" s="44">
        <f>H$5*IF(H$4&gt;=Teams!$F$80,Teams!$F$43*Params!$E$6*Org!$B$10*Params!$E$7/12,0)</f>
        <v>400</v>
      </c>
      <c r="I100" s="44">
        <f>I$5*IF(I$4&gt;=Teams!$F$80,Teams!$F$43*Params!$E$6*Org!$B$10*Params!$E$7/12,0)</f>
        <v>400</v>
      </c>
      <c r="J100" s="44">
        <f>J$5*IF(J$4&gt;=Teams!$F$80,Teams!$F$43*Params!$E$6*Org!$B$10*Params!$E$7/12,0)</f>
        <v>400</v>
      </c>
      <c r="K100" s="44">
        <f>K$5*IF(K$4&gt;=Teams!$F$80,Teams!$F$43*Params!$E$6*Org!$B$10*Params!$E$7/12,0)</f>
        <v>400</v>
      </c>
      <c r="L100" s="44">
        <f>L$5*IF(L$4&gt;=Teams!$F$80,Teams!$F$43*Params!$E$6*Org!$B$10*Params!$E$7/12,0)</f>
        <v>400</v>
      </c>
      <c r="M100" s="44">
        <f>M$5*IF(M$4&gt;=Teams!$F$80,Teams!$F$43*Params!$E$6*Org!$B$10*Params!$E$7/12,0)</f>
        <v>400</v>
      </c>
      <c r="N100" s="44">
        <f>N$5*IF(N$4&gt;=Teams!$F$80,Teams!$F$43*Params!$E$6*Org!$B$10*Params!$E$7/12,0)</f>
        <v>400</v>
      </c>
      <c r="O100" s="44">
        <f>O$5*IF(O$4&gt;=Teams!$F$80,Teams!$F$43*Params!$E$6*Org!$B$10*Params!$E$7/12,0)</f>
        <v>400</v>
      </c>
      <c r="P100" s="44">
        <f>P$5*IF(P$4&gt;=Teams!$F$80,Teams!$F$43*Params!$E$6*Org!$B$10*Params!$E$7/12,0)</f>
        <v>400</v>
      </c>
      <c r="Q100" s="44">
        <f>Q$5*IF(Q$4&gt;=Teams!$F$80,Teams!$F$43*Params!$E$6*Org!$B$10*Params!$E$7/12,0)</f>
        <v>400</v>
      </c>
      <c r="R100" s="44">
        <f>R$5*IF(R$4&gt;=Teams!$F$80,Teams!$F$43*Params!$E$6*Org!$B$10*Params!$E$7/12,0)</f>
        <v>400</v>
      </c>
      <c r="S100" s="44">
        <f>S$5*IF(S$4&gt;=Teams!$F$80,Teams!$F$43*Params!$E$6*Org!$B$10*Params!$E$7/12,0)</f>
        <v>400</v>
      </c>
      <c r="T100" s="44">
        <f>T$5*IF(T$4&gt;=Teams!$F$80,Teams!$F$43*Params!$E$6*Org!$B$10*Params!$E$7/12,0)</f>
        <v>400</v>
      </c>
      <c r="U100" s="44">
        <f>U$5*IF(U$4&gt;=Teams!$F$80,Teams!$F$43*Params!$E$6*Org!$B$10*Params!$E$7/12,0)</f>
        <v>400</v>
      </c>
      <c r="V100" s="44">
        <f>V$5*IF(V$4&gt;=Teams!$F$80,Teams!$F$43*Params!$E$6*Org!$B$10*Params!$E$7/12,0)</f>
        <v>400</v>
      </c>
      <c r="W100" s="44">
        <f>W$5*IF(W$4&gt;=Teams!$F$80,Teams!$F$43*Params!$E$6*Org!$B$10*Params!$E$7/12,0)</f>
        <v>400</v>
      </c>
      <c r="X100" s="44">
        <f>X$5*IF(X$4&gt;=Teams!$F$80,Teams!$F$43*Params!$E$6*Org!$B$10*Params!$E$7/12,0)</f>
        <v>400</v>
      </c>
      <c r="Y100" s="44">
        <f>Y$5*IF(Y$4&gt;=Teams!$F$80,Teams!$F$43*Params!$E$6*Org!$B$10*Params!$E$7/12,0)</f>
        <v>400</v>
      </c>
      <c r="Z100" s="44">
        <f>Z$5*IF(Z$4&gt;=Teams!$F$80,Teams!$F$43*Params!$E$6*Org!$B$10*Params!$E$7/12,0)</f>
        <v>400</v>
      </c>
      <c r="AA100" s="44">
        <f>AA$5*IF(AA$4&gt;=Teams!$F$80,Teams!$F$43*Params!$E$6*Org!$B$10*Params!$E$7/12,0)</f>
        <v>400</v>
      </c>
      <c r="AB100" s="44">
        <f>AB$5*IF(AB$4&gt;=Teams!$F$80,Teams!$F$43*Params!$E$6*Org!$B$10*Params!$E$7/12,0)</f>
        <v>400</v>
      </c>
      <c r="AC100" s="44">
        <f>AC$5*IF(AC$4&gt;=Teams!$F$80,Teams!$F$43*Params!$E$6*Org!$B$10*Params!$E$7/12,0)</f>
        <v>400</v>
      </c>
      <c r="AD100" s="44">
        <f>AD$5*IF(AD$4&gt;=Teams!$F$80,Teams!$F$43*Params!$E$6*Org!$B$10*Params!$E$7/12,0)</f>
        <v>400</v>
      </c>
      <c r="AE100" s="44">
        <f>AE$5*IF(AE$4&gt;=Teams!$F$80,Teams!$F$43*Params!$E$6*Org!$B$10*Params!$E$7/12,0)</f>
        <v>400</v>
      </c>
      <c r="AF100" s="44">
        <f>AF$5*IF(AF$4&gt;=Teams!$F$80,Teams!$F$43*Params!$E$6*Org!$B$10*Params!$E$7/12,0)</f>
        <v>400</v>
      </c>
      <c r="AG100" s="44">
        <f>AG$5*IF(AG$4&gt;=Teams!$F$80,Teams!$F$43*Params!$E$6*Org!$B$10*Params!$E$7/12,0)</f>
        <v>400</v>
      </c>
      <c r="AH100" s="44">
        <f>AH$5*IF(AH$4&gt;=Teams!$F$80,Teams!$F$43*Params!$E$6*Org!$B$10*Params!$E$7/12,0)</f>
        <v>400</v>
      </c>
      <c r="AI100" s="44">
        <f>AI$5*IF(AI$4&gt;=Teams!$F$80,Teams!$F$43*Params!$E$6*Org!$B$10*Params!$E$7/12,0)</f>
        <v>400</v>
      </c>
      <c r="AJ100" s="44">
        <f>AJ$5*IF(AJ$4&gt;=Teams!$F$80,Teams!$F$43*Params!$E$6*Org!$B$10*Params!$E$7/12,0)</f>
        <v>400</v>
      </c>
      <c r="AK100" s="44">
        <f>AK$5*IF(AK$4&gt;=Teams!$F$80,Teams!$F$43*Params!$E$6*Org!$B$10*Params!$E$7/12,0)</f>
        <v>400</v>
      </c>
      <c r="AL100" s="44">
        <f>AL$5*IF(AL$4&gt;=Teams!$F$80,Teams!$F$43*Params!$E$6*Org!$B$10*Params!$E$7/12,0)</f>
        <v>400</v>
      </c>
      <c r="AM100" s="44">
        <f>AM$5*IF(AM$4&gt;=Teams!$F$80,Teams!$F$43*Params!$E$6*Org!$B$10*Params!$E$7/12,0)</f>
        <v>400</v>
      </c>
      <c r="AN100" s="44">
        <f>AN$5*IF(AN$4&gt;=Teams!$F$80,Teams!$F$43*Params!$E$6*Org!$B$10*Params!$E$7/12,0)</f>
        <v>400</v>
      </c>
      <c r="AO100" s="44">
        <f>AO$5*IF(AO$4&gt;=Teams!$F$80,Teams!$F$43*Params!$E$6*Org!$B$10*Params!$E$7/12,0)</f>
        <v>0</v>
      </c>
      <c r="AP100" s="44">
        <f>AP$5*IF(AP$4&gt;=Teams!$F$80,Teams!$F$43*Params!$E$6*Org!$B$10*Params!$E$7/12,0)</f>
        <v>0</v>
      </c>
      <c r="AQ100" s="44">
        <f>AQ$5*IF(AQ$4&gt;=Teams!$F$80,Teams!$F$43*Params!$E$6*Org!$B$10*Params!$E$7/12,0)</f>
        <v>0</v>
      </c>
      <c r="AR100" s="44">
        <f>AR$5*IF(AR$4&gt;=Teams!$F$80,Teams!$F$43*Params!$E$6*Org!$B$10*Params!$E$7/12,0)</f>
        <v>0</v>
      </c>
      <c r="AS100" s="44">
        <f>AS$5*IF(AS$4&gt;=Teams!$F$80,Teams!$F$43*Params!$E$6*Org!$B$10*Params!$E$7/12,0)</f>
        <v>0</v>
      </c>
      <c r="AT100" s="44">
        <f>AT$5*IF(AT$4&gt;=Teams!$F$80,Teams!$F$43*Params!$E$6*Org!$B$10*Params!$E$7/12,0)</f>
        <v>0</v>
      </c>
      <c r="AU100" s="44">
        <f>AU$5*IF(AU$4&gt;=Teams!$F$80,Teams!$F$43*Params!$E$6*Org!$B$10*Params!$E$7/12,0)</f>
        <v>0</v>
      </c>
      <c r="AV100" s="44">
        <f>AV$5*IF(AV$4&gt;=Teams!$F$80,Teams!$F$43*Params!$E$6*Org!$B$10*Params!$E$7/12,0)</f>
        <v>0</v>
      </c>
      <c r="AW100" s="44">
        <f>AW$5*IF(AW$4&gt;=Teams!$F$80,Teams!$F$43*Params!$E$6*Org!$B$10*Params!$E$7/12,0)</f>
        <v>0</v>
      </c>
      <c r="AX100" s="44">
        <f>AX$5*IF(AX$4&gt;=Teams!$F$80,Teams!$F$43*Params!$E$6*Org!$B$10*Params!$E$7/12,0)</f>
        <v>0</v>
      </c>
      <c r="AY100" s="44">
        <f>AY$5*IF(AY$4&gt;=Teams!$F$80,Teams!$F$43*Params!$E$6*Org!$B$10*Params!$E$7/12,0)</f>
        <v>0</v>
      </c>
      <c r="AZ100" s="44">
        <f>AZ$5*IF(AZ$4&gt;=Teams!$F$80,Teams!$F$43*Params!$E$6*Org!$B$10*Params!$E$7/12,0)</f>
        <v>0</v>
      </c>
      <c r="BA100" s="44">
        <f>BA$5*IF(BA$4&gt;=Teams!$F$80,Teams!$F$43*Params!$E$6*Org!$B$10*Params!$E$7/12,0)</f>
        <v>0</v>
      </c>
      <c r="BB100" s="44">
        <f>BB$5*IF(BB$4&gt;=Teams!$F$80,Teams!$F$43*Params!$E$6*Org!$B$10*Params!$E$7/12,0)</f>
        <v>0</v>
      </c>
      <c r="BC100" s="44">
        <f>BC$5*IF(BC$4&gt;=Teams!$F$80,Teams!$F$43*Params!$E$6*Org!$B$10*Params!$E$7/12,0)</f>
        <v>0</v>
      </c>
      <c r="BD100" s="44">
        <f>BD$5*IF(BD$4&gt;=Teams!$F$80,Teams!$F$43*Params!$E$6*Org!$B$10*Params!$E$7/12,0)</f>
        <v>0</v>
      </c>
      <c r="BE100" s="44">
        <f>BE$5*IF(BE$4&gt;=Teams!$F$80,Teams!$F$43*Params!$E$6*Org!$B$10*Params!$E$7/12,0)</f>
        <v>0</v>
      </c>
      <c r="BF100" s="44">
        <f>BF$5*IF(BF$4&gt;=Teams!$F$80,Teams!$F$43*Params!$E$6*Org!$B$10*Params!$E$7/12,0)</f>
        <v>0</v>
      </c>
      <c r="BG100" s="44">
        <f>BG$5*IF(BG$4&gt;=Teams!$F$80,Teams!$F$43*Params!$E$6*Org!$B$10*Params!$E$7/12,0)</f>
        <v>0</v>
      </c>
      <c r="BH100" s="44">
        <f>BH$5*IF(BH$4&gt;=Teams!$F$80,Teams!$F$43*Params!$E$6*Org!$B$10*Params!$E$7/12,0)</f>
        <v>0</v>
      </c>
      <c r="BI100" s="44">
        <f>BI$5*IF(BI$4&gt;=Teams!$F$80,Teams!$F$43*Params!$E$6*Org!$B$10*Params!$E$7/12,0)</f>
        <v>0</v>
      </c>
      <c r="BJ100" s="44">
        <f>BJ$5*IF(BJ$4&gt;=Teams!$F$80,Teams!$F$43*Params!$E$6*Org!$B$10*Params!$E$7/12,0)</f>
        <v>0</v>
      </c>
      <c r="BK100" s="44">
        <f>BK$5*IF(BK$4&gt;=Teams!$F$80,Teams!$F$43*Params!$E$6*Org!$B$10*Params!$E$7/12,0)</f>
        <v>0</v>
      </c>
      <c r="BL100" s="44">
        <f>BL$5*IF(BL$4&gt;=Teams!$F$80,Teams!$F$43*Params!$E$6*Org!$B$10*Params!$E$7/12,0)</f>
        <v>0</v>
      </c>
    </row>
    <row r="101" spans="1:64" x14ac:dyDescent="0.3">
      <c r="A101" s="8" t="s">
        <v>672</v>
      </c>
      <c r="B101" s="18" t="s">
        <v>169</v>
      </c>
      <c r="C101" s="44">
        <f t="shared" si="29"/>
        <v>129120</v>
      </c>
      <c r="E101" s="44">
        <f>E$5*IF(E$4&gt;=Teams!$F$80,Params!$E$23*Params!$E$24/60*(Org!$B$10/Org!$B$11)+Params!$E$27/12*Params!$E$13*Org!$B$10+E92/1000*Params!$E$28*Params!$E$29*(Org!$B$10/Org!$B$11),0)</f>
        <v>0</v>
      </c>
      <c r="F101" s="44">
        <f>F$5*IF(F$4&gt;=Teams!$F$80,Params!$E$23*Params!$E$24/60*(Org!$B$10/Org!$B$11)+Params!$E$27/12*Params!$E$13*Org!$B$10+F92/1000*Params!$E$28*Params!$E$29*(Org!$B$10/Org!$B$11),0)</f>
        <v>0</v>
      </c>
      <c r="G101" s="44">
        <f>G$5*IF(G$4&gt;=Teams!$F$80,Params!$E$23*Params!$E$24/60*(Org!$B$10/Org!$B$11)+Params!$E$27/12*Params!$E$13*Org!$B$10+G92/1000*Params!$E$28*Params!$E$29*(Org!$B$10/Org!$B$11),0)</f>
        <v>3621.84</v>
      </c>
      <c r="H101" s="44">
        <f>H$5*IF(H$4&gt;=Teams!$F$80,Params!$E$23*Params!$E$24/60*(Org!$B$10/Org!$B$11)+Params!$E$27/12*Params!$E$13*Org!$B$10+H92/1000*Params!$E$28*Params!$E$29*(Org!$B$10/Org!$B$11),0)</f>
        <v>3673.92</v>
      </c>
      <c r="I101" s="44">
        <f>I$5*IF(I$4&gt;=Teams!$F$80,Params!$E$23*Params!$E$24/60*(Org!$B$10/Org!$B$11)+Params!$E$27/12*Params!$E$13*Org!$B$10+I92/1000*Params!$E$28*Params!$E$29*(Org!$B$10/Org!$B$11),0)</f>
        <v>3736.08</v>
      </c>
      <c r="J101" s="44">
        <f>J$5*IF(J$4&gt;=Teams!$F$80,Params!$E$23*Params!$E$24/60*(Org!$B$10/Org!$B$11)+Params!$E$27/12*Params!$E$13*Org!$B$10+J92/1000*Params!$E$28*Params!$E$29*(Org!$B$10/Org!$B$11),0)</f>
        <v>3788.16</v>
      </c>
      <c r="K101" s="44">
        <f>K$5*IF(K$4&gt;=Teams!$F$80,Params!$E$23*Params!$E$24/60*(Org!$B$10/Org!$B$11)+Params!$E$27/12*Params!$E$13*Org!$B$10+K92/1000*Params!$E$28*Params!$E$29*(Org!$B$10/Org!$B$11),0)</f>
        <v>3810</v>
      </c>
      <c r="L101" s="44">
        <f>L$5*IF(L$4&gt;=Teams!$F$80,Params!$E$23*Params!$E$24/60*(Org!$B$10/Org!$B$11)+Params!$E$27/12*Params!$E$13*Org!$B$10+L92/1000*Params!$E$28*Params!$E$29*(Org!$B$10/Org!$B$11),0)</f>
        <v>3810</v>
      </c>
      <c r="M101" s="44">
        <f>M$5*IF(M$4&gt;=Teams!$F$80,Params!$E$23*Params!$E$24/60*(Org!$B$10/Org!$B$11)+Params!$E$27/12*Params!$E$13*Org!$B$10+M92/1000*Params!$E$28*Params!$E$29*(Org!$B$10/Org!$B$11),0)</f>
        <v>3810</v>
      </c>
      <c r="N101" s="44">
        <f>N$5*IF(N$4&gt;=Teams!$F$80,Params!$E$23*Params!$E$24/60*(Org!$B$10/Org!$B$11)+Params!$E$27/12*Params!$E$13*Org!$B$10+N92/1000*Params!$E$28*Params!$E$29*(Org!$B$10/Org!$B$11),0)</f>
        <v>3810</v>
      </c>
      <c r="O101" s="44">
        <f>O$5*IF(O$4&gt;=Teams!$F$80,Params!$E$23*Params!$E$24/60*(Org!$B$10/Org!$B$11)+Params!$E$27/12*Params!$E$13*Org!$B$10+O92/1000*Params!$E$28*Params!$E$29*(Org!$B$10/Org!$B$11),0)</f>
        <v>3810</v>
      </c>
      <c r="P101" s="44">
        <f>P$5*IF(P$4&gt;=Teams!$F$80,Params!$E$23*Params!$E$24/60*(Org!$B$10/Org!$B$11)+Params!$E$27/12*Params!$E$13*Org!$B$10+P92/1000*Params!$E$28*Params!$E$29*(Org!$B$10/Org!$B$11),0)</f>
        <v>3810</v>
      </c>
      <c r="Q101" s="44">
        <f>Q$5*IF(Q$4&gt;=Teams!$F$80,Params!$E$23*Params!$E$24/60*(Org!$B$10/Org!$B$11)+Params!$E$27/12*Params!$E$13*Org!$B$10+Q92/1000*Params!$E$28*Params!$E$29*(Org!$B$10/Org!$B$11),0)</f>
        <v>3810</v>
      </c>
      <c r="R101" s="44">
        <f>R$5*IF(R$4&gt;=Teams!$F$80,Params!$E$23*Params!$E$24/60*(Org!$B$10/Org!$B$11)+Params!$E$27/12*Params!$E$13*Org!$B$10+R92/1000*Params!$E$28*Params!$E$29*(Org!$B$10/Org!$B$11),0)</f>
        <v>3810</v>
      </c>
      <c r="S101" s="44">
        <f>S$5*IF(S$4&gt;=Teams!$F$80,Params!$E$23*Params!$E$24/60*(Org!$B$10/Org!$B$11)+Params!$E$27/12*Params!$E$13*Org!$B$10+S92/1000*Params!$E$28*Params!$E$29*(Org!$B$10/Org!$B$11),0)</f>
        <v>3810</v>
      </c>
      <c r="T101" s="44">
        <f>T$5*IF(T$4&gt;=Teams!$F$80,Params!$E$23*Params!$E$24/60*(Org!$B$10/Org!$B$11)+Params!$E$27/12*Params!$E$13*Org!$B$10+T92/1000*Params!$E$28*Params!$E$29*(Org!$B$10/Org!$B$11),0)</f>
        <v>3810</v>
      </c>
      <c r="U101" s="44">
        <f>U$5*IF(U$4&gt;=Teams!$F$80,Params!$E$23*Params!$E$24/60*(Org!$B$10/Org!$B$11)+Params!$E$27/12*Params!$E$13*Org!$B$10+U92/1000*Params!$E$28*Params!$E$29*(Org!$B$10/Org!$B$11),0)</f>
        <v>3810</v>
      </c>
      <c r="V101" s="44">
        <f>V$5*IF(V$4&gt;=Teams!$F$80,Params!$E$23*Params!$E$24/60*(Org!$B$10/Org!$B$11)+Params!$E$27/12*Params!$E$13*Org!$B$10+V92/1000*Params!$E$28*Params!$E$29*(Org!$B$10/Org!$B$11),0)</f>
        <v>3810</v>
      </c>
      <c r="W101" s="44">
        <f>W$5*IF(W$4&gt;=Teams!$F$80,Params!$E$23*Params!$E$24/60*(Org!$B$10/Org!$B$11)+Params!$E$27/12*Params!$E$13*Org!$B$10+W92/1000*Params!$E$28*Params!$E$29*(Org!$B$10/Org!$B$11),0)</f>
        <v>3810</v>
      </c>
      <c r="X101" s="44">
        <f>X$5*IF(X$4&gt;=Teams!$F$80,Params!$E$23*Params!$E$24/60*(Org!$B$10/Org!$B$11)+Params!$E$27/12*Params!$E$13*Org!$B$10+X92/1000*Params!$E$28*Params!$E$29*(Org!$B$10/Org!$B$11),0)</f>
        <v>3810</v>
      </c>
      <c r="Y101" s="44">
        <f>Y$5*IF(Y$4&gt;=Teams!$F$80,Params!$E$23*Params!$E$24/60*(Org!$B$10/Org!$B$11)+Params!$E$27/12*Params!$E$13*Org!$B$10+Y92/1000*Params!$E$28*Params!$E$29*(Org!$B$10/Org!$B$11),0)</f>
        <v>3810</v>
      </c>
      <c r="Z101" s="44">
        <f>Z$5*IF(Z$4&gt;=Teams!$F$80,Params!$E$23*Params!$E$24/60*(Org!$B$10/Org!$B$11)+Params!$E$27/12*Params!$E$13*Org!$B$10+Z92/1000*Params!$E$28*Params!$E$29*(Org!$B$10/Org!$B$11),0)</f>
        <v>3810</v>
      </c>
      <c r="AA101" s="44">
        <f>AA$5*IF(AA$4&gt;=Teams!$F$80,Params!$E$23*Params!$E$24/60*(Org!$B$10/Org!$B$11)+Params!$E$27/12*Params!$E$13*Org!$B$10+AA92/1000*Params!$E$28*Params!$E$29*(Org!$B$10/Org!$B$11),0)</f>
        <v>3810</v>
      </c>
      <c r="AB101" s="44">
        <f>AB$5*IF(AB$4&gt;=Teams!$F$80,Params!$E$23*Params!$E$24/60*(Org!$B$10/Org!$B$11)+Params!$E$27/12*Params!$E$13*Org!$B$10+AB92/1000*Params!$E$28*Params!$E$29*(Org!$B$10/Org!$B$11),0)</f>
        <v>3810</v>
      </c>
      <c r="AC101" s="44">
        <f>AC$5*IF(AC$4&gt;=Teams!$F$80,Params!$E$23*Params!$E$24/60*(Org!$B$10/Org!$B$11)+Params!$E$27/12*Params!$E$13*Org!$B$10+AC92/1000*Params!$E$28*Params!$E$29*(Org!$B$10/Org!$B$11),0)</f>
        <v>3810</v>
      </c>
      <c r="AD101" s="44">
        <f>AD$5*IF(AD$4&gt;=Teams!$F$80,Params!$E$23*Params!$E$24/60*(Org!$B$10/Org!$B$11)+Params!$E$27/12*Params!$E$13*Org!$B$10+AD92/1000*Params!$E$28*Params!$E$29*(Org!$B$10/Org!$B$11),0)</f>
        <v>3810</v>
      </c>
      <c r="AE101" s="44">
        <f>AE$5*IF(AE$4&gt;=Teams!$F$80,Params!$E$23*Params!$E$24/60*(Org!$B$10/Org!$B$11)+Params!$E$27/12*Params!$E$13*Org!$B$10+AE92/1000*Params!$E$28*Params!$E$29*(Org!$B$10/Org!$B$11),0)</f>
        <v>3810</v>
      </c>
      <c r="AF101" s="44">
        <f>AF$5*IF(AF$4&gt;=Teams!$F$80,Params!$E$23*Params!$E$24/60*(Org!$B$10/Org!$B$11)+Params!$E$27/12*Params!$E$13*Org!$B$10+AF92/1000*Params!$E$28*Params!$E$29*(Org!$B$10/Org!$B$11),0)</f>
        <v>3810</v>
      </c>
      <c r="AG101" s="44">
        <f>AG$5*IF(AG$4&gt;=Teams!$F$80,Params!$E$23*Params!$E$24/60*(Org!$B$10/Org!$B$11)+Params!$E$27/12*Params!$E$13*Org!$B$10+AG92/1000*Params!$E$28*Params!$E$29*(Org!$B$10/Org!$B$11),0)</f>
        <v>3810</v>
      </c>
      <c r="AH101" s="44">
        <f>AH$5*IF(AH$4&gt;=Teams!$F$80,Params!$E$23*Params!$E$24/60*(Org!$B$10/Org!$B$11)+Params!$E$27/12*Params!$E$13*Org!$B$10+AH92/1000*Params!$E$28*Params!$E$29*(Org!$B$10/Org!$B$11),0)</f>
        <v>3810</v>
      </c>
      <c r="AI101" s="44">
        <f>AI$5*IF(AI$4&gt;=Teams!$F$80,Params!$E$23*Params!$E$24/60*(Org!$B$10/Org!$B$11)+Params!$E$27/12*Params!$E$13*Org!$B$10+AI92/1000*Params!$E$28*Params!$E$29*(Org!$B$10/Org!$B$11),0)</f>
        <v>3810</v>
      </c>
      <c r="AJ101" s="44">
        <f>AJ$5*IF(AJ$4&gt;=Teams!$F$80,Params!$E$23*Params!$E$24/60*(Org!$B$10/Org!$B$11)+Params!$E$27/12*Params!$E$13*Org!$B$10+AJ92/1000*Params!$E$28*Params!$E$29*(Org!$B$10/Org!$B$11),0)</f>
        <v>3810</v>
      </c>
      <c r="AK101" s="44">
        <f>AK$5*IF(AK$4&gt;=Teams!$F$80,Params!$E$23*Params!$E$24/60*(Org!$B$10/Org!$B$11)+Params!$E$27/12*Params!$E$13*Org!$B$10+AK92/1000*Params!$E$28*Params!$E$29*(Org!$B$10/Org!$B$11),0)</f>
        <v>3810</v>
      </c>
      <c r="AL101" s="44">
        <f>AL$5*IF(AL$4&gt;=Teams!$F$80,Params!$E$23*Params!$E$24/60*(Org!$B$10/Org!$B$11)+Params!$E$27/12*Params!$E$13*Org!$B$10+AL92/1000*Params!$E$28*Params!$E$29*(Org!$B$10/Org!$B$11),0)</f>
        <v>3810</v>
      </c>
      <c r="AM101" s="44">
        <f>AM$5*IF(AM$4&gt;=Teams!$F$80,Params!$E$23*Params!$E$24/60*(Org!$B$10/Org!$B$11)+Params!$E$27/12*Params!$E$13*Org!$B$10+AM92/1000*Params!$E$28*Params!$E$29*(Org!$B$10/Org!$B$11),0)</f>
        <v>3810</v>
      </c>
      <c r="AN101" s="44">
        <f>AN$5*IF(AN$4&gt;=Teams!$F$80,Params!$E$23*Params!$E$24/60*(Org!$B$10/Org!$B$11)+Params!$E$27/12*Params!$E$13*Org!$B$10+AN92/1000*Params!$E$28*Params!$E$29*(Org!$B$10/Org!$B$11),0)</f>
        <v>3810</v>
      </c>
      <c r="AO101" s="44">
        <f>AO$5*IF(AO$4&gt;=Teams!$F$80,Params!$E$23*Params!$E$24/60*(Org!$B$10/Org!$B$11)+Params!$E$27/12*Params!$E$13*Org!$B$10+AO92/1000*Params!$E$28*Params!$E$29*(Org!$B$10/Org!$B$11),0)</f>
        <v>0</v>
      </c>
      <c r="AP101" s="44">
        <f>AP$5*IF(AP$4&gt;=Teams!$F$80,Params!$E$23*Params!$E$24/60*(Org!$B$10/Org!$B$11)+Params!$E$27/12*Params!$E$13*Org!$B$10+AP92/1000*Params!$E$28*Params!$E$29*(Org!$B$10/Org!$B$11),0)</f>
        <v>0</v>
      </c>
      <c r="AQ101" s="44">
        <f>AQ$5*IF(AQ$4&gt;=Teams!$F$80,Params!$E$23*Params!$E$24/60*(Org!$B$10/Org!$B$11)+Params!$E$27/12*Params!$E$13*Org!$B$10+AQ92/1000*Params!$E$28*Params!$E$29*(Org!$B$10/Org!$B$11),0)</f>
        <v>0</v>
      </c>
      <c r="AR101" s="44">
        <f>AR$5*IF(AR$4&gt;=Teams!$F$80,Params!$E$23*Params!$E$24/60*(Org!$B$10/Org!$B$11)+Params!$E$27/12*Params!$E$13*Org!$B$10+AR92/1000*Params!$E$28*Params!$E$29*(Org!$B$10/Org!$B$11),0)</f>
        <v>0</v>
      </c>
      <c r="AS101" s="44">
        <f>AS$5*IF(AS$4&gt;=Teams!$F$80,Params!$E$23*Params!$E$24/60*(Org!$B$10/Org!$B$11)+Params!$E$27/12*Params!$E$13*Org!$B$10+AS92/1000*Params!$E$28*Params!$E$29*(Org!$B$10/Org!$B$11),0)</f>
        <v>0</v>
      </c>
      <c r="AT101" s="44">
        <f>AT$5*IF(AT$4&gt;=Teams!$F$80,Params!$E$23*Params!$E$24/60*(Org!$B$10/Org!$B$11)+Params!$E$27/12*Params!$E$13*Org!$B$10+AT92/1000*Params!$E$28*Params!$E$29*(Org!$B$10/Org!$B$11),0)</f>
        <v>0</v>
      </c>
      <c r="AU101" s="44">
        <f>AU$5*IF(AU$4&gt;=Teams!$F$80,Params!$E$23*Params!$E$24/60*(Org!$B$10/Org!$B$11)+Params!$E$27/12*Params!$E$13*Org!$B$10+AU92/1000*Params!$E$28*Params!$E$29*(Org!$B$10/Org!$B$11),0)</f>
        <v>0</v>
      </c>
      <c r="AV101" s="44">
        <f>AV$5*IF(AV$4&gt;=Teams!$F$80,Params!$E$23*Params!$E$24/60*(Org!$B$10/Org!$B$11)+Params!$E$27/12*Params!$E$13*Org!$B$10+AV92/1000*Params!$E$28*Params!$E$29*(Org!$B$10/Org!$B$11),0)</f>
        <v>0</v>
      </c>
      <c r="AW101" s="44">
        <f>AW$5*IF(AW$4&gt;=Teams!$F$80,Params!$E$23*Params!$E$24/60*(Org!$B$10/Org!$B$11)+Params!$E$27/12*Params!$E$13*Org!$B$10+AW92/1000*Params!$E$28*Params!$E$29*(Org!$B$10/Org!$B$11),0)</f>
        <v>0</v>
      </c>
      <c r="AX101" s="44">
        <f>AX$5*IF(AX$4&gt;=Teams!$F$80,Params!$E$23*Params!$E$24/60*(Org!$B$10/Org!$B$11)+Params!$E$27/12*Params!$E$13*Org!$B$10+AX92/1000*Params!$E$28*Params!$E$29*(Org!$B$10/Org!$B$11),0)</f>
        <v>0</v>
      </c>
      <c r="AY101" s="44">
        <f>AY$5*IF(AY$4&gt;=Teams!$F$80,Params!$E$23*Params!$E$24/60*(Org!$B$10/Org!$B$11)+Params!$E$27/12*Params!$E$13*Org!$B$10+AY92/1000*Params!$E$28*Params!$E$29*(Org!$B$10/Org!$B$11),0)</f>
        <v>0</v>
      </c>
      <c r="AZ101" s="44">
        <f>AZ$5*IF(AZ$4&gt;=Teams!$F$80,Params!$E$23*Params!$E$24/60*(Org!$B$10/Org!$B$11)+Params!$E$27/12*Params!$E$13*Org!$B$10+AZ92/1000*Params!$E$28*Params!$E$29*(Org!$B$10/Org!$B$11),0)</f>
        <v>0</v>
      </c>
      <c r="BA101" s="44">
        <f>BA$5*IF(BA$4&gt;=Teams!$F$80,Params!$E$23*Params!$E$24/60*(Org!$B$10/Org!$B$11)+Params!$E$27/12*Params!$E$13*Org!$B$10+BA92/1000*Params!$E$28*Params!$E$29*(Org!$B$10/Org!$B$11),0)</f>
        <v>0</v>
      </c>
      <c r="BB101" s="44">
        <f>BB$5*IF(BB$4&gt;=Teams!$F$80,Params!$E$23*Params!$E$24/60*(Org!$B$10/Org!$B$11)+Params!$E$27/12*Params!$E$13*Org!$B$10+BB92/1000*Params!$E$28*Params!$E$29*(Org!$B$10/Org!$B$11),0)</f>
        <v>0</v>
      </c>
      <c r="BC101" s="44">
        <f>BC$5*IF(BC$4&gt;=Teams!$F$80,Params!$E$23*Params!$E$24/60*(Org!$B$10/Org!$B$11)+Params!$E$27/12*Params!$E$13*Org!$B$10+BC92/1000*Params!$E$28*Params!$E$29*(Org!$B$10/Org!$B$11),0)</f>
        <v>0</v>
      </c>
      <c r="BD101" s="44">
        <f>BD$5*IF(BD$4&gt;=Teams!$F$80,Params!$E$23*Params!$E$24/60*(Org!$B$10/Org!$B$11)+Params!$E$27/12*Params!$E$13*Org!$B$10+BD92/1000*Params!$E$28*Params!$E$29*(Org!$B$10/Org!$B$11),0)</f>
        <v>0</v>
      </c>
      <c r="BE101" s="44">
        <f>BE$5*IF(BE$4&gt;=Teams!$F$80,Params!$E$23*Params!$E$24/60*(Org!$B$10/Org!$B$11)+Params!$E$27/12*Params!$E$13*Org!$B$10+BE92/1000*Params!$E$28*Params!$E$29*(Org!$B$10/Org!$B$11),0)</f>
        <v>0</v>
      </c>
      <c r="BF101" s="44">
        <f>BF$5*IF(BF$4&gt;=Teams!$F$80,Params!$E$23*Params!$E$24/60*(Org!$B$10/Org!$B$11)+Params!$E$27/12*Params!$E$13*Org!$B$10+BF92/1000*Params!$E$28*Params!$E$29*(Org!$B$10/Org!$B$11),0)</f>
        <v>0</v>
      </c>
      <c r="BG101" s="44">
        <f>BG$5*IF(BG$4&gt;=Teams!$F$80,Params!$E$23*Params!$E$24/60*(Org!$B$10/Org!$B$11)+Params!$E$27/12*Params!$E$13*Org!$B$10+BG92/1000*Params!$E$28*Params!$E$29*(Org!$B$10/Org!$B$11),0)</f>
        <v>0</v>
      </c>
      <c r="BH101" s="44">
        <f>BH$5*IF(BH$4&gt;=Teams!$F$80,Params!$E$23*Params!$E$24/60*(Org!$B$10/Org!$B$11)+Params!$E$27/12*Params!$E$13*Org!$B$10+BH92/1000*Params!$E$28*Params!$E$29*(Org!$B$10/Org!$B$11),0)</f>
        <v>0</v>
      </c>
      <c r="BI101" s="44">
        <f>BI$5*IF(BI$4&gt;=Teams!$F$80,Params!$E$23*Params!$E$24/60*(Org!$B$10/Org!$B$11)+Params!$E$27/12*Params!$E$13*Org!$B$10+BI92/1000*Params!$E$28*Params!$E$29*(Org!$B$10/Org!$B$11),0)</f>
        <v>0</v>
      </c>
      <c r="BJ101" s="44">
        <f>BJ$5*IF(BJ$4&gt;=Teams!$F$80,Params!$E$23*Params!$E$24/60*(Org!$B$10/Org!$B$11)+Params!$E$27/12*Params!$E$13*Org!$B$10+BJ92/1000*Params!$E$28*Params!$E$29*(Org!$B$10/Org!$B$11),0)</f>
        <v>0</v>
      </c>
      <c r="BK101" s="44">
        <f>BK$5*IF(BK$4&gt;=Teams!$F$80,Params!$E$23*Params!$E$24/60*(Org!$B$10/Org!$B$11)+Params!$E$27/12*Params!$E$13*Org!$B$10+BK92/1000*Params!$E$28*Params!$E$29*(Org!$B$10/Org!$B$11),0)</f>
        <v>0</v>
      </c>
      <c r="BL101" s="44">
        <f>BL$5*IF(BL$4&gt;=Teams!$F$80,Params!$E$23*Params!$E$24/60*(Org!$B$10/Org!$B$11)+Params!$E$27/12*Params!$E$13*Org!$B$10+BL92/1000*Params!$E$28*Params!$E$29*(Org!$B$10/Org!$B$11),0)</f>
        <v>0</v>
      </c>
    </row>
    <row r="102" spans="1:64" x14ac:dyDescent="0.3">
      <c r="A102" s="8" t="s">
        <v>673</v>
      </c>
      <c r="B102" s="18" t="s">
        <v>604</v>
      </c>
      <c r="C102" s="44">
        <f t="shared" si="29"/>
        <v>12800</v>
      </c>
      <c r="E102" s="44">
        <f>E$5*IF(AND(E$4&gt;Teams!$F$80,MOD(E$4-Teams!$F$80,MAX(1,ROUND(Params!$E$25,0)))=0),(Params!$E$26+Params!$E$17*Params!$E$16)*Org!$B$10,0)</f>
        <v>0</v>
      </c>
      <c r="F102" s="44">
        <f>F$5*IF(AND(F$4&gt;Teams!$F$80,MOD(F$4-Teams!$F$80,MAX(1,ROUND(Params!$E$25,0)))=0),(Params!$E$26+Params!$E$17*Params!$E$16)*Org!$B$10,0)</f>
        <v>0</v>
      </c>
      <c r="G102" s="44">
        <f>G$5*IF(AND(G$4&gt;Teams!$F$80,MOD(G$4-Teams!$F$80,MAX(1,ROUND(Params!$E$25,0)))=0),(Params!$E$26+Params!$E$17*Params!$E$16)*Org!$B$10,0)</f>
        <v>0</v>
      </c>
      <c r="H102" s="44">
        <f>H$5*IF(AND(H$4&gt;Teams!$F$80,MOD(H$4-Teams!$F$80,MAX(1,ROUND(Params!$E$25,0)))=0),(Params!$E$26+Params!$E$17*Params!$E$16)*Org!$B$10,0)</f>
        <v>0</v>
      </c>
      <c r="I102" s="44">
        <f>I$5*IF(AND(I$4&gt;Teams!$F$80,MOD(I$4-Teams!$F$80,MAX(1,ROUND(Params!$E$25,0)))=0),(Params!$E$26+Params!$E$17*Params!$E$16)*Org!$B$10,0)</f>
        <v>0</v>
      </c>
      <c r="J102" s="44">
        <f>J$5*IF(AND(J$4&gt;Teams!$F$80,MOD(J$4-Teams!$F$80,MAX(1,ROUND(Params!$E$25,0)))=0),(Params!$E$26+Params!$E$17*Params!$E$16)*Org!$B$10,0)</f>
        <v>0</v>
      </c>
      <c r="K102" s="44">
        <f>K$5*IF(AND(K$4&gt;Teams!$F$80,MOD(K$4-Teams!$F$80,MAX(1,ROUND(Params!$E$25,0)))=0),(Params!$E$26+Params!$E$17*Params!$E$16)*Org!$B$10,0)</f>
        <v>0</v>
      </c>
      <c r="L102" s="44">
        <f>L$5*IF(AND(L$4&gt;Teams!$F$80,MOD(L$4-Teams!$F$80,MAX(1,ROUND(Params!$E$25,0)))=0),(Params!$E$26+Params!$E$17*Params!$E$16)*Org!$B$10,0)</f>
        <v>0</v>
      </c>
      <c r="M102" s="44">
        <f>M$5*IF(AND(M$4&gt;Teams!$F$80,MOD(M$4-Teams!$F$80,MAX(1,ROUND(Params!$E$25,0)))=0),(Params!$E$26+Params!$E$17*Params!$E$16)*Org!$B$10,0)</f>
        <v>0</v>
      </c>
      <c r="N102" s="44">
        <f>N$5*IF(AND(N$4&gt;Teams!$F$80,MOD(N$4-Teams!$F$80,MAX(1,ROUND(Params!$E$25,0)))=0),(Params!$E$26+Params!$E$17*Params!$E$16)*Org!$B$10,0)</f>
        <v>0</v>
      </c>
      <c r="O102" s="44">
        <f>O$5*IF(AND(O$4&gt;Teams!$F$80,MOD(O$4-Teams!$F$80,MAX(1,ROUND(Params!$E$25,0)))=0),(Params!$E$26+Params!$E$17*Params!$E$16)*Org!$B$10,0)</f>
        <v>0</v>
      </c>
      <c r="P102" s="44">
        <f>P$5*IF(AND(P$4&gt;Teams!$F$80,MOD(P$4-Teams!$F$80,MAX(1,ROUND(Params!$E$25,0)))=0),(Params!$E$26+Params!$E$17*Params!$E$16)*Org!$B$10,0)</f>
        <v>0</v>
      </c>
      <c r="Q102" s="44">
        <f>Q$5*IF(AND(Q$4&gt;Teams!$F$80,MOD(Q$4-Teams!$F$80,MAX(1,ROUND(Params!$E$25,0)))=0),(Params!$E$26+Params!$E$17*Params!$E$16)*Org!$B$10,0)</f>
        <v>0</v>
      </c>
      <c r="R102" s="44">
        <f>R$5*IF(AND(R$4&gt;Teams!$F$80,MOD(R$4-Teams!$F$80,MAX(1,ROUND(Params!$E$25,0)))=0),(Params!$E$26+Params!$E$17*Params!$E$16)*Org!$B$10,0)</f>
        <v>0</v>
      </c>
      <c r="S102" s="44">
        <f>S$5*IF(AND(S$4&gt;Teams!$F$80,MOD(S$4-Teams!$F$80,MAX(1,ROUND(Params!$E$25,0)))=0),(Params!$E$26+Params!$E$17*Params!$E$16)*Org!$B$10,0)</f>
        <v>0</v>
      </c>
      <c r="T102" s="44">
        <f>T$5*IF(AND(T$4&gt;Teams!$F$80,MOD(T$4-Teams!$F$80,MAX(1,ROUND(Params!$E$25,0)))=0),(Params!$E$26+Params!$E$17*Params!$E$16)*Org!$B$10,0)</f>
        <v>0</v>
      </c>
      <c r="U102" s="44">
        <f>U$5*IF(AND(U$4&gt;Teams!$F$80,MOD(U$4-Teams!$F$80,MAX(1,ROUND(Params!$E$25,0)))=0),(Params!$E$26+Params!$E$17*Params!$E$16)*Org!$B$10,0)</f>
        <v>0</v>
      </c>
      <c r="V102" s="44">
        <f>V$5*IF(AND(V$4&gt;Teams!$F$80,MOD(V$4-Teams!$F$80,MAX(1,ROUND(Params!$E$25,0)))=0),(Params!$E$26+Params!$E$17*Params!$E$16)*Org!$B$10,0)</f>
        <v>6400</v>
      </c>
      <c r="W102" s="44">
        <f>W$5*IF(AND(W$4&gt;Teams!$F$80,MOD(W$4-Teams!$F$80,MAX(1,ROUND(Params!$E$25,0)))=0),(Params!$E$26+Params!$E$17*Params!$E$16)*Org!$B$10,0)</f>
        <v>0</v>
      </c>
      <c r="X102" s="44">
        <f>X$5*IF(AND(X$4&gt;Teams!$F$80,MOD(X$4-Teams!$F$80,MAX(1,ROUND(Params!$E$25,0)))=0),(Params!$E$26+Params!$E$17*Params!$E$16)*Org!$B$10,0)</f>
        <v>0</v>
      </c>
      <c r="Y102" s="44">
        <f>Y$5*IF(AND(Y$4&gt;Teams!$F$80,MOD(Y$4-Teams!$F$80,MAX(1,ROUND(Params!$E$25,0)))=0),(Params!$E$26+Params!$E$17*Params!$E$16)*Org!$B$10,0)</f>
        <v>0</v>
      </c>
      <c r="Z102" s="44">
        <f>Z$5*IF(AND(Z$4&gt;Teams!$F$80,MOD(Z$4-Teams!$F$80,MAX(1,ROUND(Params!$E$25,0)))=0),(Params!$E$26+Params!$E$17*Params!$E$16)*Org!$B$10,0)</f>
        <v>0</v>
      </c>
      <c r="AA102" s="44">
        <f>AA$5*IF(AND(AA$4&gt;Teams!$F$80,MOD(AA$4-Teams!$F$80,MAX(1,ROUND(Params!$E$25,0)))=0),(Params!$E$26+Params!$E$17*Params!$E$16)*Org!$B$10,0)</f>
        <v>0</v>
      </c>
      <c r="AB102" s="44">
        <f>AB$5*IF(AND(AB$4&gt;Teams!$F$80,MOD(AB$4-Teams!$F$80,MAX(1,ROUND(Params!$E$25,0)))=0),(Params!$E$26+Params!$E$17*Params!$E$16)*Org!$B$10,0)</f>
        <v>0</v>
      </c>
      <c r="AC102" s="44">
        <f>AC$5*IF(AND(AC$4&gt;Teams!$F$80,MOD(AC$4-Teams!$F$80,MAX(1,ROUND(Params!$E$25,0)))=0),(Params!$E$26+Params!$E$17*Params!$E$16)*Org!$B$10,0)</f>
        <v>0</v>
      </c>
      <c r="AD102" s="44">
        <f>AD$5*IF(AND(AD$4&gt;Teams!$F$80,MOD(AD$4-Teams!$F$80,MAX(1,ROUND(Params!$E$25,0)))=0),(Params!$E$26+Params!$E$17*Params!$E$16)*Org!$B$10,0)</f>
        <v>0</v>
      </c>
      <c r="AE102" s="44">
        <f>AE$5*IF(AND(AE$4&gt;Teams!$F$80,MOD(AE$4-Teams!$F$80,MAX(1,ROUND(Params!$E$25,0)))=0),(Params!$E$26+Params!$E$17*Params!$E$16)*Org!$B$10,0)</f>
        <v>0</v>
      </c>
      <c r="AF102" s="44">
        <f>AF$5*IF(AND(AF$4&gt;Teams!$F$80,MOD(AF$4-Teams!$F$80,MAX(1,ROUND(Params!$E$25,0)))=0),(Params!$E$26+Params!$E$17*Params!$E$16)*Org!$B$10,0)</f>
        <v>0</v>
      </c>
      <c r="AG102" s="44">
        <f>AG$5*IF(AND(AG$4&gt;Teams!$F$80,MOD(AG$4-Teams!$F$80,MAX(1,ROUND(Params!$E$25,0)))=0),(Params!$E$26+Params!$E$17*Params!$E$16)*Org!$B$10,0)</f>
        <v>0</v>
      </c>
      <c r="AH102" s="44">
        <f>AH$5*IF(AND(AH$4&gt;Teams!$F$80,MOD(AH$4-Teams!$F$80,MAX(1,ROUND(Params!$E$25,0)))=0),(Params!$E$26+Params!$E$17*Params!$E$16)*Org!$B$10,0)</f>
        <v>0</v>
      </c>
      <c r="AI102" s="44">
        <f>AI$5*IF(AND(AI$4&gt;Teams!$F$80,MOD(AI$4-Teams!$F$80,MAX(1,ROUND(Params!$E$25,0)))=0),(Params!$E$26+Params!$E$17*Params!$E$16)*Org!$B$10,0)</f>
        <v>0</v>
      </c>
      <c r="AJ102" s="44">
        <f>AJ$5*IF(AND(AJ$4&gt;Teams!$F$80,MOD(AJ$4-Teams!$F$80,MAX(1,ROUND(Params!$E$25,0)))=0),(Params!$E$26+Params!$E$17*Params!$E$16)*Org!$B$10,0)</f>
        <v>0</v>
      </c>
      <c r="AK102" s="44">
        <f>AK$5*IF(AND(AK$4&gt;Teams!$F$80,MOD(AK$4-Teams!$F$80,MAX(1,ROUND(Params!$E$25,0)))=0),(Params!$E$26+Params!$E$17*Params!$E$16)*Org!$B$10,0)</f>
        <v>6400</v>
      </c>
      <c r="AL102" s="44">
        <f>AL$5*IF(AND(AL$4&gt;Teams!$F$80,MOD(AL$4-Teams!$F$80,MAX(1,ROUND(Params!$E$25,0)))=0),(Params!$E$26+Params!$E$17*Params!$E$16)*Org!$B$10,0)</f>
        <v>0</v>
      </c>
      <c r="AM102" s="44">
        <f>AM$5*IF(AND(AM$4&gt;Teams!$F$80,MOD(AM$4-Teams!$F$80,MAX(1,ROUND(Params!$E$25,0)))=0),(Params!$E$26+Params!$E$17*Params!$E$16)*Org!$B$10,0)</f>
        <v>0</v>
      </c>
      <c r="AN102" s="44">
        <f>AN$5*IF(AND(AN$4&gt;Teams!$F$80,MOD(AN$4-Teams!$F$80,MAX(1,ROUND(Params!$E$25,0)))=0),(Params!$E$26+Params!$E$17*Params!$E$16)*Org!$B$10,0)</f>
        <v>0</v>
      </c>
      <c r="AO102" s="44">
        <f>AO$5*IF(AND(AO$4&gt;Teams!$F$80,MOD(AO$4-Teams!$F$80,MAX(1,ROUND(Params!$E$25,0)))=0),(Params!$E$26+Params!$E$17*Params!$E$16)*Org!$B$10,0)</f>
        <v>0</v>
      </c>
      <c r="AP102" s="44">
        <f>AP$5*IF(AND(AP$4&gt;Teams!$F$80,MOD(AP$4-Teams!$F$80,MAX(1,ROUND(Params!$E$25,0)))=0),(Params!$E$26+Params!$E$17*Params!$E$16)*Org!$B$10,0)</f>
        <v>0</v>
      </c>
      <c r="AQ102" s="44">
        <f>AQ$5*IF(AND(AQ$4&gt;Teams!$F$80,MOD(AQ$4-Teams!$F$80,MAX(1,ROUND(Params!$E$25,0)))=0),(Params!$E$26+Params!$E$17*Params!$E$16)*Org!$B$10,0)</f>
        <v>0</v>
      </c>
      <c r="AR102" s="44">
        <f>AR$5*IF(AND(AR$4&gt;Teams!$F$80,MOD(AR$4-Teams!$F$80,MAX(1,ROUND(Params!$E$25,0)))=0),(Params!$E$26+Params!$E$17*Params!$E$16)*Org!$B$10,0)</f>
        <v>0</v>
      </c>
      <c r="AS102" s="44">
        <f>AS$5*IF(AND(AS$4&gt;Teams!$F$80,MOD(AS$4-Teams!$F$80,MAX(1,ROUND(Params!$E$25,0)))=0),(Params!$E$26+Params!$E$17*Params!$E$16)*Org!$B$10,0)</f>
        <v>0</v>
      </c>
      <c r="AT102" s="44">
        <f>AT$5*IF(AND(AT$4&gt;Teams!$F$80,MOD(AT$4-Teams!$F$80,MAX(1,ROUND(Params!$E$25,0)))=0),(Params!$E$26+Params!$E$17*Params!$E$16)*Org!$B$10,0)</f>
        <v>0</v>
      </c>
      <c r="AU102" s="44">
        <f>AU$5*IF(AND(AU$4&gt;Teams!$F$80,MOD(AU$4-Teams!$F$80,MAX(1,ROUND(Params!$E$25,0)))=0),(Params!$E$26+Params!$E$17*Params!$E$16)*Org!$B$10,0)</f>
        <v>0</v>
      </c>
      <c r="AV102" s="44">
        <f>AV$5*IF(AND(AV$4&gt;Teams!$F$80,MOD(AV$4-Teams!$F$80,MAX(1,ROUND(Params!$E$25,0)))=0),(Params!$E$26+Params!$E$17*Params!$E$16)*Org!$B$10,0)</f>
        <v>0</v>
      </c>
      <c r="AW102" s="44">
        <f>AW$5*IF(AND(AW$4&gt;Teams!$F$80,MOD(AW$4-Teams!$F$80,MAX(1,ROUND(Params!$E$25,0)))=0),(Params!$E$26+Params!$E$17*Params!$E$16)*Org!$B$10,0)</f>
        <v>0</v>
      </c>
      <c r="AX102" s="44">
        <f>AX$5*IF(AND(AX$4&gt;Teams!$F$80,MOD(AX$4-Teams!$F$80,MAX(1,ROUND(Params!$E$25,0)))=0),(Params!$E$26+Params!$E$17*Params!$E$16)*Org!$B$10,0)</f>
        <v>0</v>
      </c>
      <c r="AY102" s="44">
        <f>AY$5*IF(AND(AY$4&gt;Teams!$F$80,MOD(AY$4-Teams!$F$80,MAX(1,ROUND(Params!$E$25,0)))=0),(Params!$E$26+Params!$E$17*Params!$E$16)*Org!$B$10,0)</f>
        <v>0</v>
      </c>
      <c r="AZ102" s="44">
        <f>AZ$5*IF(AND(AZ$4&gt;Teams!$F$80,MOD(AZ$4-Teams!$F$80,MAX(1,ROUND(Params!$E$25,0)))=0),(Params!$E$26+Params!$E$17*Params!$E$16)*Org!$B$10,0)</f>
        <v>0</v>
      </c>
      <c r="BA102" s="44">
        <f>BA$5*IF(AND(BA$4&gt;Teams!$F$80,MOD(BA$4-Teams!$F$80,MAX(1,ROUND(Params!$E$25,0)))=0),(Params!$E$26+Params!$E$17*Params!$E$16)*Org!$B$10,0)</f>
        <v>0</v>
      </c>
      <c r="BB102" s="44">
        <f>BB$5*IF(AND(BB$4&gt;Teams!$F$80,MOD(BB$4-Teams!$F$80,MAX(1,ROUND(Params!$E$25,0)))=0),(Params!$E$26+Params!$E$17*Params!$E$16)*Org!$B$10,0)</f>
        <v>0</v>
      </c>
      <c r="BC102" s="44">
        <f>BC$5*IF(AND(BC$4&gt;Teams!$F$80,MOD(BC$4-Teams!$F$80,MAX(1,ROUND(Params!$E$25,0)))=0),(Params!$E$26+Params!$E$17*Params!$E$16)*Org!$B$10,0)</f>
        <v>0</v>
      </c>
      <c r="BD102" s="44">
        <f>BD$5*IF(AND(BD$4&gt;Teams!$F$80,MOD(BD$4-Teams!$F$80,MAX(1,ROUND(Params!$E$25,0)))=0),(Params!$E$26+Params!$E$17*Params!$E$16)*Org!$B$10,0)</f>
        <v>0</v>
      </c>
      <c r="BE102" s="44">
        <f>BE$5*IF(AND(BE$4&gt;Teams!$F$80,MOD(BE$4-Teams!$F$80,MAX(1,ROUND(Params!$E$25,0)))=0),(Params!$E$26+Params!$E$17*Params!$E$16)*Org!$B$10,0)</f>
        <v>0</v>
      </c>
      <c r="BF102" s="44">
        <f>BF$5*IF(AND(BF$4&gt;Teams!$F$80,MOD(BF$4-Teams!$F$80,MAX(1,ROUND(Params!$E$25,0)))=0),(Params!$E$26+Params!$E$17*Params!$E$16)*Org!$B$10,0)</f>
        <v>0</v>
      </c>
      <c r="BG102" s="44">
        <f>BG$5*IF(AND(BG$4&gt;Teams!$F$80,MOD(BG$4-Teams!$F$80,MAX(1,ROUND(Params!$E$25,0)))=0),(Params!$E$26+Params!$E$17*Params!$E$16)*Org!$B$10,0)</f>
        <v>0</v>
      </c>
      <c r="BH102" s="44">
        <f>BH$5*IF(AND(BH$4&gt;Teams!$F$80,MOD(BH$4-Teams!$F$80,MAX(1,ROUND(Params!$E$25,0)))=0),(Params!$E$26+Params!$E$17*Params!$E$16)*Org!$B$10,0)</f>
        <v>0</v>
      </c>
      <c r="BI102" s="44">
        <f>BI$5*IF(AND(BI$4&gt;Teams!$F$80,MOD(BI$4-Teams!$F$80,MAX(1,ROUND(Params!$E$25,0)))=0),(Params!$E$26+Params!$E$17*Params!$E$16)*Org!$B$10,0)</f>
        <v>0</v>
      </c>
      <c r="BJ102" s="44">
        <f>BJ$5*IF(AND(BJ$4&gt;Teams!$F$80,MOD(BJ$4-Teams!$F$80,MAX(1,ROUND(Params!$E$25,0)))=0),(Params!$E$26+Params!$E$17*Params!$E$16)*Org!$B$10,0)</f>
        <v>0</v>
      </c>
      <c r="BK102" s="44">
        <f>BK$5*IF(AND(BK$4&gt;Teams!$F$80,MOD(BK$4-Teams!$F$80,MAX(1,ROUND(Params!$E$25,0)))=0),(Params!$E$26+Params!$E$17*Params!$E$16)*Org!$B$10,0)</f>
        <v>0</v>
      </c>
      <c r="BL102" s="44">
        <f>BL$5*IF(AND(BL$4&gt;Teams!$F$80,MOD(BL$4-Teams!$F$80,MAX(1,ROUND(Params!$E$25,0)))=0),(Params!$E$26+Params!$E$17*Params!$E$16)*Org!$B$10,0)</f>
        <v>0</v>
      </c>
    </row>
    <row r="103" spans="1:64" x14ac:dyDescent="0.3">
      <c r="A103" s="8" t="s">
        <v>674</v>
      </c>
      <c r="B103" s="18" t="s">
        <v>604</v>
      </c>
      <c r="C103" s="44">
        <f t="shared" si="29"/>
        <v>945302.39999999944</v>
      </c>
      <c r="E103" s="44">
        <f>E$5*E93*MIN(1,Teams!$F$41*Params!$E$35)*Params!$E$36/60*Teams!$F$42</f>
        <v>0</v>
      </c>
      <c r="F103" s="44">
        <f>F$5*F93*MIN(1,Teams!$F$41*Params!$E$35)*Params!$E$36/60*Teams!$F$42</f>
        <v>0</v>
      </c>
      <c r="G103" s="44">
        <f>G$5*G93*MIN(1,Teams!$F$41*Params!$E$35)*Params!$E$36/60*Teams!$F$42</f>
        <v>3072.2328000000007</v>
      </c>
      <c r="H103" s="44">
        <f>H$5*H93*MIN(1,Teams!$F$41*Params!$E$35)*Params!$E$36/60*Teams!$F$42</f>
        <v>10398.326400000002</v>
      </c>
      <c r="I103" s="44">
        <f>I$5*I93*MIN(1,Teams!$F$41*Params!$E$35)*Params!$E$36/60*Teams!$F$42</f>
        <v>19142.373599999999</v>
      </c>
      <c r="J103" s="44">
        <f>J$5*J93*MIN(1,Teams!$F$41*Params!$E$35)*Params!$E$36/60*Teams!$F$42</f>
        <v>26468.467200000003</v>
      </c>
      <c r="K103" s="44">
        <f>K$5*K93*MIN(1,Teams!$F$41*Params!$E$35)*Params!$E$36/60*Teams!$F$42</f>
        <v>29540.7</v>
      </c>
      <c r="L103" s="44">
        <f>L$5*L93*MIN(1,Teams!$F$41*Params!$E$35)*Params!$E$36/60*Teams!$F$42</f>
        <v>29540.7</v>
      </c>
      <c r="M103" s="44">
        <f>M$5*M93*MIN(1,Teams!$F$41*Params!$E$35)*Params!$E$36/60*Teams!$F$42</f>
        <v>29540.7</v>
      </c>
      <c r="N103" s="44">
        <f>N$5*N93*MIN(1,Teams!$F$41*Params!$E$35)*Params!$E$36/60*Teams!$F$42</f>
        <v>29540.7</v>
      </c>
      <c r="O103" s="44">
        <f>O$5*O93*MIN(1,Teams!$F$41*Params!$E$35)*Params!$E$36/60*Teams!$F$42</f>
        <v>29540.7</v>
      </c>
      <c r="P103" s="44">
        <f>P$5*P93*MIN(1,Teams!$F$41*Params!$E$35)*Params!$E$36/60*Teams!$F$42</f>
        <v>29540.7</v>
      </c>
      <c r="Q103" s="44">
        <f>Q$5*Q93*MIN(1,Teams!$F$41*Params!$E$35)*Params!$E$36/60*Teams!$F$42</f>
        <v>29540.7</v>
      </c>
      <c r="R103" s="44">
        <f>R$5*R93*MIN(1,Teams!$F$41*Params!$E$35)*Params!$E$36/60*Teams!$F$42</f>
        <v>29540.7</v>
      </c>
      <c r="S103" s="44">
        <f>S$5*S93*MIN(1,Teams!$F$41*Params!$E$35)*Params!$E$36/60*Teams!$F$42</f>
        <v>29540.7</v>
      </c>
      <c r="T103" s="44">
        <f>T$5*T93*MIN(1,Teams!$F$41*Params!$E$35)*Params!$E$36/60*Teams!$F$42</f>
        <v>29540.7</v>
      </c>
      <c r="U103" s="44">
        <f>U$5*U93*MIN(1,Teams!$F$41*Params!$E$35)*Params!$E$36/60*Teams!$F$42</f>
        <v>29540.7</v>
      </c>
      <c r="V103" s="44">
        <f>V$5*V93*MIN(1,Teams!$F$41*Params!$E$35)*Params!$E$36/60*Teams!$F$42</f>
        <v>29540.7</v>
      </c>
      <c r="W103" s="44">
        <f>W$5*W93*MIN(1,Teams!$F$41*Params!$E$35)*Params!$E$36/60*Teams!$F$42</f>
        <v>29540.7</v>
      </c>
      <c r="X103" s="44">
        <f>X$5*X93*MIN(1,Teams!$F$41*Params!$E$35)*Params!$E$36/60*Teams!$F$42</f>
        <v>29540.7</v>
      </c>
      <c r="Y103" s="44">
        <f>Y$5*Y93*MIN(1,Teams!$F$41*Params!$E$35)*Params!$E$36/60*Teams!$F$42</f>
        <v>29540.7</v>
      </c>
      <c r="Z103" s="44">
        <f>Z$5*Z93*MIN(1,Teams!$F$41*Params!$E$35)*Params!$E$36/60*Teams!$F$42</f>
        <v>29540.7</v>
      </c>
      <c r="AA103" s="44">
        <f>AA$5*AA93*MIN(1,Teams!$F$41*Params!$E$35)*Params!$E$36/60*Teams!$F$42</f>
        <v>29540.7</v>
      </c>
      <c r="AB103" s="44">
        <f>AB$5*AB93*MIN(1,Teams!$F$41*Params!$E$35)*Params!$E$36/60*Teams!$F$42</f>
        <v>29540.7</v>
      </c>
      <c r="AC103" s="44">
        <f>AC$5*AC93*MIN(1,Teams!$F$41*Params!$E$35)*Params!$E$36/60*Teams!$F$42</f>
        <v>29540.7</v>
      </c>
      <c r="AD103" s="44">
        <f>AD$5*AD93*MIN(1,Teams!$F$41*Params!$E$35)*Params!$E$36/60*Teams!$F$42</f>
        <v>29540.7</v>
      </c>
      <c r="AE103" s="44">
        <f>AE$5*AE93*MIN(1,Teams!$F$41*Params!$E$35)*Params!$E$36/60*Teams!$F$42</f>
        <v>29540.7</v>
      </c>
      <c r="AF103" s="44">
        <f>AF$5*AF93*MIN(1,Teams!$F$41*Params!$E$35)*Params!$E$36/60*Teams!$F$42</f>
        <v>29540.7</v>
      </c>
      <c r="AG103" s="44">
        <f>AG$5*AG93*MIN(1,Teams!$F$41*Params!$E$35)*Params!$E$36/60*Teams!$F$42</f>
        <v>29540.7</v>
      </c>
      <c r="AH103" s="44">
        <f>AH$5*AH93*MIN(1,Teams!$F$41*Params!$E$35)*Params!$E$36/60*Teams!$F$42</f>
        <v>29540.7</v>
      </c>
      <c r="AI103" s="44">
        <f>AI$5*AI93*MIN(1,Teams!$F$41*Params!$E$35)*Params!$E$36/60*Teams!$F$42</f>
        <v>29540.7</v>
      </c>
      <c r="AJ103" s="44">
        <f>AJ$5*AJ93*MIN(1,Teams!$F$41*Params!$E$35)*Params!$E$36/60*Teams!$F$42</f>
        <v>29540.7</v>
      </c>
      <c r="AK103" s="44">
        <f>AK$5*AK93*MIN(1,Teams!$F$41*Params!$E$35)*Params!$E$36/60*Teams!$F$42</f>
        <v>29540.7</v>
      </c>
      <c r="AL103" s="44">
        <f>AL$5*AL93*MIN(1,Teams!$F$41*Params!$E$35)*Params!$E$36/60*Teams!$F$42</f>
        <v>29540.7</v>
      </c>
      <c r="AM103" s="44">
        <f>AM$5*AM93*MIN(1,Teams!$F$41*Params!$E$35)*Params!$E$36/60*Teams!$F$42</f>
        <v>29540.7</v>
      </c>
      <c r="AN103" s="44">
        <f>AN$5*AN93*MIN(1,Teams!$F$41*Params!$E$35)*Params!$E$36/60*Teams!$F$42</f>
        <v>29540.7</v>
      </c>
      <c r="AO103" s="44">
        <f>AO$5*AO93*MIN(1,Teams!$F$41*Params!$E$35)*Params!$E$36/60*Teams!$F$42</f>
        <v>0</v>
      </c>
      <c r="AP103" s="44">
        <f>AP$5*AP93*MIN(1,Teams!$F$41*Params!$E$35)*Params!$E$36/60*Teams!$F$42</f>
        <v>0</v>
      </c>
      <c r="AQ103" s="44">
        <f>AQ$5*AQ93*MIN(1,Teams!$F$41*Params!$E$35)*Params!$E$36/60*Teams!$F$42</f>
        <v>0</v>
      </c>
      <c r="AR103" s="44">
        <f>AR$5*AR93*MIN(1,Teams!$F$41*Params!$E$35)*Params!$E$36/60*Teams!$F$42</f>
        <v>0</v>
      </c>
      <c r="AS103" s="44">
        <f>AS$5*AS93*MIN(1,Teams!$F$41*Params!$E$35)*Params!$E$36/60*Teams!$F$42</f>
        <v>0</v>
      </c>
      <c r="AT103" s="44">
        <f>AT$5*AT93*MIN(1,Teams!$F$41*Params!$E$35)*Params!$E$36/60*Teams!$F$42</f>
        <v>0</v>
      </c>
      <c r="AU103" s="44">
        <f>AU$5*AU93*MIN(1,Teams!$F$41*Params!$E$35)*Params!$E$36/60*Teams!$F$42</f>
        <v>0</v>
      </c>
      <c r="AV103" s="44">
        <f>AV$5*AV93*MIN(1,Teams!$F$41*Params!$E$35)*Params!$E$36/60*Teams!$F$42</f>
        <v>0</v>
      </c>
      <c r="AW103" s="44">
        <f>AW$5*AW93*MIN(1,Teams!$F$41*Params!$E$35)*Params!$E$36/60*Teams!$F$42</f>
        <v>0</v>
      </c>
      <c r="AX103" s="44">
        <f>AX$5*AX93*MIN(1,Teams!$F$41*Params!$E$35)*Params!$E$36/60*Teams!$F$42</f>
        <v>0</v>
      </c>
      <c r="AY103" s="44">
        <f>AY$5*AY93*MIN(1,Teams!$F$41*Params!$E$35)*Params!$E$36/60*Teams!$F$42</f>
        <v>0</v>
      </c>
      <c r="AZ103" s="44">
        <f>AZ$5*AZ93*MIN(1,Teams!$F$41*Params!$E$35)*Params!$E$36/60*Teams!$F$42</f>
        <v>0</v>
      </c>
      <c r="BA103" s="44">
        <f>BA$5*BA93*MIN(1,Teams!$F$41*Params!$E$35)*Params!$E$36/60*Teams!$F$42</f>
        <v>0</v>
      </c>
      <c r="BB103" s="44">
        <f>BB$5*BB93*MIN(1,Teams!$F$41*Params!$E$35)*Params!$E$36/60*Teams!$F$42</f>
        <v>0</v>
      </c>
      <c r="BC103" s="44">
        <f>BC$5*BC93*MIN(1,Teams!$F$41*Params!$E$35)*Params!$E$36/60*Teams!$F$42</f>
        <v>0</v>
      </c>
      <c r="BD103" s="44">
        <f>BD$5*BD93*MIN(1,Teams!$F$41*Params!$E$35)*Params!$E$36/60*Teams!$F$42</f>
        <v>0</v>
      </c>
      <c r="BE103" s="44">
        <f>BE$5*BE93*MIN(1,Teams!$F$41*Params!$E$35)*Params!$E$36/60*Teams!$F$42</f>
        <v>0</v>
      </c>
      <c r="BF103" s="44">
        <f>BF$5*BF93*MIN(1,Teams!$F$41*Params!$E$35)*Params!$E$36/60*Teams!$F$42</f>
        <v>0</v>
      </c>
      <c r="BG103" s="44">
        <f>BG$5*BG93*MIN(1,Teams!$F$41*Params!$E$35)*Params!$E$36/60*Teams!$F$42</f>
        <v>0</v>
      </c>
      <c r="BH103" s="44">
        <f>BH$5*BH93*MIN(1,Teams!$F$41*Params!$E$35)*Params!$E$36/60*Teams!$F$42</f>
        <v>0</v>
      </c>
      <c r="BI103" s="44">
        <f>BI$5*BI93*MIN(1,Teams!$F$41*Params!$E$35)*Params!$E$36/60*Teams!$F$42</f>
        <v>0</v>
      </c>
      <c r="BJ103" s="44">
        <f>BJ$5*BJ93*MIN(1,Teams!$F$41*Params!$E$35)*Params!$E$36/60*Teams!$F$42</f>
        <v>0</v>
      </c>
      <c r="BK103" s="44">
        <f>BK$5*BK93*MIN(1,Teams!$F$41*Params!$E$35)*Params!$E$36/60*Teams!$F$42</f>
        <v>0</v>
      </c>
      <c r="BL103" s="44">
        <f>BL$5*BL93*MIN(1,Teams!$F$41*Params!$E$35)*Params!$E$36/60*Teams!$F$42</f>
        <v>0</v>
      </c>
    </row>
    <row r="104" spans="1:64" x14ac:dyDescent="0.3">
      <c r="A104" s="8" t="s">
        <v>675</v>
      </c>
      <c r="B104" s="18" t="s">
        <v>169</v>
      </c>
      <c r="C104" s="44">
        <f t="shared" si="29"/>
        <v>12760</v>
      </c>
      <c r="E104" s="44">
        <f>E$5*IF(E$4&gt;=Teams!$F$80,E91/1000*IF(E$4-Teams!$F$80&lt;6,Params!$E$37,Params!$E$38)*Org!$B$10*Org!$B$12/12,0)</f>
        <v>0</v>
      </c>
      <c r="F104" s="44">
        <f>F$5*IF(F$4&gt;=Teams!$F$80,F91/1000*IF(F$4-Teams!$F$80&lt;6,Params!$E$37,Params!$E$38)*Org!$B$10*Org!$B$12/12,0)</f>
        <v>0</v>
      </c>
      <c r="G104" s="44">
        <f>G$5*IF(G$4&gt;=Teams!$F$80,G91/1000*IF(G$4-Teams!$F$80&lt;6,Params!$E$37,Params!$E$38)*Org!$B$10*Org!$B$12/12,0)</f>
        <v>1100</v>
      </c>
      <c r="H104" s="44">
        <f>H$5*IF(H$4&gt;=Teams!$F$80,H91/1000*IF(H$4-Teams!$F$80&lt;6,Params!$E$37,Params!$E$38)*Org!$B$10*Org!$B$12/12,0)</f>
        <v>1100</v>
      </c>
      <c r="I104" s="44">
        <f>I$5*IF(I$4&gt;=Teams!$F$80,I91/1000*IF(I$4-Teams!$F$80&lt;6,Params!$E$37,Params!$E$38)*Org!$B$10*Org!$B$12/12,0)</f>
        <v>1100</v>
      </c>
      <c r="J104" s="44">
        <f>J$5*IF(J$4&gt;=Teams!$F$80,J91/1000*IF(J$4-Teams!$F$80&lt;6,Params!$E$37,Params!$E$38)*Org!$B$10*Org!$B$12/12,0)</f>
        <v>1100</v>
      </c>
      <c r="K104" s="44">
        <f>K$5*IF(K$4&gt;=Teams!$F$80,K91/1000*IF(K$4-Teams!$F$80&lt;6,Params!$E$37,Params!$E$38)*Org!$B$10*Org!$B$12/12,0)</f>
        <v>1100</v>
      </c>
      <c r="L104" s="44">
        <f>L$5*IF(L$4&gt;=Teams!$F$80,L91/1000*IF(L$4-Teams!$F$80&lt;6,Params!$E$37,Params!$E$38)*Org!$B$10*Org!$B$12/12,0)</f>
        <v>1100</v>
      </c>
      <c r="M104" s="44">
        <f>M$5*IF(M$4&gt;=Teams!$F$80,M91/1000*IF(M$4-Teams!$F$80&lt;6,Params!$E$37,Params!$E$38)*Org!$B$10*Org!$B$12/12,0)</f>
        <v>220</v>
      </c>
      <c r="N104" s="44">
        <f>N$5*IF(N$4&gt;=Teams!$F$80,N91/1000*IF(N$4-Teams!$F$80&lt;6,Params!$E$37,Params!$E$38)*Org!$B$10*Org!$B$12/12,0)</f>
        <v>220</v>
      </c>
      <c r="O104" s="44">
        <f>O$5*IF(O$4&gt;=Teams!$F$80,O91/1000*IF(O$4-Teams!$F$80&lt;6,Params!$E$37,Params!$E$38)*Org!$B$10*Org!$B$12/12,0)</f>
        <v>220</v>
      </c>
      <c r="P104" s="44">
        <f>P$5*IF(P$4&gt;=Teams!$F$80,P91/1000*IF(P$4-Teams!$F$80&lt;6,Params!$E$37,Params!$E$38)*Org!$B$10*Org!$B$12/12,0)</f>
        <v>220</v>
      </c>
      <c r="Q104" s="44">
        <f>Q$5*IF(Q$4&gt;=Teams!$F$80,Q91/1000*IF(Q$4-Teams!$F$80&lt;6,Params!$E$37,Params!$E$38)*Org!$B$10*Org!$B$12/12,0)</f>
        <v>220</v>
      </c>
      <c r="R104" s="44">
        <f>R$5*IF(R$4&gt;=Teams!$F$80,R91/1000*IF(R$4-Teams!$F$80&lt;6,Params!$E$37,Params!$E$38)*Org!$B$10*Org!$B$12/12,0)</f>
        <v>220</v>
      </c>
      <c r="S104" s="44">
        <f>S$5*IF(S$4&gt;=Teams!$F$80,S91/1000*IF(S$4-Teams!$F$80&lt;6,Params!$E$37,Params!$E$38)*Org!$B$10*Org!$B$12/12,0)</f>
        <v>220</v>
      </c>
      <c r="T104" s="44">
        <f>T$5*IF(T$4&gt;=Teams!$F$80,T91/1000*IF(T$4-Teams!$F$80&lt;6,Params!$E$37,Params!$E$38)*Org!$B$10*Org!$B$12/12,0)</f>
        <v>220</v>
      </c>
      <c r="U104" s="44">
        <f>U$5*IF(U$4&gt;=Teams!$F$80,U91/1000*IF(U$4-Teams!$F$80&lt;6,Params!$E$37,Params!$E$38)*Org!$B$10*Org!$B$12/12,0)</f>
        <v>220</v>
      </c>
      <c r="V104" s="44">
        <f>V$5*IF(V$4&gt;=Teams!$F$80,V91/1000*IF(V$4-Teams!$F$80&lt;6,Params!$E$37,Params!$E$38)*Org!$B$10*Org!$B$12/12,0)</f>
        <v>220</v>
      </c>
      <c r="W104" s="44">
        <f>W$5*IF(W$4&gt;=Teams!$F$80,W91/1000*IF(W$4-Teams!$F$80&lt;6,Params!$E$37,Params!$E$38)*Org!$B$10*Org!$B$12/12,0)</f>
        <v>220</v>
      </c>
      <c r="X104" s="44">
        <f>X$5*IF(X$4&gt;=Teams!$F$80,X91/1000*IF(X$4-Teams!$F$80&lt;6,Params!$E$37,Params!$E$38)*Org!$B$10*Org!$B$12/12,0)</f>
        <v>220</v>
      </c>
      <c r="Y104" s="44">
        <f>Y$5*IF(Y$4&gt;=Teams!$F$80,Y91/1000*IF(Y$4-Teams!$F$80&lt;6,Params!$E$37,Params!$E$38)*Org!$B$10*Org!$B$12/12,0)</f>
        <v>220</v>
      </c>
      <c r="Z104" s="44">
        <f>Z$5*IF(Z$4&gt;=Teams!$F$80,Z91/1000*IF(Z$4-Teams!$F$80&lt;6,Params!$E$37,Params!$E$38)*Org!$B$10*Org!$B$12/12,0)</f>
        <v>220</v>
      </c>
      <c r="AA104" s="44">
        <f>AA$5*IF(AA$4&gt;=Teams!$F$80,AA91/1000*IF(AA$4-Teams!$F$80&lt;6,Params!$E$37,Params!$E$38)*Org!$B$10*Org!$B$12/12,0)</f>
        <v>220</v>
      </c>
      <c r="AB104" s="44">
        <f>AB$5*IF(AB$4&gt;=Teams!$F$80,AB91/1000*IF(AB$4-Teams!$F$80&lt;6,Params!$E$37,Params!$E$38)*Org!$B$10*Org!$B$12/12,0)</f>
        <v>220</v>
      </c>
      <c r="AC104" s="44">
        <f>AC$5*IF(AC$4&gt;=Teams!$F$80,AC91/1000*IF(AC$4-Teams!$F$80&lt;6,Params!$E$37,Params!$E$38)*Org!$B$10*Org!$B$12/12,0)</f>
        <v>220</v>
      </c>
      <c r="AD104" s="44">
        <f>AD$5*IF(AD$4&gt;=Teams!$F$80,AD91/1000*IF(AD$4-Teams!$F$80&lt;6,Params!$E$37,Params!$E$38)*Org!$B$10*Org!$B$12/12,0)</f>
        <v>220</v>
      </c>
      <c r="AE104" s="44">
        <f>AE$5*IF(AE$4&gt;=Teams!$F$80,AE91/1000*IF(AE$4-Teams!$F$80&lt;6,Params!$E$37,Params!$E$38)*Org!$B$10*Org!$B$12/12,0)</f>
        <v>220</v>
      </c>
      <c r="AF104" s="44">
        <f>AF$5*IF(AF$4&gt;=Teams!$F$80,AF91/1000*IF(AF$4-Teams!$F$80&lt;6,Params!$E$37,Params!$E$38)*Org!$B$10*Org!$B$12/12,0)</f>
        <v>220</v>
      </c>
      <c r="AG104" s="44">
        <f>AG$5*IF(AG$4&gt;=Teams!$F$80,AG91/1000*IF(AG$4-Teams!$F$80&lt;6,Params!$E$37,Params!$E$38)*Org!$B$10*Org!$B$12/12,0)</f>
        <v>220</v>
      </c>
      <c r="AH104" s="44">
        <f>AH$5*IF(AH$4&gt;=Teams!$F$80,AH91/1000*IF(AH$4-Teams!$F$80&lt;6,Params!$E$37,Params!$E$38)*Org!$B$10*Org!$B$12/12,0)</f>
        <v>220</v>
      </c>
      <c r="AI104" s="44">
        <f>AI$5*IF(AI$4&gt;=Teams!$F$80,AI91/1000*IF(AI$4-Teams!$F$80&lt;6,Params!$E$37,Params!$E$38)*Org!$B$10*Org!$B$12/12,0)</f>
        <v>220</v>
      </c>
      <c r="AJ104" s="44">
        <f>AJ$5*IF(AJ$4&gt;=Teams!$F$80,AJ91/1000*IF(AJ$4-Teams!$F$80&lt;6,Params!$E$37,Params!$E$38)*Org!$B$10*Org!$B$12/12,0)</f>
        <v>220</v>
      </c>
      <c r="AK104" s="44">
        <f>AK$5*IF(AK$4&gt;=Teams!$F$80,AK91/1000*IF(AK$4-Teams!$F$80&lt;6,Params!$E$37,Params!$E$38)*Org!$B$10*Org!$B$12/12,0)</f>
        <v>220</v>
      </c>
      <c r="AL104" s="44">
        <f>AL$5*IF(AL$4&gt;=Teams!$F$80,AL91/1000*IF(AL$4-Teams!$F$80&lt;6,Params!$E$37,Params!$E$38)*Org!$B$10*Org!$B$12/12,0)</f>
        <v>220</v>
      </c>
      <c r="AM104" s="44">
        <f>AM$5*IF(AM$4&gt;=Teams!$F$80,AM91/1000*IF(AM$4-Teams!$F$80&lt;6,Params!$E$37,Params!$E$38)*Org!$B$10*Org!$B$12/12,0)</f>
        <v>220</v>
      </c>
      <c r="AN104" s="44">
        <f>AN$5*IF(AN$4&gt;=Teams!$F$80,AN91/1000*IF(AN$4-Teams!$F$80&lt;6,Params!$E$37,Params!$E$38)*Org!$B$10*Org!$B$12/12,0)</f>
        <v>220</v>
      </c>
      <c r="AO104" s="44">
        <f>AO$5*IF(AO$4&gt;=Teams!$F$80,AO91/1000*IF(AO$4-Teams!$F$80&lt;6,Params!$E$37,Params!$E$38)*Org!$B$10*Org!$B$12/12,0)</f>
        <v>0</v>
      </c>
      <c r="AP104" s="44">
        <f>AP$5*IF(AP$4&gt;=Teams!$F$80,AP91/1000*IF(AP$4-Teams!$F$80&lt;6,Params!$E$37,Params!$E$38)*Org!$B$10*Org!$B$12/12,0)</f>
        <v>0</v>
      </c>
      <c r="AQ104" s="44">
        <f>AQ$5*IF(AQ$4&gt;=Teams!$F$80,AQ91/1000*IF(AQ$4-Teams!$F$80&lt;6,Params!$E$37,Params!$E$38)*Org!$B$10*Org!$B$12/12,0)</f>
        <v>0</v>
      </c>
      <c r="AR104" s="44">
        <f>AR$5*IF(AR$4&gt;=Teams!$F$80,AR91/1000*IF(AR$4-Teams!$F$80&lt;6,Params!$E$37,Params!$E$38)*Org!$B$10*Org!$B$12/12,0)</f>
        <v>0</v>
      </c>
      <c r="AS104" s="44">
        <f>AS$5*IF(AS$4&gt;=Teams!$F$80,AS91/1000*IF(AS$4-Teams!$F$80&lt;6,Params!$E$37,Params!$E$38)*Org!$B$10*Org!$B$12/12,0)</f>
        <v>0</v>
      </c>
      <c r="AT104" s="44">
        <f>AT$5*IF(AT$4&gt;=Teams!$F$80,AT91/1000*IF(AT$4-Teams!$F$80&lt;6,Params!$E$37,Params!$E$38)*Org!$B$10*Org!$B$12/12,0)</f>
        <v>0</v>
      </c>
      <c r="AU104" s="44">
        <f>AU$5*IF(AU$4&gt;=Teams!$F$80,AU91/1000*IF(AU$4-Teams!$F$80&lt;6,Params!$E$37,Params!$E$38)*Org!$B$10*Org!$B$12/12,0)</f>
        <v>0</v>
      </c>
      <c r="AV104" s="44">
        <f>AV$5*IF(AV$4&gt;=Teams!$F$80,AV91/1000*IF(AV$4-Teams!$F$80&lt;6,Params!$E$37,Params!$E$38)*Org!$B$10*Org!$B$12/12,0)</f>
        <v>0</v>
      </c>
      <c r="AW104" s="44">
        <f>AW$5*IF(AW$4&gt;=Teams!$F$80,AW91/1000*IF(AW$4-Teams!$F$80&lt;6,Params!$E$37,Params!$E$38)*Org!$B$10*Org!$B$12/12,0)</f>
        <v>0</v>
      </c>
      <c r="AX104" s="44">
        <f>AX$5*IF(AX$4&gt;=Teams!$F$80,AX91/1000*IF(AX$4-Teams!$F$80&lt;6,Params!$E$37,Params!$E$38)*Org!$B$10*Org!$B$12/12,0)</f>
        <v>0</v>
      </c>
      <c r="AY104" s="44">
        <f>AY$5*IF(AY$4&gt;=Teams!$F$80,AY91/1000*IF(AY$4-Teams!$F$80&lt;6,Params!$E$37,Params!$E$38)*Org!$B$10*Org!$B$12/12,0)</f>
        <v>0</v>
      </c>
      <c r="AZ104" s="44">
        <f>AZ$5*IF(AZ$4&gt;=Teams!$F$80,AZ91/1000*IF(AZ$4-Teams!$F$80&lt;6,Params!$E$37,Params!$E$38)*Org!$B$10*Org!$B$12/12,0)</f>
        <v>0</v>
      </c>
      <c r="BA104" s="44">
        <f>BA$5*IF(BA$4&gt;=Teams!$F$80,BA91/1000*IF(BA$4-Teams!$F$80&lt;6,Params!$E$37,Params!$E$38)*Org!$B$10*Org!$B$12/12,0)</f>
        <v>0</v>
      </c>
      <c r="BB104" s="44">
        <f>BB$5*IF(BB$4&gt;=Teams!$F$80,BB91/1000*IF(BB$4-Teams!$F$80&lt;6,Params!$E$37,Params!$E$38)*Org!$B$10*Org!$B$12/12,0)</f>
        <v>0</v>
      </c>
      <c r="BC104" s="44">
        <f>BC$5*IF(BC$4&gt;=Teams!$F$80,BC91/1000*IF(BC$4-Teams!$F$80&lt;6,Params!$E$37,Params!$E$38)*Org!$B$10*Org!$B$12/12,0)</f>
        <v>0</v>
      </c>
      <c r="BD104" s="44">
        <f>BD$5*IF(BD$4&gt;=Teams!$F$80,BD91/1000*IF(BD$4-Teams!$F$80&lt;6,Params!$E$37,Params!$E$38)*Org!$B$10*Org!$B$12/12,0)</f>
        <v>0</v>
      </c>
      <c r="BE104" s="44">
        <f>BE$5*IF(BE$4&gt;=Teams!$F$80,BE91/1000*IF(BE$4-Teams!$F$80&lt;6,Params!$E$37,Params!$E$38)*Org!$B$10*Org!$B$12/12,0)</f>
        <v>0</v>
      </c>
      <c r="BF104" s="44">
        <f>BF$5*IF(BF$4&gt;=Teams!$F$80,BF91/1000*IF(BF$4-Teams!$F$80&lt;6,Params!$E$37,Params!$E$38)*Org!$B$10*Org!$B$12/12,0)</f>
        <v>0</v>
      </c>
      <c r="BG104" s="44">
        <f>BG$5*IF(BG$4&gt;=Teams!$F$80,BG91/1000*IF(BG$4-Teams!$F$80&lt;6,Params!$E$37,Params!$E$38)*Org!$B$10*Org!$B$12/12,0)</f>
        <v>0</v>
      </c>
      <c r="BH104" s="44">
        <f>BH$5*IF(BH$4&gt;=Teams!$F$80,BH91/1000*IF(BH$4-Teams!$F$80&lt;6,Params!$E$37,Params!$E$38)*Org!$B$10*Org!$B$12/12,0)</f>
        <v>0</v>
      </c>
      <c r="BI104" s="44">
        <f>BI$5*IF(BI$4&gt;=Teams!$F$80,BI91/1000*IF(BI$4-Teams!$F$80&lt;6,Params!$E$37,Params!$E$38)*Org!$B$10*Org!$B$12/12,0)</f>
        <v>0</v>
      </c>
      <c r="BJ104" s="44">
        <f>BJ$5*IF(BJ$4&gt;=Teams!$F$80,BJ91/1000*IF(BJ$4-Teams!$F$80&lt;6,Params!$E$37,Params!$E$38)*Org!$B$10*Org!$B$12/12,0)</f>
        <v>0</v>
      </c>
      <c r="BK104" s="44">
        <f>BK$5*IF(BK$4&gt;=Teams!$F$80,BK91/1000*IF(BK$4-Teams!$F$80&lt;6,Params!$E$37,Params!$E$38)*Org!$B$10*Org!$B$12/12,0)</f>
        <v>0</v>
      </c>
      <c r="BL104" s="44">
        <f>BL$5*IF(BL$4&gt;=Teams!$F$80,BL91/1000*IF(BL$4-Teams!$F$80&lt;6,Params!$E$37,Params!$E$38)*Org!$B$10*Org!$B$12/12,0)</f>
        <v>0</v>
      </c>
    </row>
    <row r="105" spans="1:64" x14ac:dyDescent="0.3">
      <c r="A105" s="8" t="s">
        <v>676</v>
      </c>
      <c r="B105" s="18" t="s">
        <v>169</v>
      </c>
      <c r="C105" s="44">
        <f t="shared" si="29"/>
        <v>73600</v>
      </c>
      <c r="D105" s="44">
        <f>Teams!$F$5*((Teams!$F$43*Params!$E$4+Teams!$F$44/100000*Params!$E$5+Teams!$F$43*Params!$E$6)*Org!$B$10)</f>
        <v>73600</v>
      </c>
    </row>
    <row r="106" spans="1:64" x14ac:dyDescent="0.3">
      <c r="A106" s="8" t="s">
        <v>677</v>
      </c>
      <c r="B106" s="18" t="s">
        <v>435</v>
      </c>
      <c r="C106" s="44">
        <f t="shared" si="29"/>
        <v>24156</v>
      </c>
      <c r="D106" s="44">
        <f>Teams!$F$5*(Teams!$F$49*(Teams!$F$44*Teams!$F$45*Teams!$F$75+Teams!$F$44*Teams!$F$47*Teams!$F$76/1000000))</f>
        <v>24156</v>
      </c>
    </row>
    <row r="107" spans="1:64" x14ac:dyDescent="0.3">
      <c r="A107" s="8" t="s">
        <v>678</v>
      </c>
      <c r="B107" s="18" t="s">
        <v>169</v>
      </c>
      <c r="C107" s="44">
        <f t="shared" si="29"/>
        <v>48000</v>
      </c>
      <c r="D107" s="44">
        <f>Teams!$F$5*((Params!$E$13+Params!$E$16)*Org!$B$10)</f>
        <v>48000</v>
      </c>
    </row>
    <row r="108" spans="1:64" x14ac:dyDescent="0.3">
      <c r="A108" s="8" t="s">
        <v>679</v>
      </c>
      <c r="B108" s="18" t="s">
        <v>169</v>
      </c>
      <c r="C108" s="44">
        <f t="shared" si="29"/>
        <v>42000</v>
      </c>
      <c r="D108" s="44">
        <f>Teams!$F$5*(Teams!$F$18*Teams!$F$19*Params!$E$34*(Org!$B$10/Org!$B$11))</f>
        <v>42000</v>
      </c>
    </row>
    <row r="109" spans="1:64" x14ac:dyDescent="0.3">
      <c r="A109" s="8" t="s">
        <v>11</v>
      </c>
      <c r="C109" s="44">
        <f t="shared" si="29"/>
        <v>1197383.0399999993</v>
      </c>
      <c r="E109" s="44">
        <f>E$5*E93*Teams!$F$55/60*Teams!$F$56*INDEX(Params!$D$41:$F$41,Org!$B$17)*Teams!$F$57</f>
        <v>0</v>
      </c>
      <c r="F109" s="44">
        <f>F$5*F93*Teams!$F$55/60*Teams!$F$56*INDEX(Params!$D$41:$F$41,Org!$B$17)*Teams!$F$57</f>
        <v>0</v>
      </c>
      <c r="G109" s="44">
        <f>G$5*G93*Teams!$F$55/60*Teams!$F$56*INDEX(Params!$D$41:$F$41,Org!$B$17)*Teams!$F$57</f>
        <v>3891.4948800000002</v>
      </c>
      <c r="H109" s="44">
        <f>H$5*H93*Teams!$F$55/60*Teams!$F$56*INDEX(Params!$D$41:$F$41,Org!$B$17)*Teams!$F$57</f>
        <v>13171.213440000003</v>
      </c>
      <c r="I109" s="44">
        <f>I$5*I93*Teams!$F$55/60*Teams!$F$56*INDEX(Params!$D$41:$F$41,Org!$B$17)*Teams!$F$57</f>
        <v>24247.006560000002</v>
      </c>
      <c r="J109" s="44">
        <f>J$5*J93*Teams!$F$55/60*Teams!$F$56*INDEX(Params!$D$41:$F$41,Org!$B$17)*Teams!$F$57</f>
        <v>33526.725120000003</v>
      </c>
      <c r="K109" s="44">
        <f>K$5*K93*Teams!$F$55/60*Teams!$F$56*INDEX(Params!$D$41:$F$41,Org!$B$17)*Teams!$F$57</f>
        <v>37418.219999999994</v>
      </c>
      <c r="L109" s="44">
        <f>L$5*L93*Teams!$F$55/60*Teams!$F$56*INDEX(Params!$D$41:$F$41,Org!$B$17)*Teams!$F$57</f>
        <v>37418.219999999994</v>
      </c>
      <c r="M109" s="44">
        <f>M$5*M93*Teams!$F$55/60*Teams!$F$56*INDEX(Params!$D$41:$F$41,Org!$B$17)*Teams!$F$57</f>
        <v>37418.219999999994</v>
      </c>
      <c r="N109" s="44">
        <f>N$5*N93*Teams!$F$55/60*Teams!$F$56*INDEX(Params!$D$41:$F$41,Org!$B$17)*Teams!$F$57</f>
        <v>37418.219999999994</v>
      </c>
      <c r="O109" s="44">
        <f>O$5*O93*Teams!$F$55/60*Teams!$F$56*INDEX(Params!$D$41:$F$41,Org!$B$17)*Teams!$F$57</f>
        <v>37418.219999999994</v>
      </c>
      <c r="P109" s="44">
        <f>P$5*P93*Teams!$F$55/60*Teams!$F$56*INDEX(Params!$D$41:$F$41,Org!$B$17)*Teams!$F$57</f>
        <v>37418.219999999994</v>
      </c>
      <c r="Q109" s="44">
        <f>Q$5*Q93*Teams!$F$55/60*Teams!$F$56*INDEX(Params!$D$41:$F$41,Org!$B$17)*Teams!$F$57</f>
        <v>37418.219999999994</v>
      </c>
      <c r="R109" s="44">
        <f>R$5*R93*Teams!$F$55/60*Teams!$F$56*INDEX(Params!$D$41:$F$41,Org!$B$17)*Teams!$F$57</f>
        <v>37418.219999999994</v>
      </c>
      <c r="S109" s="44">
        <f>S$5*S93*Teams!$F$55/60*Teams!$F$56*INDEX(Params!$D$41:$F$41,Org!$B$17)*Teams!$F$57</f>
        <v>37418.219999999994</v>
      </c>
      <c r="T109" s="44">
        <f>T$5*T93*Teams!$F$55/60*Teams!$F$56*INDEX(Params!$D$41:$F$41,Org!$B$17)*Teams!$F$57</f>
        <v>37418.219999999994</v>
      </c>
      <c r="U109" s="44">
        <f>U$5*U93*Teams!$F$55/60*Teams!$F$56*INDEX(Params!$D$41:$F$41,Org!$B$17)*Teams!$F$57</f>
        <v>37418.219999999994</v>
      </c>
      <c r="V109" s="44">
        <f>V$5*V93*Teams!$F$55/60*Teams!$F$56*INDEX(Params!$D$41:$F$41,Org!$B$17)*Teams!$F$57</f>
        <v>37418.219999999994</v>
      </c>
      <c r="W109" s="44">
        <f>W$5*W93*Teams!$F$55/60*Teams!$F$56*INDEX(Params!$D$41:$F$41,Org!$B$17)*Teams!$F$57</f>
        <v>37418.219999999994</v>
      </c>
      <c r="X109" s="44">
        <f>X$5*X93*Teams!$F$55/60*Teams!$F$56*INDEX(Params!$D$41:$F$41,Org!$B$17)*Teams!$F$57</f>
        <v>37418.219999999994</v>
      </c>
      <c r="Y109" s="44">
        <f>Y$5*Y93*Teams!$F$55/60*Teams!$F$56*INDEX(Params!$D$41:$F$41,Org!$B$17)*Teams!$F$57</f>
        <v>37418.219999999994</v>
      </c>
      <c r="Z109" s="44">
        <f>Z$5*Z93*Teams!$F$55/60*Teams!$F$56*INDEX(Params!$D$41:$F$41,Org!$B$17)*Teams!$F$57</f>
        <v>37418.219999999994</v>
      </c>
      <c r="AA109" s="44">
        <f>AA$5*AA93*Teams!$F$55/60*Teams!$F$56*INDEX(Params!$D$41:$F$41,Org!$B$17)*Teams!$F$57</f>
        <v>37418.219999999994</v>
      </c>
      <c r="AB109" s="44">
        <f>AB$5*AB93*Teams!$F$55/60*Teams!$F$56*INDEX(Params!$D$41:$F$41,Org!$B$17)*Teams!$F$57</f>
        <v>37418.219999999994</v>
      </c>
      <c r="AC109" s="44">
        <f>AC$5*AC93*Teams!$F$55/60*Teams!$F$56*INDEX(Params!$D$41:$F$41,Org!$B$17)*Teams!$F$57</f>
        <v>37418.219999999994</v>
      </c>
      <c r="AD109" s="44">
        <f>AD$5*AD93*Teams!$F$55/60*Teams!$F$56*INDEX(Params!$D$41:$F$41,Org!$B$17)*Teams!$F$57</f>
        <v>37418.219999999994</v>
      </c>
      <c r="AE109" s="44">
        <f>AE$5*AE93*Teams!$F$55/60*Teams!$F$56*INDEX(Params!$D$41:$F$41,Org!$B$17)*Teams!$F$57</f>
        <v>37418.219999999994</v>
      </c>
      <c r="AF109" s="44">
        <f>AF$5*AF93*Teams!$F$55/60*Teams!$F$56*INDEX(Params!$D$41:$F$41,Org!$B$17)*Teams!$F$57</f>
        <v>37418.219999999994</v>
      </c>
      <c r="AG109" s="44">
        <f>AG$5*AG93*Teams!$F$55/60*Teams!$F$56*INDEX(Params!$D$41:$F$41,Org!$B$17)*Teams!$F$57</f>
        <v>37418.219999999994</v>
      </c>
      <c r="AH109" s="44">
        <f>AH$5*AH93*Teams!$F$55/60*Teams!$F$56*INDEX(Params!$D$41:$F$41,Org!$B$17)*Teams!$F$57</f>
        <v>37418.219999999994</v>
      </c>
      <c r="AI109" s="44">
        <f>AI$5*AI93*Teams!$F$55/60*Teams!$F$56*INDEX(Params!$D$41:$F$41,Org!$B$17)*Teams!$F$57</f>
        <v>37418.219999999994</v>
      </c>
      <c r="AJ109" s="44">
        <f>AJ$5*AJ93*Teams!$F$55/60*Teams!$F$56*INDEX(Params!$D$41:$F$41,Org!$B$17)*Teams!$F$57</f>
        <v>37418.219999999994</v>
      </c>
      <c r="AK109" s="44">
        <f>AK$5*AK93*Teams!$F$55/60*Teams!$F$56*INDEX(Params!$D$41:$F$41,Org!$B$17)*Teams!$F$57</f>
        <v>37418.219999999994</v>
      </c>
      <c r="AL109" s="44">
        <f>AL$5*AL93*Teams!$F$55/60*Teams!$F$56*INDEX(Params!$D$41:$F$41,Org!$B$17)*Teams!$F$57</f>
        <v>37418.219999999994</v>
      </c>
      <c r="AM109" s="44">
        <f>AM$5*AM93*Teams!$F$55/60*Teams!$F$56*INDEX(Params!$D$41:$F$41,Org!$B$17)*Teams!$F$57</f>
        <v>37418.219999999994</v>
      </c>
      <c r="AN109" s="44">
        <f>AN$5*AN93*Teams!$F$55/60*Teams!$F$56*INDEX(Params!$D$41:$F$41,Org!$B$17)*Teams!$F$57</f>
        <v>37418.219999999994</v>
      </c>
      <c r="AO109" s="44">
        <f>AO$5*AO93*Teams!$F$55/60*Teams!$F$56*INDEX(Params!$D$41:$F$41,Org!$B$17)*Teams!$F$57</f>
        <v>0</v>
      </c>
      <c r="AP109" s="44">
        <f>AP$5*AP93*Teams!$F$55/60*Teams!$F$56*INDEX(Params!$D$41:$F$41,Org!$B$17)*Teams!$F$57</f>
        <v>0</v>
      </c>
      <c r="AQ109" s="44">
        <f>AQ$5*AQ93*Teams!$F$55/60*Teams!$F$56*INDEX(Params!$D$41:$F$41,Org!$B$17)*Teams!$F$57</f>
        <v>0</v>
      </c>
      <c r="AR109" s="44">
        <f>AR$5*AR93*Teams!$F$55/60*Teams!$F$56*INDEX(Params!$D$41:$F$41,Org!$B$17)*Teams!$F$57</f>
        <v>0</v>
      </c>
      <c r="AS109" s="44">
        <f>AS$5*AS93*Teams!$F$55/60*Teams!$F$56*INDEX(Params!$D$41:$F$41,Org!$B$17)*Teams!$F$57</f>
        <v>0</v>
      </c>
      <c r="AT109" s="44">
        <f>AT$5*AT93*Teams!$F$55/60*Teams!$F$56*INDEX(Params!$D$41:$F$41,Org!$B$17)*Teams!$F$57</f>
        <v>0</v>
      </c>
      <c r="AU109" s="44">
        <f>AU$5*AU93*Teams!$F$55/60*Teams!$F$56*INDEX(Params!$D$41:$F$41,Org!$B$17)*Teams!$F$57</f>
        <v>0</v>
      </c>
      <c r="AV109" s="44">
        <f>AV$5*AV93*Teams!$F$55/60*Teams!$F$56*INDEX(Params!$D$41:$F$41,Org!$B$17)*Teams!$F$57</f>
        <v>0</v>
      </c>
      <c r="AW109" s="44">
        <f>AW$5*AW93*Teams!$F$55/60*Teams!$F$56*INDEX(Params!$D$41:$F$41,Org!$B$17)*Teams!$F$57</f>
        <v>0</v>
      </c>
      <c r="AX109" s="44">
        <f>AX$5*AX93*Teams!$F$55/60*Teams!$F$56*INDEX(Params!$D$41:$F$41,Org!$B$17)*Teams!$F$57</f>
        <v>0</v>
      </c>
      <c r="AY109" s="44">
        <f>AY$5*AY93*Teams!$F$55/60*Teams!$F$56*INDEX(Params!$D$41:$F$41,Org!$B$17)*Teams!$F$57</f>
        <v>0</v>
      </c>
      <c r="AZ109" s="44">
        <f>AZ$5*AZ93*Teams!$F$55/60*Teams!$F$56*INDEX(Params!$D$41:$F$41,Org!$B$17)*Teams!$F$57</f>
        <v>0</v>
      </c>
      <c r="BA109" s="44">
        <f>BA$5*BA93*Teams!$F$55/60*Teams!$F$56*INDEX(Params!$D$41:$F$41,Org!$B$17)*Teams!$F$57</f>
        <v>0</v>
      </c>
      <c r="BB109" s="44">
        <f>BB$5*BB93*Teams!$F$55/60*Teams!$F$56*INDEX(Params!$D$41:$F$41,Org!$B$17)*Teams!$F$57</f>
        <v>0</v>
      </c>
      <c r="BC109" s="44">
        <f>BC$5*BC93*Teams!$F$55/60*Teams!$F$56*INDEX(Params!$D$41:$F$41,Org!$B$17)*Teams!$F$57</f>
        <v>0</v>
      </c>
      <c r="BD109" s="44">
        <f>BD$5*BD93*Teams!$F$55/60*Teams!$F$56*INDEX(Params!$D$41:$F$41,Org!$B$17)*Teams!$F$57</f>
        <v>0</v>
      </c>
      <c r="BE109" s="44">
        <f>BE$5*BE93*Teams!$F$55/60*Teams!$F$56*INDEX(Params!$D$41:$F$41,Org!$B$17)*Teams!$F$57</f>
        <v>0</v>
      </c>
      <c r="BF109" s="44">
        <f>BF$5*BF93*Teams!$F$55/60*Teams!$F$56*INDEX(Params!$D$41:$F$41,Org!$B$17)*Teams!$F$57</f>
        <v>0</v>
      </c>
      <c r="BG109" s="44">
        <f>BG$5*BG93*Teams!$F$55/60*Teams!$F$56*INDEX(Params!$D$41:$F$41,Org!$B$17)*Teams!$F$57</f>
        <v>0</v>
      </c>
      <c r="BH109" s="44">
        <f>BH$5*BH93*Teams!$F$55/60*Teams!$F$56*INDEX(Params!$D$41:$F$41,Org!$B$17)*Teams!$F$57</f>
        <v>0</v>
      </c>
      <c r="BI109" s="44">
        <f>BI$5*BI93*Teams!$F$55/60*Teams!$F$56*INDEX(Params!$D$41:$F$41,Org!$B$17)*Teams!$F$57</f>
        <v>0</v>
      </c>
      <c r="BJ109" s="44">
        <f>BJ$5*BJ93*Teams!$F$55/60*Teams!$F$56*INDEX(Params!$D$41:$F$41,Org!$B$17)*Teams!$F$57</f>
        <v>0</v>
      </c>
      <c r="BK109" s="44">
        <f>BK$5*BK93*Teams!$F$55/60*Teams!$F$56*INDEX(Params!$D$41:$F$41,Org!$B$17)*Teams!$F$57</f>
        <v>0</v>
      </c>
      <c r="BL109" s="44">
        <f>BL$5*BL93*Teams!$F$55/60*Teams!$F$56*INDEX(Params!$D$41:$F$41,Org!$B$17)*Teams!$F$57</f>
        <v>0</v>
      </c>
    </row>
    <row r="110" spans="1:64" x14ac:dyDescent="0.3">
      <c r="A110" s="8" t="s">
        <v>701</v>
      </c>
      <c r="C110" s="44">
        <f t="shared" si="29"/>
        <v>1381251.2137599993</v>
      </c>
      <c r="D110" s="44">
        <f t="shared" ref="D110:AI110" si="30">SUM(D94:D108)</f>
        <v>187756</v>
      </c>
      <c r="E110" s="44">
        <f t="shared" si="30"/>
        <v>0</v>
      </c>
      <c r="F110" s="44">
        <f t="shared" si="30"/>
        <v>0</v>
      </c>
      <c r="G110" s="44">
        <f t="shared" si="30"/>
        <v>9230.9278047200005</v>
      </c>
      <c r="H110" s="44">
        <f t="shared" si="30"/>
        <v>16998.211031360002</v>
      </c>
      <c r="I110" s="44">
        <f t="shared" si="30"/>
        <v>26268.839398639997</v>
      </c>
      <c r="J110" s="44">
        <f t="shared" si="30"/>
        <v>34036.122625280004</v>
      </c>
      <c r="K110" s="44">
        <f t="shared" si="30"/>
        <v>37293.370430000003</v>
      </c>
      <c r="L110" s="44">
        <f t="shared" si="30"/>
        <v>37293.370430000003</v>
      </c>
      <c r="M110" s="44">
        <f t="shared" si="30"/>
        <v>36413.370430000003</v>
      </c>
      <c r="N110" s="44">
        <f t="shared" si="30"/>
        <v>36413.370430000003</v>
      </c>
      <c r="O110" s="44">
        <f t="shared" si="30"/>
        <v>36413.370430000003</v>
      </c>
      <c r="P110" s="44">
        <f t="shared" si="30"/>
        <v>36413.370430000003</v>
      </c>
      <c r="Q110" s="44">
        <f t="shared" si="30"/>
        <v>36413.370430000003</v>
      </c>
      <c r="R110" s="44">
        <f t="shared" si="30"/>
        <v>36413.370430000003</v>
      </c>
      <c r="S110" s="44">
        <f t="shared" si="30"/>
        <v>36413.370430000003</v>
      </c>
      <c r="T110" s="44">
        <f t="shared" si="30"/>
        <v>36413.370430000003</v>
      </c>
      <c r="U110" s="44">
        <f t="shared" si="30"/>
        <v>36413.370430000003</v>
      </c>
      <c r="V110" s="44">
        <f t="shared" si="30"/>
        <v>42813.370430000003</v>
      </c>
      <c r="W110" s="44">
        <f t="shared" si="30"/>
        <v>36413.370430000003</v>
      </c>
      <c r="X110" s="44">
        <f t="shared" si="30"/>
        <v>36413.370430000003</v>
      </c>
      <c r="Y110" s="44">
        <f t="shared" si="30"/>
        <v>36413.370430000003</v>
      </c>
      <c r="Z110" s="44">
        <f t="shared" si="30"/>
        <v>36413.370430000003</v>
      </c>
      <c r="AA110" s="44">
        <f t="shared" si="30"/>
        <v>36413.370430000003</v>
      </c>
      <c r="AB110" s="44">
        <f t="shared" si="30"/>
        <v>36413.370430000003</v>
      </c>
      <c r="AC110" s="44">
        <f t="shared" si="30"/>
        <v>36413.370430000003</v>
      </c>
      <c r="AD110" s="44">
        <f t="shared" si="30"/>
        <v>36413.370430000003</v>
      </c>
      <c r="AE110" s="44">
        <f t="shared" si="30"/>
        <v>36413.370430000003</v>
      </c>
      <c r="AF110" s="44">
        <f t="shared" si="30"/>
        <v>36413.370430000003</v>
      </c>
      <c r="AG110" s="44">
        <f t="shared" si="30"/>
        <v>36413.370430000003</v>
      </c>
      <c r="AH110" s="44">
        <f t="shared" si="30"/>
        <v>36413.370430000003</v>
      </c>
      <c r="AI110" s="44">
        <f t="shared" si="30"/>
        <v>36413.370430000003</v>
      </c>
      <c r="AJ110" s="44">
        <f t="shared" ref="AJ110:BL110" si="31">SUM(AJ94:AJ108)</f>
        <v>36413.370430000003</v>
      </c>
      <c r="AK110" s="44">
        <f t="shared" si="31"/>
        <v>42813.370430000003</v>
      </c>
      <c r="AL110" s="44">
        <f t="shared" si="31"/>
        <v>36413.370430000003</v>
      </c>
      <c r="AM110" s="44">
        <f t="shared" si="31"/>
        <v>36413.370430000003</v>
      </c>
      <c r="AN110" s="44">
        <f t="shared" si="31"/>
        <v>36413.370430000003</v>
      </c>
      <c r="AO110" s="44">
        <f t="shared" si="31"/>
        <v>0</v>
      </c>
      <c r="AP110" s="44">
        <f t="shared" si="31"/>
        <v>0</v>
      </c>
      <c r="AQ110" s="44">
        <f t="shared" si="31"/>
        <v>0</v>
      </c>
      <c r="AR110" s="44">
        <f t="shared" si="31"/>
        <v>0</v>
      </c>
      <c r="AS110" s="44">
        <f t="shared" si="31"/>
        <v>0</v>
      </c>
      <c r="AT110" s="44">
        <f t="shared" si="31"/>
        <v>0</v>
      </c>
      <c r="AU110" s="44">
        <f t="shared" si="31"/>
        <v>0</v>
      </c>
      <c r="AV110" s="44">
        <f t="shared" si="31"/>
        <v>0</v>
      </c>
      <c r="AW110" s="44">
        <f t="shared" si="31"/>
        <v>0</v>
      </c>
      <c r="AX110" s="44">
        <f t="shared" si="31"/>
        <v>0</v>
      </c>
      <c r="AY110" s="44">
        <f t="shared" si="31"/>
        <v>0</v>
      </c>
      <c r="AZ110" s="44">
        <f t="shared" si="31"/>
        <v>0</v>
      </c>
      <c r="BA110" s="44">
        <f t="shared" si="31"/>
        <v>0</v>
      </c>
      <c r="BB110" s="44">
        <f t="shared" si="31"/>
        <v>0</v>
      </c>
      <c r="BC110" s="44">
        <f t="shared" si="31"/>
        <v>0</v>
      </c>
      <c r="BD110" s="44">
        <f t="shared" si="31"/>
        <v>0</v>
      </c>
      <c r="BE110" s="44">
        <f t="shared" si="31"/>
        <v>0</v>
      </c>
      <c r="BF110" s="44">
        <f t="shared" si="31"/>
        <v>0</v>
      </c>
      <c r="BG110" s="44">
        <f t="shared" si="31"/>
        <v>0</v>
      </c>
      <c r="BH110" s="44">
        <f t="shared" si="31"/>
        <v>0</v>
      </c>
      <c r="BI110" s="44">
        <f t="shared" si="31"/>
        <v>0</v>
      </c>
      <c r="BJ110" s="44">
        <f t="shared" si="31"/>
        <v>0</v>
      </c>
      <c r="BK110" s="44">
        <f t="shared" si="31"/>
        <v>0</v>
      </c>
      <c r="BL110" s="44">
        <f t="shared" si="31"/>
        <v>0</v>
      </c>
    </row>
    <row r="111" spans="1:64" x14ac:dyDescent="0.3">
      <c r="A111" s="8" t="s">
        <v>702</v>
      </c>
      <c r="C111" s="44">
        <f t="shared" si="29"/>
        <v>117336.45953445505</v>
      </c>
      <c r="D111" s="44">
        <f t="shared" ref="D111:AI111" si="32">$E$169*D158</f>
        <v>7858.7693016824151</v>
      </c>
      <c r="E111" s="44">
        <f t="shared" si="32"/>
        <v>3037.1687485595758</v>
      </c>
      <c r="F111" s="44">
        <f t="shared" si="32"/>
        <v>3038.0753783513865</v>
      </c>
      <c r="G111" s="44">
        <f t="shared" si="32"/>
        <v>3039.1911528862256</v>
      </c>
      <c r="H111" s="44">
        <f t="shared" si="32"/>
        <v>3040.3605133717442</v>
      </c>
      <c r="I111" s="44">
        <f t="shared" si="32"/>
        <v>3040.9803547238225</v>
      </c>
      <c r="J111" s="44">
        <f t="shared" si="32"/>
        <v>3041.2971685396019</v>
      </c>
      <c r="K111" s="44">
        <f t="shared" si="32"/>
        <v>3041.3538972113388</v>
      </c>
      <c r="L111" s="44">
        <f t="shared" si="32"/>
        <v>3041.3538972113388</v>
      </c>
      <c r="M111" s="44">
        <f t="shared" si="32"/>
        <v>3041.3538972113388</v>
      </c>
      <c r="N111" s="44">
        <f t="shared" si="32"/>
        <v>3041.3538972113388</v>
      </c>
      <c r="O111" s="44">
        <f t="shared" si="32"/>
        <v>3041.3538972113388</v>
      </c>
      <c r="P111" s="44">
        <f t="shared" si="32"/>
        <v>3041.3538972113388</v>
      </c>
      <c r="Q111" s="44">
        <f t="shared" si="32"/>
        <v>3041.3538972113388</v>
      </c>
      <c r="R111" s="44">
        <f t="shared" si="32"/>
        <v>3041.3538972113388</v>
      </c>
      <c r="S111" s="44">
        <f t="shared" si="32"/>
        <v>3041.3538972113388</v>
      </c>
      <c r="T111" s="44">
        <f t="shared" si="32"/>
        <v>3041.3538972113388</v>
      </c>
      <c r="U111" s="44">
        <f t="shared" si="32"/>
        <v>3041.3538972113388</v>
      </c>
      <c r="V111" s="44">
        <f t="shared" si="32"/>
        <v>3041.3538972113388</v>
      </c>
      <c r="W111" s="44">
        <f t="shared" si="32"/>
        <v>3041.3538972113388</v>
      </c>
      <c r="X111" s="44">
        <f t="shared" si="32"/>
        <v>3041.3538972113388</v>
      </c>
      <c r="Y111" s="44">
        <f t="shared" si="32"/>
        <v>3041.3538972113388</v>
      </c>
      <c r="Z111" s="44">
        <f t="shared" si="32"/>
        <v>3041.3538972113388</v>
      </c>
      <c r="AA111" s="44">
        <f t="shared" si="32"/>
        <v>3041.3538972113388</v>
      </c>
      <c r="AB111" s="44">
        <f t="shared" si="32"/>
        <v>3041.3538972113388</v>
      </c>
      <c r="AC111" s="44">
        <f t="shared" si="32"/>
        <v>3041.3538972113388</v>
      </c>
      <c r="AD111" s="44">
        <f t="shared" si="32"/>
        <v>3041.3538972113388</v>
      </c>
      <c r="AE111" s="44">
        <f t="shared" si="32"/>
        <v>3041.3538972113388</v>
      </c>
      <c r="AF111" s="44">
        <f t="shared" si="32"/>
        <v>3041.3538972113388</v>
      </c>
      <c r="AG111" s="44">
        <f t="shared" si="32"/>
        <v>3041.3538972113388</v>
      </c>
      <c r="AH111" s="44">
        <f t="shared" si="32"/>
        <v>3041.3538972113388</v>
      </c>
      <c r="AI111" s="44">
        <f t="shared" si="32"/>
        <v>3041.3538972113388</v>
      </c>
      <c r="AJ111" s="44">
        <f t="shared" ref="AJ111:BL111" si="33">$E$169*AJ158</f>
        <v>3041.3538972113388</v>
      </c>
      <c r="AK111" s="44">
        <f t="shared" si="33"/>
        <v>3041.3538972113388</v>
      </c>
      <c r="AL111" s="44">
        <f t="shared" si="33"/>
        <v>3041.3538972113388</v>
      </c>
      <c r="AM111" s="44">
        <f t="shared" si="33"/>
        <v>3041.3538972113388</v>
      </c>
      <c r="AN111" s="44">
        <f t="shared" si="33"/>
        <v>3041.3538972113388</v>
      </c>
      <c r="AO111" s="44">
        <f t="shared" si="33"/>
        <v>0</v>
      </c>
      <c r="AP111" s="44">
        <f t="shared" si="33"/>
        <v>0</v>
      </c>
      <c r="AQ111" s="44">
        <f t="shared" si="33"/>
        <v>0</v>
      </c>
      <c r="AR111" s="44">
        <f t="shared" si="33"/>
        <v>0</v>
      </c>
      <c r="AS111" s="44">
        <f t="shared" si="33"/>
        <v>0</v>
      </c>
      <c r="AT111" s="44">
        <f t="shared" si="33"/>
        <v>0</v>
      </c>
      <c r="AU111" s="44">
        <f t="shared" si="33"/>
        <v>0</v>
      </c>
      <c r="AV111" s="44">
        <f t="shared" si="33"/>
        <v>0</v>
      </c>
      <c r="AW111" s="44">
        <f t="shared" si="33"/>
        <v>0</v>
      </c>
      <c r="AX111" s="44">
        <f t="shared" si="33"/>
        <v>0</v>
      </c>
      <c r="AY111" s="44">
        <f t="shared" si="33"/>
        <v>0</v>
      </c>
      <c r="AZ111" s="44">
        <f t="shared" si="33"/>
        <v>0</v>
      </c>
      <c r="BA111" s="44">
        <f t="shared" si="33"/>
        <v>0</v>
      </c>
      <c r="BB111" s="44">
        <f t="shared" si="33"/>
        <v>0</v>
      </c>
      <c r="BC111" s="44">
        <f t="shared" si="33"/>
        <v>0</v>
      </c>
      <c r="BD111" s="44">
        <f t="shared" si="33"/>
        <v>0</v>
      </c>
      <c r="BE111" s="44">
        <f t="shared" si="33"/>
        <v>0</v>
      </c>
      <c r="BF111" s="44">
        <f t="shared" si="33"/>
        <v>0</v>
      </c>
      <c r="BG111" s="44">
        <f t="shared" si="33"/>
        <v>0</v>
      </c>
      <c r="BH111" s="44">
        <f t="shared" si="33"/>
        <v>0</v>
      </c>
      <c r="BI111" s="44">
        <f t="shared" si="33"/>
        <v>0</v>
      </c>
      <c r="BJ111" s="44">
        <f t="shared" si="33"/>
        <v>0</v>
      </c>
      <c r="BK111" s="44">
        <f t="shared" si="33"/>
        <v>0</v>
      </c>
      <c r="BL111" s="44">
        <f t="shared" si="33"/>
        <v>0</v>
      </c>
    </row>
    <row r="112" spans="1:64" x14ac:dyDescent="0.3">
      <c r="A112" s="8" t="s">
        <v>1012</v>
      </c>
      <c r="C112" s="44">
        <f t="shared" si="29"/>
        <v>-301204.63329445536</v>
      </c>
      <c r="D112" s="44">
        <f t="shared" ref="D112:AI112" si="34">D109-D110-D111</f>
        <v>-195614.76930168242</v>
      </c>
      <c r="E112" s="44">
        <f t="shared" si="34"/>
        <v>-3037.1687485595758</v>
      </c>
      <c r="F112" s="44">
        <f t="shared" si="34"/>
        <v>-3038.0753783513865</v>
      </c>
      <c r="G112" s="44">
        <f t="shared" si="34"/>
        <v>-8378.6240776062259</v>
      </c>
      <c r="H112" s="44">
        <f t="shared" si="34"/>
        <v>-6867.3581047317439</v>
      </c>
      <c r="I112" s="44">
        <f t="shared" si="34"/>
        <v>-5062.8131933638178</v>
      </c>
      <c r="J112" s="44">
        <f t="shared" si="34"/>
        <v>-3550.6946738196034</v>
      </c>
      <c r="K112" s="44">
        <f t="shared" si="34"/>
        <v>-2916.5043272113476</v>
      </c>
      <c r="L112" s="44">
        <f t="shared" si="34"/>
        <v>-2916.5043272113476</v>
      </c>
      <c r="M112" s="44">
        <f t="shared" si="34"/>
        <v>-2036.5043272113476</v>
      </c>
      <c r="N112" s="44">
        <f t="shared" si="34"/>
        <v>-2036.5043272113476</v>
      </c>
      <c r="O112" s="44">
        <f t="shared" si="34"/>
        <v>-2036.5043272113476</v>
      </c>
      <c r="P112" s="44">
        <f t="shared" si="34"/>
        <v>-2036.5043272113476</v>
      </c>
      <c r="Q112" s="44">
        <f t="shared" si="34"/>
        <v>-2036.5043272113476</v>
      </c>
      <c r="R112" s="44">
        <f t="shared" si="34"/>
        <v>-2036.5043272113476</v>
      </c>
      <c r="S112" s="44">
        <f t="shared" si="34"/>
        <v>-2036.5043272113476</v>
      </c>
      <c r="T112" s="44">
        <f t="shared" si="34"/>
        <v>-2036.5043272113476</v>
      </c>
      <c r="U112" s="44">
        <f t="shared" si="34"/>
        <v>-2036.5043272113476</v>
      </c>
      <c r="V112" s="44">
        <f t="shared" si="34"/>
        <v>-8436.5043272113471</v>
      </c>
      <c r="W112" s="44">
        <f t="shared" si="34"/>
        <v>-2036.5043272113476</v>
      </c>
      <c r="X112" s="44">
        <f t="shared" si="34"/>
        <v>-2036.5043272113476</v>
      </c>
      <c r="Y112" s="44">
        <f t="shared" si="34"/>
        <v>-2036.5043272113476</v>
      </c>
      <c r="Z112" s="44">
        <f t="shared" si="34"/>
        <v>-2036.5043272113476</v>
      </c>
      <c r="AA112" s="44">
        <f t="shared" si="34"/>
        <v>-2036.5043272113476</v>
      </c>
      <c r="AB112" s="44">
        <f t="shared" si="34"/>
        <v>-2036.5043272113476</v>
      </c>
      <c r="AC112" s="44">
        <f t="shared" si="34"/>
        <v>-2036.5043272113476</v>
      </c>
      <c r="AD112" s="44">
        <f t="shared" si="34"/>
        <v>-2036.5043272113476</v>
      </c>
      <c r="AE112" s="44">
        <f t="shared" si="34"/>
        <v>-2036.5043272113476</v>
      </c>
      <c r="AF112" s="44">
        <f t="shared" si="34"/>
        <v>-2036.5043272113476</v>
      </c>
      <c r="AG112" s="44">
        <f t="shared" si="34"/>
        <v>-2036.5043272113476</v>
      </c>
      <c r="AH112" s="44">
        <f t="shared" si="34"/>
        <v>-2036.5043272113476</v>
      </c>
      <c r="AI112" s="44">
        <f t="shared" si="34"/>
        <v>-2036.5043272113476</v>
      </c>
      <c r="AJ112" s="44">
        <f t="shared" ref="AJ112:BO112" si="35">AJ109-AJ110-AJ111</f>
        <v>-2036.5043272113476</v>
      </c>
      <c r="AK112" s="44">
        <f t="shared" si="35"/>
        <v>-8436.5043272113471</v>
      </c>
      <c r="AL112" s="44">
        <f t="shared" si="35"/>
        <v>-2036.5043272113476</v>
      </c>
      <c r="AM112" s="44">
        <f t="shared" si="35"/>
        <v>-2036.5043272113476</v>
      </c>
      <c r="AN112" s="44">
        <f t="shared" si="35"/>
        <v>-2036.5043272113476</v>
      </c>
      <c r="AO112" s="44">
        <f t="shared" si="35"/>
        <v>0</v>
      </c>
      <c r="AP112" s="44">
        <f t="shared" si="35"/>
        <v>0</v>
      </c>
      <c r="AQ112" s="44">
        <f t="shared" si="35"/>
        <v>0</v>
      </c>
      <c r="AR112" s="44">
        <f t="shared" si="35"/>
        <v>0</v>
      </c>
      <c r="AS112" s="44">
        <f t="shared" si="35"/>
        <v>0</v>
      </c>
      <c r="AT112" s="44">
        <f t="shared" si="35"/>
        <v>0</v>
      </c>
      <c r="AU112" s="44">
        <f t="shared" si="35"/>
        <v>0</v>
      </c>
      <c r="AV112" s="44">
        <f t="shared" si="35"/>
        <v>0</v>
      </c>
      <c r="AW112" s="44">
        <f t="shared" si="35"/>
        <v>0</v>
      </c>
      <c r="AX112" s="44">
        <f t="shared" si="35"/>
        <v>0</v>
      </c>
      <c r="AY112" s="44">
        <f t="shared" si="35"/>
        <v>0</v>
      </c>
      <c r="AZ112" s="44">
        <f t="shared" si="35"/>
        <v>0</v>
      </c>
      <c r="BA112" s="44">
        <f t="shared" si="35"/>
        <v>0</v>
      </c>
      <c r="BB112" s="44">
        <f t="shared" si="35"/>
        <v>0</v>
      </c>
      <c r="BC112" s="44">
        <f t="shared" si="35"/>
        <v>0</v>
      </c>
      <c r="BD112" s="44">
        <f t="shared" si="35"/>
        <v>0</v>
      </c>
      <c r="BE112" s="44">
        <f t="shared" si="35"/>
        <v>0</v>
      </c>
      <c r="BF112" s="44">
        <f t="shared" si="35"/>
        <v>0</v>
      </c>
      <c r="BG112" s="44">
        <f t="shared" si="35"/>
        <v>0</v>
      </c>
      <c r="BH112" s="44">
        <f t="shared" si="35"/>
        <v>0</v>
      </c>
      <c r="BI112" s="44">
        <f t="shared" si="35"/>
        <v>0</v>
      </c>
      <c r="BJ112" s="44">
        <f t="shared" si="35"/>
        <v>0</v>
      </c>
      <c r="BK112" s="44">
        <f t="shared" si="35"/>
        <v>0</v>
      </c>
      <c r="BL112" s="44">
        <f t="shared" si="35"/>
        <v>0</v>
      </c>
    </row>
    <row r="113" spans="1:64" x14ac:dyDescent="0.3">
      <c r="A113" s="8" t="s">
        <v>1013</v>
      </c>
      <c r="D113" s="44">
        <f>D112</f>
        <v>-195614.76930168242</v>
      </c>
      <c r="E113" s="44">
        <f t="shared" ref="E113:AJ113" si="36">D113+E112</f>
        <v>-198651.938050242</v>
      </c>
      <c r="F113" s="44">
        <f t="shared" si="36"/>
        <v>-201690.01342859337</v>
      </c>
      <c r="G113" s="44">
        <f t="shared" si="36"/>
        <v>-210068.63750619959</v>
      </c>
      <c r="H113" s="44">
        <f t="shared" si="36"/>
        <v>-216935.99561093134</v>
      </c>
      <c r="I113" s="44">
        <f t="shared" si="36"/>
        <v>-221998.80880429514</v>
      </c>
      <c r="J113" s="44">
        <f t="shared" si="36"/>
        <v>-225549.50347811476</v>
      </c>
      <c r="K113" s="44">
        <f t="shared" si="36"/>
        <v>-228466.00780532611</v>
      </c>
      <c r="L113" s="44">
        <f t="shared" si="36"/>
        <v>-231382.51213253746</v>
      </c>
      <c r="M113" s="44">
        <f t="shared" si="36"/>
        <v>-233419.01645974882</v>
      </c>
      <c r="N113" s="44">
        <f t="shared" si="36"/>
        <v>-235455.52078696017</v>
      </c>
      <c r="O113" s="44">
        <f t="shared" si="36"/>
        <v>-237492.02511417153</v>
      </c>
      <c r="P113" s="44">
        <f t="shared" si="36"/>
        <v>-239528.52944138288</v>
      </c>
      <c r="Q113" s="44">
        <f t="shared" si="36"/>
        <v>-241565.03376859424</v>
      </c>
      <c r="R113" s="44">
        <f t="shared" si="36"/>
        <v>-243601.53809580559</v>
      </c>
      <c r="S113" s="44">
        <f t="shared" si="36"/>
        <v>-245638.04242301694</v>
      </c>
      <c r="T113" s="44">
        <f t="shared" si="36"/>
        <v>-247674.5467502283</v>
      </c>
      <c r="U113" s="44">
        <f t="shared" si="36"/>
        <v>-249711.05107743965</v>
      </c>
      <c r="V113" s="44">
        <f t="shared" si="36"/>
        <v>-258147.55540465101</v>
      </c>
      <c r="W113" s="44">
        <f t="shared" si="36"/>
        <v>-260184.05973186236</v>
      </c>
      <c r="X113" s="44">
        <f t="shared" si="36"/>
        <v>-262220.56405907369</v>
      </c>
      <c r="Y113" s="44">
        <f t="shared" si="36"/>
        <v>-264257.06838628504</v>
      </c>
      <c r="Z113" s="44">
        <f t="shared" si="36"/>
        <v>-266293.5727134964</v>
      </c>
      <c r="AA113" s="44">
        <f t="shared" si="36"/>
        <v>-268330.07704070775</v>
      </c>
      <c r="AB113" s="44">
        <f t="shared" si="36"/>
        <v>-270366.58136791911</v>
      </c>
      <c r="AC113" s="44">
        <f t="shared" si="36"/>
        <v>-272403.08569513046</v>
      </c>
      <c r="AD113" s="44">
        <f t="shared" si="36"/>
        <v>-274439.59002234181</v>
      </c>
      <c r="AE113" s="44">
        <f t="shared" si="36"/>
        <v>-276476.09434955317</v>
      </c>
      <c r="AF113" s="44">
        <f t="shared" si="36"/>
        <v>-278512.59867676452</v>
      </c>
      <c r="AG113" s="44">
        <f t="shared" si="36"/>
        <v>-280549.10300397588</v>
      </c>
      <c r="AH113" s="44">
        <f t="shared" si="36"/>
        <v>-282585.60733118723</v>
      </c>
      <c r="AI113" s="44">
        <f t="shared" si="36"/>
        <v>-284622.11165839859</v>
      </c>
      <c r="AJ113" s="44">
        <f t="shared" si="36"/>
        <v>-286658.61598560994</v>
      </c>
      <c r="AK113" s="44">
        <f t="shared" ref="AK113:BP113" si="37">AJ113+AK112</f>
        <v>-295095.12031282129</v>
      </c>
      <c r="AL113" s="44">
        <f t="shared" si="37"/>
        <v>-297131.62464003265</v>
      </c>
      <c r="AM113" s="44">
        <f t="shared" si="37"/>
        <v>-299168.128967244</v>
      </c>
      <c r="AN113" s="44">
        <f t="shared" si="37"/>
        <v>-301204.63329445536</v>
      </c>
      <c r="AO113" s="44">
        <f t="shared" si="37"/>
        <v>-301204.63329445536</v>
      </c>
      <c r="AP113" s="44">
        <f t="shared" si="37"/>
        <v>-301204.63329445536</v>
      </c>
      <c r="AQ113" s="44">
        <f t="shared" si="37"/>
        <v>-301204.63329445536</v>
      </c>
      <c r="AR113" s="44">
        <f t="shared" si="37"/>
        <v>-301204.63329445536</v>
      </c>
      <c r="AS113" s="44">
        <f t="shared" si="37"/>
        <v>-301204.63329445536</v>
      </c>
      <c r="AT113" s="44">
        <f t="shared" si="37"/>
        <v>-301204.63329445536</v>
      </c>
      <c r="AU113" s="44">
        <f t="shared" si="37"/>
        <v>-301204.63329445536</v>
      </c>
      <c r="AV113" s="44">
        <f t="shared" si="37"/>
        <v>-301204.63329445536</v>
      </c>
      <c r="AW113" s="44">
        <f t="shared" si="37"/>
        <v>-301204.63329445536</v>
      </c>
      <c r="AX113" s="44">
        <f t="shared" si="37"/>
        <v>-301204.63329445536</v>
      </c>
      <c r="AY113" s="44">
        <f t="shared" si="37"/>
        <v>-301204.63329445536</v>
      </c>
      <c r="AZ113" s="44">
        <f t="shared" si="37"/>
        <v>-301204.63329445536</v>
      </c>
      <c r="BA113" s="44">
        <f t="shared" si="37"/>
        <v>-301204.63329445536</v>
      </c>
      <c r="BB113" s="44">
        <f t="shared" si="37"/>
        <v>-301204.63329445536</v>
      </c>
      <c r="BC113" s="44">
        <f t="shared" si="37"/>
        <v>-301204.63329445536</v>
      </c>
      <c r="BD113" s="44">
        <f t="shared" si="37"/>
        <v>-301204.63329445536</v>
      </c>
      <c r="BE113" s="44">
        <f t="shared" si="37"/>
        <v>-301204.63329445536</v>
      </c>
      <c r="BF113" s="44">
        <f t="shared" si="37"/>
        <v>-301204.63329445536</v>
      </c>
      <c r="BG113" s="44">
        <f t="shared" si="37"/>
        <v>-301204.63329445536</v>
      </c>
      <c r="BH113" s="44">
        <f t="shared" si="37"/>
        <v>-301204.63329445536</v>
      </c>
      <c r="BI113" s="44">
        <f t="shared" si="37"/>
        <v>-301204.63329445536</v>
      </c>
      <c r="BJ113" s="44">
        <f t="shared" si="37"/>
        <v>-301204.63329445536</v>
      </c>
      <c r="BK113" s="44">
        <f t="shared" si="37"/>
        <v>-301204.63329445536</v>
      </c>
      <c r="BL113" s="44">
        <f t="shared" si="37"/>
        <v>-301204.63329445536</v>
      </c>
    </row>
    <row r="114" spans="1:64" x14ac:dyDescent="0.3">
      <c r="A114" s="8" t="s">
        <v>1014</v>
      </c>
      <c r="C114" s="22" t="str">
        <f>IF(COUNT(E114:BL114)=0,"None",MIN(E114:BL114))</f>
        <v>None</v>
      </c>
      <c r="E114" s="22" t="str">
        <f>IF(AND(E$4&lt;=Org!$B$5,E113&gt;=0),E$4,"")</f>
        <v/>
      </c>
      <c r="F114" s="22" t="str">
        <f>IF(AND(F$4&lt;=Org!$B$5,F113&gt;=0),F$4,"")</f>
        <v/>
      </c>
      <c r="G114" s="22" t="str">
        <f>IF(AND(G$4&lt;=Org!$B$5,G113&gt;=0),G$4,"")</f>
        <v/>
      </c>
      <c r="H114" s="22" t="str">
        <f>IF(AND(H$4&lt;=Org!$B$5,H113&gt;=0),H$4,"")</f>
        <v/>
      </c>
      <c r="I114" s="22" t="str">
        <f>IF(AND(I$4&lt;=Org!$B$5,I113&gt;=0),I$4,"")</f>
        <v/>
      </c>
      <c r="J114" s="22" t="str">
        <f>IF(AND(J$4&lt;=Org!$B$5,J113&gt;=0),J$4,"")</f>
        <v/>
      </c>
      <c r="K114" s="22" t="str">
        <f>IF(AND(K$4&lt;=Org!$B$5,K113&gt;=0),K$4,"")</f>
        <v/>
      </c>
      <c r="L114" s="22" t="str">
        <f>IF(AND(L$4&lt;=Org!$B$5,L113&gt;=0),L$4,"")</f>
        <v/>
      </c>
      <c r="M114" s="22" t="str">
        <f>IF(AND(M$4&lt;=Org!$B$5,M113&gt;=0),M$4,"")</f>
        <v/>
      </c>
      <c r="N114" s="22" t="str">
        <f>IF(AND(N$4&lt;=Org!$B$5,N113&gt;=0),N$4,"")</f>
        <v/>
      </c>
      <c r="O114" s="22" t="str">
        <f>IF(AND(O$4&lt;=Org!$B$5,O113&gt;=0),O$4,"")</f>
        <v/>
      </c>
      <c r="P114" s="22" t="str">
        <f>IF(AND(P$4&lt;=Org!$B$5,P113&gt;=0),P$4,"")</f>
        <v/>
      </c>
      <c r="Q114" s="22" t="str">
        <f>IF(AND(Q$4&lt;=Org!$B$5,Q113&gt;=0),Q$4,"")</f>
        <v/>
      </c>
      <c r="R114" s="22" t="str">
        <f>IF(AND(R$4&lt;=Org!$B$5,R113&gt;=0),R$4,"")</f>
        <v/>
      </c>
      <c r="S114" s="22" t="str">
        <f>IF(AND(S$4&lt;=Org!$B$5,S113&gt;=0),S$4,"")</f>
        <v/>
      </c>
      <c r="T114" s="22" t="str">
        <f>IF(AND(T$4&lt;=Org!$B$5,T113&gt;=0),T$4,"")</f>
        <v/>
      </c>
      <c r="U114" s="22" t="str">
        <f>IF(AND(U$4&lt;=Org!$B$5,U113&gt;=0),U$4,"")</f>
        <v/>
      </c>
      <c r="V114" s="22" t="str">
        <f>IF(AND(V$4&lt;=Org!$B$5,V113&gt;=0),V$4,"")</f>
        <v/>
      </c>
      <c r="W114" s="22" t="str">
        <f>IF(AND(W$4&lt;=Org!$B$5,W113&gt;=0),W$4,"")</f>
        <v/>
      </c>
      <c r="X114" s="22" t="str">
        <f>IF(AND(X$4&lt;=Org!$B$5,X113&gt;=0),X$4,"")</f>
        <v/>
      </c>
      <c r="Y114" s="22" t="str">
        <f>IF(AND(Y$4&lt;=Org!$B$5,Y113&gt;=0),Y$4,"")</f>
        <v/>
      </c>
      <c r="Z114" s="22" t="str">
        <f>IF(AND(Z$4&lt;=Org!$B$5,Z113&gt;=0),Z$4,"")</f>
        <v/>
      </c>
      <c r="AA114" s="22" t="str">
        <f>IF(AND(AA$4&lt;=Org!$B$5,AA113&gt;=0),AA$4,"")</f>
        <v/>
      </c>
      <c r="AB114" s="22" t="str">
        <f>IF(AND(AB$4&lt;=Org!$B$5,AB113&gt;=0),AB$4,"")</f>
        <v/>
      </c>
      <c r="AC114" s="22" t="str">
        <f>IF(AND(AC$4&lt;=Org!$B$5,AC113&gt;=0),AC$4,"")</f>
        <v/>
      </c>
      <c r="AD114" s="22" t="str">
        <f>IF(AND(AD$4&lt;=Org!$B$5,AD113&gt;=0),AD$4,"")</f>
        <v/>
      </c>
      <c r="AE114" s="22" t="str">
        <f>IF(AND(AE$4&lt;=Org!$B$5,AE113&gt;=0),AE$4,"")</f>
        <v/>
      </c>
      <c r="AF114" s="22" t="str">
        <f>IF(AND(AF$4&lt;=Org!$B$5,AF113&gt;=0),AF$4,"")</f>
        <v/>
      </c>
      <c r="AG114" s="22" t="str">
        <f>IF(AND(AG$4&lt;=Org!$B$5,AG113&gt;=0),AG$4,"")</f>
        <v/>
      </c>
      <c r="AH114" s="22" t="str">
        <f>IF(AND(AH$4&lt;=Org!$B$5,AH113&gt;=0),AH$4,"")</f>
        <v/>
      </c>
      <c r="AI114" s="22" t="str">
        <f>IF(AND(AI$4&lt;=Org!$B$5,AI113&gt;=0),AI$4,"")</f>
        <v/>
      </c>
      <c r="AJ114" s="22" t="str">
        <f>IF(AND(AJ$4&lt;=Org!$B$5,AJ113&gt;=0),AJ$4,"")</f>
        <v/>
      </c>
      <c r="AK114" s="22" t="str">
        <f>IF(AND(AK$4&lt;=Org!$B$5,AK113&gt;=0),AK$4,"")</f>
        <v/>
      </c>
      <c r="AL114" s="22" t="str">
        <f>IF(AND(AL$4&lt;=Org!$B$5,AL113&gt;=0),AL$4,"")</f>
        <v/>
      </c>
      <c r="AM114" s="22" t="str">
        <f>IF(AND(AM$4&lt;=Org!$B$5,AM113&gt;=0),AM$4,"")</f>
        <v/>
      </c>
      <c r="AN114" s="22" t="str">
        <f>IF(AND(AN$4&lt;=Org!$B$5,AN113&gt;=0),AN$4,"")</f>
        <v/>
      </c>
      <c r="AO114" s="22" t="str">
        <f>IF(AND(AO$4&lt;=Org!$B$5,AO113&gt;=0),AO$4,"")</f>
        <v/>
      </c>
      <c r="AP114" s="22" t="str">
        <f>IF(AND(AP$4&lt;=Org!$B$5,AP113&gt;=0),AP$4,"")</f>
        <v/>
      </c>
      <c r="AQ114" s="22" t="str">
        <f>IF(AND(AQ$4&lt;=Org!$B$5,AQ113&gt;=0),AQ$4,"")</f>
        <v/>
      </c>
      <c r="AR114" s="22" t="str">
        <f>IF(AND(AR$4&lt;=Org!$B$5,AR113&gt;=0),AR$4,"")</f>
        <v/>
      </c>
      <c r="AS114" s="22" t="str">
        <f>IF(AND(AS$4&lt;=Org!$B$5,AS113&gt;=0),AS$4,"")</f>
        <v/>
      </c>
      <c r="AT114" s="22" t="str">
        <f>IF(AND(AT$4&lt;=Org!$B$5,AT113&gt;=0),AT$4,"")</f>
        <v/>
      </c>
      <c r="AU114" s="22" t="str">
        <f>IF(AND(AU$4&lt;=Org!$B$5,AU113&gt;=0),AU$4,"")</f>
        <v/>
      </c>
      <c r="AV114" s="22" t="str">
        <f>IF(AND(AV$4&lt;=Org!$B$5,AV113&gt;=0),AV$4,"")</f>
        <v/>
      </c>
      <c r="AW114" s="22" t="str">
        <f>IF(AND(AW$4&lt;=Org!$B$5,AW113&gt;=0),AW$4,"")</f>
        <v/>
      </c>
      <c r="AX114" s="22" t="str">
        <f>IF(AND(AX$4&lt;=Org!$B$5,AX113&gt;=0),AX$4,"")</f>
        <v/>
      </c>
      <c r="AY114" s="22" t="str">
        <f>IF(AND(AY$4&lt;=Org!$B$5,AY113&gt;=0),AY$4,"")</f>
        <v/>
      </c>
      <c r="AZ114" s="22" t="str">
        <f>IF(AND(AZ$4&lt;=Org!$B$5,AZ113&gt;=0),AZ$4,"")</f>
        <v/>
      </c>
      <c r="BA114" s="22" t="str">
        <f>IF(AND(BA$4&lt;=Org!$B$5,BA113&gt;=0),BA$4,"")</f>
        <v/>
      </c>
      <c r="BB114" s="22" t="str">
        <f>IF(AND(BB$4&lt;=Org!$B$5,BB113&gt;=0),BB$4,"")</f>
        <v/>
      </c>
      <c r="BC114" s="22" t="str">
        <f>IF(AND(BC$4&lt;=Org!$B$5,BC113&gt;=0),BC$4,"")</f>
        <v/>
      </c>
      <c r="BD114" s="22" t="str">
        <f>IF(AND(BD$4&lt;=Org!$B$5,BD113&gt;=0),BD$4,"")</f>
        <v/>
      </c>
      <c r="BE114" s="22" t="str">
        <f>IF(AND(BE$4&lt;=Org!$B$5,BE113&gt;=0),BE$4,"")</f>
        <v/>
      </c>
      <c r="BF114" s="22" t="str">
        <f>IF(AND(BF$4&lt;=Org!$B$5,BF113&gt;=0),BF$4,"")</f>
        <v/>
      </c>
      <c r="BG114" s="22" t="str">
        <f>IF(AND(BG$4&lt;=Org!$B$5,BG113&gt;=0),BG$4,"")</f>
        <v/>
      </c>
      <c r="BH114" s="22" t="str">
        <f>IF(AND(BH$4&lt;=Org!$B$5,BH113&gt;=0),BH$4,"")</f>
        <v/>
      </c>
      <c r="BI114" s="22" t="str">
        <f>IF(AND(BI$4&lt;=Org!$B$5,BI113&gt;=0),BI$4,"")</f>
        <v/>
      </c>
      <c r="BJ114" s="22" t="str">
        <f>IF(AND(BJ$4&lt;=Org!$B$5,BJ113&gt;=0),BJ$4,"")</f>
        <v/>
      </c>
      <c r="BK114" s="22" t="str">
        <f>IF(AND(BK$4&lt;=Org!$B$5,BK113&gt;=0),BK$4,"")</f>
        <v/>
      </c>
      <c r="BL114" s="22" t="str">
        <f>IF(AND(BL$4&lt;=Org!$B$5,BL113&gt;=0),BL$4,"")</f>
        <v/>
      </c>
    </row>
    <row r="116" spans="1:64" x14ac:dyDescent="0.3">
      <c r="A116" s="17" t="str">
        <f>Teams!$G$4</f>
        <v>Sales assistant (published-range calibration)</v>
      </c>
      <c r="B116" s="18" t="s">
        <v>1009</v>
      </c>
      <c r="C116" s="50">
        <f>(Teams!$G$29*(1-Teams!$G$31)*Params!$E$39*Params!$E$21*IF(Teams!$G$36="Yes",Params!$E$22,1)*Teams!$G$68*Teams!$G$70+Teams!$G$30*(1-Teams!$G$31)*Params!$E$39*Params!$E$21*IF(Teams!$G$36="Yes",Params!$E$22,1)*Teams!$G$69)/1000000*Teams!$G$71*Teams!$G$35</f>
        <v>9.1655E-3</v>
      </c>
    </row>
    <row r="117" spans="1:64" x14ac:dyDescent="0.3">
      <c r="A117" s="8" t="s">
        <v>1010</v>
      </c>
      <c r="E117" s="26">
        <f>IF(E$4&lt;Teams!$G$80,0,IF(Teams!$G$22="S",MIN(1,(E$4-Teams!$G$80+1)/Teams!$G$21)^2*(3-2*MIN(1,(E$4-Teams!$G$80+1)/Teams!$G$21)),MIN(1,(E$4-Teams!$G$80+1)/Teams!$G$21)))</f>
        <v>7.407407407407407E-2</v>
      </c>
      <c r="F117" s="26">
        <f>IF(F$4&lt;Teams!$G$80,0,IF(Teams!$G$22="S",MIN(1,(F$4-Teams!$G$80+1)/Teams!$G$21)^2*(3-2*MIN(1,(F$4-Teams!$G$80+1)/Teams!$G$21)),MIN(1,(F$4-Teams!$G$80+1)/Teams!$G$21)))</f>
        <v>0.25925925925925924</v>
      </c>
      <c r="G117" s="26">
        <f>IF(G$4&lt;Teams!$G$80,0,IF(Teams!$G$22="S",MIN(1,(G$4-Teams!$G$80+1)/Teams!$G$21)^2*(3-2*MIN(1,(G$4-Teams!$G$80+1)/Teams!$G$21)),MIN(1,(G$4-Teams!$G$80+1)/Teams!$G$21)))</f>
        <v>0.5</v>
      </c>
      <c r="H117" s="26">
        <f>IF(H$4&lt;Teams!$G$80,0,IF(Teams!$G$22="S",MIN(1,(H$4-Teams!$G$80+1)/Teams!$G$21)^2*(3-2*MIN(1,(H$4-Teams!$G$80+1)/Teams!$G$21)),MIN(1,(H$4-Teams!$G$80+1)/Teams!$G$21)))</f>
        <v>0.7407407407407407</v>
      </c>
      <c r="I117" s="26">
        <f>IF(I$4&lt;Teams!$G$80,0,IF(Teams!$G$22="S",MIN(1,(I$4-Teams!$G$80+1)/Teams!$G$21)^2*(3-2*MIN(1,(I$4-Teams!$G$80+1)/Teams!$G$21)),MIN(1,(I$4-Teams!$G$80+1)/Teams!$G$21)))</f>
        <v>0.92592592592592604</v>
      </c>
      <c r="J117" s="26">
        <f>IF(J$4&lt;Teams!$G$80,0,IF(Teams!$G$22="S",MIN(1,(J$4-Teams!$G$80+1)/Teams!$G$21)^2*(3-2*MIN(1,(J$4-Teams!$G$80+1)/Teams!$G$21)),MIN(1,(J$4-Teams!$G$80+1)/Teams!$G$21)))</f>
        <v>1</v>
      </c>
      <c r="K117" s="26">
        <f>IF(K$4&lt;Teams!$G$80,0,IF(Teams!$G$22="S",MIN(1,(K$4-Teams!$G$80+1)/Teams!$G$21)^2*(3-2*MIN(1,(K$4-Teams!$G$80+1)/Teams!$G$21)),MIN(1,(K$4-Teams!$G$80+1)/Teams!$G$21)))</f>
        <v>1</v>
      </c>
      <c r="L117" s="26">
        <f>IF(L$4&lt;Teams!$G$80,0,IF(Teams!$G$22="S",MIN(1,(L$4-Teams!$G$80+1)/Teams!$G$21)^2*(3-2*MIN(1,(L$4-Teams!$G$80+1)/Teams!$G$21)),MIN(1,(L$4-Teams!$G$80+1)/Teams!$G$21)))</f>
        <v>1</v>
      </c>
      <c r="M117" s="26">
        <f>IF(M$4&lt;Teams!$G$80,0,IF(Teams!$G$22="S",MIN(1,(M$4-Teams!$G$80+1)/Teams!$G$21)^2*(3-2*MIN(1,(M$4-Teams!$G$80+1)/Teams!$G$21)),MIN(1,(M$4-Teams!$G$80+1)/Teams!$G$21)))</f>
        <v>1</v>
      </c>
      <c r="N117" s="26">
        <f>IF(N$4&lt;Teams!$G$80,0,IF(Teams!$G$22="S",MIN(1,(N$4-Teams!$G$80+1)/Teams!$G$21)^2*(3-2*MIN(1,(N$4-Teams!$G$80+1)/Teams!$G$21)),MIN(1,(N$4-Teams!$G$80+1)/Teams!$G$21)))</f>
        <v>1</v>
      </c>
      <c r="O117" s="26">
        <f>IF(O$4&lt;Teams!$G$80,0,IF(Teams!$G$22="S",MIN(1,(O$4-Teams!$G$80+1)/Teams!$G$21)^2*(3-2*MIN(1,(O$4-Teams!$G$80+1)/Teams!$G$21)),MIN(1,(O$4-Teams!$G$80+1)/Teams!$G$21)))</f>
        <v>1</v>
      </c>
      <c r="P117" s="26">
        <f>IF(P$4&lt;Teams!$G$80,0,IF(Teams!$G$22="S",MIN(1,(P$4-Teams!$G$80+1)/Teams!$G$21)^2*(3-2*MIN(1,(P$4-Teams!$G$80+1)/Teams!$G$21)),MIN(1,(P$4-Teams!$G$80+1)/Teams!$G$21)))</f>
        <v>1</v>
      </c>
      <c r="Q117" s="26">
        <f>IF(Q$4&lt;Teams!$G$80,0,IF(Teams!$G$22="S",MIN(1,(Q$4-Teams!$G$80+1)/Teams!$G$21)^2*(3-2*MIN(1,(Q$4-Teams!$G$80+1)/Teams!$G$21)),MIN(1,(Q$4-Teams!$G$80+1)/Teams!$G$21)))</f>
        <v>1</v>
      </c>
      <c r="R117" s="26">
        <f>IF(R$4&lt;Teams!$G$80,0,IF(Teams!$G$22="S",MIN(1,(R$4-Teams!$G$80+1)/Teams!$G$21)^2*(3-2*MIN(1,(R$4-Teams!$G$80+1)/Teams!$G$21)),MIN(1,(R$4-Teams!$G$80+1)/Teams!$G$21)))</f>
        <v>1</v>
      </c>
      <c r="S117" s="26">
        <f>IF(S$4&lt;Teams!$G$80,0,IF(Teams!$G$22="S",MIN(1,(S$4-Teams!$G$80+1)/Teams!$G$21)^2*(3-2*MIN(1,(S$4-Teams!$G$80+1)/Teams!$G$21)),MIN(1,(S$4-Teams!$G$80+1)/Teams!$G$21)))</f>
        <v>1</v>
      </c>
      <c r="T117" s="26">
        <f>IF(T$4&lt;Teams!$G$80,0,IF(Teams!$G$22="S",MIN(1,(T$4-Teams!$G$80+1)/Teams!$G$21)^2*(3-2*MIN(1,(T$4-Teams!$G$80+1)/Teams!$G$21)),MIN(1,(T$4-Teams!$G$80+1)/Teams!$G$21)))</f>
        <v>1</v>
      </c>
      <c r="U117" s="26">
        <f>IF(U$4&lt;Teams!$G$80,0,IF(Teams!$G$22="S",MIN(1,(U$4-Teams!$G$80+1)/Teams!$G$21)^2*(3-2*MIN(1,(U$4-Teams!$G$80+1)/Teams!$G$21)),MIN(1,(U$4-Teams!$G$80+1)/Teams!$G$21)))</f>
        <v>1</v>
      </c>
      <c r="V117" s="26">
        <f>IF(V$4&lt;Teams!$G$80,0,IF(Teams!$G$22="S",MIN(1,(V$4-Teams!$G$80+1)/Teams!$G$21)^2*(3-2*MIN(1,(V$4-Teams!$G$80+1)/Teams!$G$21)),MIN(1,(V$4-Teams!$G$80+1)/Teams!$G$21)))</f>
        <v>1</v>
      </c>
      <c r="W117" s="26">
        <f>IF(W$4&lt;Teams!$G$80,0,IF(Teams!$G$22="S",MIN(1,(W$4-Teams!$G$80+1)/Teams!$G$21)^2*(3-2*MIN(1,(W$4-Teams!$G$80+1)/Teams!$G$21)),MIN(1,(W$4-Teams!$G$80+1)/Teams!$G$21)))</f>
        <v>1</v>
      </c>
      <c r="X117" s="26">
        <f>IF(X$4&lt;Teams!$G$80,0,IF(Teams!$G$22="S",MIN(1,(X$4-Teams!$G$80+1)/Teams!$G$21)^2*(3-2*MIN(1,(X$4-Teams!$G$80+1)/Teams!$G$21)),MIN(1,(X$4-Teams!$G$80+1)/Teams!$G$21)))</f>
        <v>1</v>
      </c>
      <c r="Y117" s="26">
        <f>IF(Y$4&lt;Teams!$G$80,0,IF(Teams!$G$22="S",MIN(1,(Y$4-Teams!$G$80+1)/Teams!$G$21)^2*(3-2*MIN(1,(Y$4-Teams!$G$80+1)/Teams!$G$21)),MIN(1,(Y$4-Teams!$G$80+1)/Teams!$G$21)))</f>
        <v>1</v>
      </c>
      <c r="Z117" s="26">
        <f>IF(Z$4&lt;Teams!$G$80,0,IF(Teams!$G$22="S",MIN(1,(Z$4-Teams!$G$80+1)/Teams!$G$21)^2*(3-2*MIN(1,(Z$4-Teams!$G$80+1)/Teams!$G$21)),MIN(1,(Z$4-Teams!$G$80+1)/Teams!$G$21)))</f>
        <v>1</v>
      </c>
      <c r="AA117" s="26">
        <f>IF(AA$4&lt;Teams!$G$80,0,IF(Teams!$G$22="S",MIN(1,(AA$4-Teams!$G$80+1)/Teams!$G$21)^2*(3-2*MIN(1,(AA$4-Teams!$G$80+1)/Teams!$G$21)),MIN(1,(AA$4-Teams!$G$80+1)/Teams!$G$21)))</f>
        <v>1</v>
      </c>
      <c r="AB117" s="26">
        <f>IF(AB$4&lt;Teams!$G$80,0,IF(Teams!$G$22="S",MIN(1,(AB$4-Teams!$G$80+1)/Teams!$G$21)^2*(3-2*MIN(1,(AB$4-Teams!$G$80+1)/Teams!$G$21)),MIN(1,(AB$4-Teams!$G$80+1)/Teams!$G$21)))</f>
        <v>1</v>
      </c>
      <c r="AC117" s="26">
        <f>IF(AC$4&lt;Teams!$G$80,0,IF(Teams!$G$22="S",MIN(1,(AC$4-Teams!$G$80+1)/Teams!$G$21)^2*(3-2*MIN(1,(AC$4-Teams!$G$80+1)/Teams!$G$21)),MIN(1,(AC$4-Teams!$G$80+1)/Teams!$G$21)))</f>
        <v>1</v>
      </c>
      <c r="AD117" s="26">
        <f>IF(AD$4&lt;Teams!$G$80,0,IF(Teams!$G$22="S",MIN(1,(AD$4-Teams!$G$80+1)/Teams!$G$21)^2*(3-2*MIN(1,(AD$4-Teams!$G$80+1)/Teams!$G$21)),MIN(1,(AD$4-Teams!$G$80+1)/Teams!$G$21)))</f>
        <v>1</v>
      </c>
      <c r="AE117" s="26">
        <f>IF(AE$4&lt;Teams!$G$80,0,IF(Teams!$G$22="S",MIN(1,(AE$4-Teams!$G$80+1)/Teams!$G$21)^2*(3-2*MIN(1,(AE$4-Teams!$G$80+1)/Teams!$G$21)),MIN(1,(AE$4-Teams!$G$80+1)/Teams!$G$21)))</f>
        <v>1</v>
      </c>
      <c r="AF117" s="26">
        <f>IF(AF$4&lt;Teams!$G$80,0,IF(Teams!$G$22="S",MIN(1,(AF$4-Teams!$G$80+1)/Teams!$G$21)^2*(3-2*MIN(1,(AF$4-Teams!$G$80+1)/Teams!$G$21)),MIN(1,(AF$4-Teams!$G$80+1)/Teams!$G$21)))</f>
        <v>1</v>
      </c>
      <c r="AG117" s="26">
        <f>IF(AG$4&lt;Teams!$G$80,0,IF(Teams!$G$22="S",MIN(1,(AG$4-Teams!$G$80+1)/Teams!$G$21)^2*(3-2*MIN(1,(AG$4-Teams!$G$80+1)/Teams!$G$21)),MIN(1,(AG$4-Teams!$G$80+1)/Teams!$G$21)))</f>
        <v>1</v>
      </c>
      <c r="AH117" s="26">
        <f>IF(AH$4&lt;Teams!$G$80,0,IF(Teams!$G$22="S",MIN(1,(AH$4-Teams!$G$80+1)/Teams!$G$21)^2*(3-2*MIN(1,(AH$4-Teams!$G$80+1)/Teams!$G$21)),MIN(1,(AH$4-Teams!$G$80+1)/Teams!$G$21)))</f>
        <v>1</v>
      </c>
      <c r="AI117" s="26">
        <f>IF(AI$4&lt;Teams!$G$80,0,IF(Teams!$G$22="S",MIN(1,(AI$4-Teams!$G$80+1)/Teams!$G$21)^2*(3-2*MIN(1,(AI$4-Teams!$G$80+1)/Teams!$G$21)),MIN(1,(AI$4-Teams!$G$80+1)/Teams!$G$21)))</f>
        <v>1</v>
      </c>
      <c r="AJ117" s="26">
        <f>IF(AJ$4&lt;Teams!$G$80,0,IF(Teams!$G$22="S",MIN(1,(AJ$4-Teams!$G$80+1)/Teams!$G$21)^2*(3-2*MIN(1,(AJ$4-Teams!$G$80+1)/Teams!$G$21)),MIN(1,(AJ$4-Teams!$G$80+1)/Teams!$G$21)))</f>
        <v>1</v>
      </c>
      <c r="AK117" s="26">
        <f>IF(AK$4&lt;Teams!$G$80,0,IF(Teams!$G$22="S",MIN(1,(AK$4-Teams!$G$80+1)/Teams!$G$21)^2*(3-2*MIN(1,(AK$4-Teams!$G$80+1)/Teams!$G$21)),MIN(1,(AK$4-Teams!$G$80+1)/Teams!$G$21)))</f>
        <v>1</v>
      </c>
      <c r="AL117" s="26">
        <f>IF(AL$4&lt;Teams!$G$80,0,IF(Teams!$G$22="S",MIN(1,(AL$4-Teams!$G$80+1)/Teams!$G$21)^2*(3-2*MIN(1,(AL$4-Teams!$G$80+1)/Teams!$G$21)),MIN(1,(AL$4-Teams!$G$80+1)/Teams!$G$21)))</f>
        <v>1</v>
      </c>
      <c r="AM117" s="26">
        <f>IF(AM$4&lt;Teams!$G$80,0,IF(Teams!$G$22="S",MIN(1,(AM$4-Teams!$G$80+1)/Teams!$G$21)^2*(3-2*MIN(1,(AM$4-Teams!$G$80+1)/Teams!$G$21)),MIN(1,(AM$4-Teams!$G$80+1)/Teams!$G$21)))</f>
        <v>1</v>
      </c>
      <c r="AN117" s="26">
        <f>IF(AN$4&lt;Teams!$G$80,0,IF(Teams!$G$22="S",MIN(1,(AN$4-Teams!$G$80+1)/Teams!$G$21)^2*(3-2*MIN(1,(AN$4-Teams!$G$80+1)/Teams!$G$21)),MIN(1,(AN$4-Teams!$G$80+1)/Teams!$G$21)))</f>
        <v>1</v>
      </c>
      <c r="AO117" s="26">
        <f>IF(AO$4&lt;Teams!$G$80,0,IF(Teams!$G$22="S",MIN(1,(AO$4-Teams!$G$80+1)/Teams!$G$21)^2*(3-2*MIN(1,(AO$4-Teams!$G$80+1)/Teams!$G$21)),MIN(1,(AO$4-Teams!$G$80+1)/Teams!$G$21)))</f>
        <v>1</v>
      </c>
      <c r="AP117" s="26">
        <f>IF(AP$4&lt;Teams!$G$80,0,IF(Teams!$G$22="S",MIN(1,(AP$4-Teams!$G$80+1)/Teams!$G$21)^2*(3-2*MIN(1,(AP$4-Teams!$G$80+1)/Teams!$G$21)),MIN(1,(AP$4-Teams!$G$80+1)/Teams!$G$21)))</f>
        <v>1</v>
      </c>
      <c r="AQ117" s="26">
        <f>IF(AQ$4&lt;Teams!$G$80,0,IF(Teams!$G$22="S",MIN(1,(AQ$4-Teams!$G$80+1)/Teams!$G$21)^2*(3-2*MIN(1,(AQ$4-Teams!$G$80+1)/Teams!$G$21)),MIN(1,(AQ$4-Teams!$G$80+1)/Teams!$G$21)))</f>
        <v>1</v>
      </c>
      <c r="AR117" s="26">
        <f>IF(AR$4&lt;Teams!$G$80,0,IF(Teams!$G$22="S",MIN(1,(AR$4-Teams!$G$80+1)/Teams!$G$21)^2*(3-2*MIN(1,(AR$4-Teams!$G$80+1)/Teams!$G$21)),MIN(1,(AR$4-Teams!$G$80+1)/Teams!$G$21)))</f>
        <v>1</v>
      </c>
      <c r="AS117" s="26">
        <f>IF(AS$4&lt;Teams!$G$80,0,IF(Teams!$G$22="S",MIN(1,(AS$4-Teams!$G$80+1)/Teams!$G$21)^2*(3-2*MIN(1,(AS$4-Teams!$G$80+1)/Teams!$G$21)),MIN(1,(AS$4-Teams!$G$80+1)/Teams!$G$21)))</f>
        <v>1</v>
      </c>
      <c r="AT117" s="26">
        <f>IF(AT$4&lt;Teams!$G$80,0,IF(Teams!$G$22="S",MIN(1,(AT$4-Teams!$G$80+1)/Teams!$G$21)^2*(3-2*MIN(1,(AT$4-Teams!$G$80+1)/Teams!$G$21)),MIN(1,(AT$4-Teams!$G$80+1)/Teams!$G$21)))</f>
        <v>1</v>
      </c>
      <c r="AU117" s="26">
        <f>IF(AU$4&lt;Teams!$G$80,0,IF(Teams!$G$22="S",MIN(1,(AU$4-Teams!$G$80+1)/Teams!$G$21)^2*(3-2*MIN(1,(AU$4-Teams!$G$80+1)/Teams!$G$21)),MIN(1,(AU$4-Teams!$G$80+1)/Teams!$G$21)))</f>
        <v>1</v>
      </c>
      <c r="AV117" s="26">
        <f>IF(AV$4&lt;Teams!$G$80,0,IF(Teams!$G$22="S",MIN(1,(AV$4-Teams!$G$80+1)/Teams!$G$21)^2*(3-2*MIN(1,(AV$4-Teams!$G$80+1)/Teams!$G$21)),MIN(1,(AV$4-Teams!$G$80+1)/Teams!$G$21)))</f>
        <v>1</v>
      </c>
      <c r="AW117" s="26">
        <f>IF(AW$4&lt;Teams!$G$80,0,IF(Teams!$G$22="S",MIN(1,(AW$4-Teams!$G$80+1)/Teams!$G$21)^2*(3-2*MIN(1,(AW$4-Teams!$G$80+1)/Teams!$G$21)),MIN(1,(AW$4-Teams!$G$80+1)/Teams!$G$21)))</f>
        <v>1</v>
      </c>
      <c r="AX117" s="26">
        <f>IF(AX$4&lt;Teams!$G$80,0,IF(Teams!$G$22="S",MIN(1,(AX$4-Teams!$G$80+1)/Teams!$G$21)^2*(3-2*MIN(1,(AX$4-Teams!$G$80+1)/Teams!$G$21)),MIN(1,(AX$4-Teams!$G$80+1)/Teams!$G$21)))</f>
        <v>1</v>
      </c>
      <c r="AY117" s="26">
        <f>IF(AY$4&lt;Teams!$G$80,0,IF(Teams!$G$22="S",MIN(1,(AY$4-Teams!$G$80+1)/Teams!$G$21)^2*(3-2*MIN(1,(AY$4-Teams!$G$80+1)/Teams!$G$21)),MIN(1,(AY$4-Teams!$G$80+1)/Teams!$G$21)))</f>
        <v>1</v>
      </c>
      <c r="AZ117" s="26">
        <f>IF(AZ$4&lt;Teams!$G$80,0,IF(Teams!$G$22="S",MIN(1,(AZ$4-Teams!$G$80+1)/Teams!$G$21)^2*(3-2*MIN(1,(AZ$4-Teams!$G$80+1)/Teams!$G$21)),MIN(1,(AZ$4-Teams!$G$80+1)/Teams!$G$21)))</f>
        <v>1</v>
      </c>
      <c r="BA117" s="26">
        <f>IF(BA$4&lt;Teams!$G$80,0,IF(Teams!$G$22="S",MIN(1,(BA$4-Teams!$G$80+1)/Teams!$G$21)^2*(3-2*MIN(1,(BA$4-Teams!$G$80+1)/Teams!$G$21)),MIN(1,(BA$4-Teams!$G$80+1)/Teams!$G$21)))</f>
        <v>1</v>
      </c>
      <c r="BB117" s="26">
        <f>IF(BB$4&lt;Teams!$G$80,0,IF(Teams!$G$22="S",MIN(1,(BB$4-Teams!$G$80+1)/Teams!$G$21)^2*(3-2*MIN(1,(BB$4-Teams!$G$80+1)/Teams!$G$21)),MIN(1,(BB$4-Teams!$G$80+1)/Teams!$G$21)))</f>
        <v>1</v>
      </c>
      <c r="BC117" s="26">
        <f>IF(BC$4&lt;Teams!$G$80,0,IF(Teams!$G$22="S",MIN(1,(BC$4-Teams!$G$80+1)/Teams!$G$21)^2*(3-2*MIN(1,(BC$4-Teams!$G$80+1)/Teams!$G$21)),MIN(1,(BC$4-Teams!$G$80+1)/Teams!$G$21)))</f>
        <v>1</v>
      </c>
      <c r="BD117" s="26">
        <f>IF(BD$4&lt;Teams!$G$80,0,IF(Teams!$G$22="S",MIN(1,(BD$4-Teams!$G$80+1)/Teams!$G$21)^2*(3-2*MIN(1,(BD$4-Teams!$G$80+1)/Teams!$G$21)),MIN(1,(BD$4-Teams!$G$80+1)/Teams!$G$21)))</f>
        <v>1</v>
      </c>
      <c r="BE117" s="26">
        <f>IF(BE$4&lt;Teams!$G$80,0,IF(Teams!$G$22="S",MIN(1,(BE$4-Teams!$G$80+1)/Teams!$G$21)^2*(3-2*MIN(1,(BE$4-Teams!$G$80+1)/Teams!$G$21)),MIN(1,(BE$4-Teams!$G$80+1)/Teams!$G$21)))</f>
        <v>1</v>
      </c>
      <c r="BF117" s="26">
        <f>IF(BF$4&lt;Teams!$G$80,0,IF(Teams!$G$22="S",MIN(1,(BF$4-Teams!$G$80+1)/Teams!$G$21)^2*(3-2*MIN(1,(BF$4-Teams!$G$80+1)/Teams!$G$21)),MIN(1,(BF$4-Teams!$G$80+1)/Teams!$G$21)))</f>
        <v>1</v>
      </c>
      <c r="BG117" s="26">
        <f>IF(BG$4&lt;Teams!$G$80,0,IF(Teams!$G$22="S",MIN(1,(BG$4-Teams!$G$80+1)/Teams!$G$21)^2*(3-2*MIN(1,(BG$4-Teams!$G$80+1)/Teams!$G$21)),MIN(1,(BG$4-Teams!$G$80+1)/Teams!$G$21)))</f>
        <v>1</v>
      </c>
      <c r="BH117" s="26">
        <f>IF(BH$4&lt;Teams!$G$80,0,IF(Teams!$G$22="S",MIN(1,(BH$4-Teams!$G$80+1)/Teams!$G$21)^2*(3-2*MIN(1,(BH$4-Teams!$G$80+1)/Teams!$G$21)),MIN(1,(BH$4-Teams!$G$80+1)/Teams!$G$21)))</f>
        <v>1</v>
      </c>
      <c r="BI117" s="26">
        <f>IF(BI$4&lt;Teams!$G$80,0,IF(Teams!$G$22="S",MIN(1,(BI$4-Teams!$G$80+1)/Teams!$G$21)^2*(3-2*MIN(1,(BI$4-Teams!$G$80+1)/Teams!$G$21)),MIN(1,(BI$4-Teams!$G$80+1)/Teams!$G$21)))</f>
        <v>1</v>
      </c>
      <c r="BJ117" s="26">
        <f>IF(BJ$4&lt;Teams!$G$80,0,IF(Teams!$G$22="S",MIN(1,(BJ$4-Teams!$G$80+1)/Teams!$G$21)^2*(3-2*MIN(1,(BJ$4-Teams!$G$80+1)/Teams!$G$21)),MIN(1,(BJ$4-Teams!$G$80+1)/Teams!$G$21)))</f>
        <v>1</v>
      </c>
      <c r="BK117" s="26">
        <f>IF(BK$4&lt;Teams!$G$80,0,IF(Teams!$G$22="S",MIN(1,(BK$4-Teams!$G$80+1)/Teams!$G$21)^2*(3-2*MIN(1,(BK$4-Teams!$G$80+1)/Teams!$G$21)),MIN(1,(BK$4-Teams!$G$80+1)/Teams!$G$21)))</f>
        <v>1</v>
      </c>
      <c r="BL117" s="26">
        <f>IF(BL$4&lt;Teams!$G$80,0,IF(Teams!$G$22="S",MIN(1,(BL$4-Teams!$G$80+1)/Teams!$G$21)^2*(3-2*MIN(1,(BL$4-Teams!$G$80+1)/Teams!$G$21)),MIN(1,(BL$4-Teams!$G$80+1)/Teams!$G$21)))</f>
        <v>1</v>
      </c>
    </row>
    <row r="118" spans="1:64" x14ac:dyDescent="0.3">
      <c r="A118" s="8" t="s">
        <v>160</v>
      </c>
      <c r="E118" s="22">
        <f>IF(E$4&gt;=Teams!$G$80,Teams!$G$18,0)</f>
        <v>2000</v>
      </c>
      <c r="F118" s="22">
        <f>IF(F$4&gt;=Teams!$G$80,Teams!$G$18,0)</f>
        <v>2000</v>
      </c>
      <c r="G118" s="22">
        <f>IF(G$4&gt;=Teams!$G$80,Teams!$G$18,0)</f>
        <v>2000</v>
      </c>
      <c r="H118" s="22">
        <f>IF(H$4&gt;=Teams!$G$80,Teams!$G$18,0)</f>
        <v>2000</v>
      </c>
      <c r="I118" s="22">
        <f>IF(I$4&gt;=Teams!$G$80,Teams!$G$18,0)</f>
        <v>2000</v>
      </c>
      <c r="J118" s="22">
        <f>IF(J$4&gt;=Teams!$G$80,Teams!$G$18,0)</f>
        <v>2000</v>
      </c>
      <c r="K118" s="22">
        <f>IF(K$4&gt;=Teams!$G$80,Teams!$G$18,0)</f>
        <v>2000</v>
      </c>
      <c r="L118" s="22">
        <f>IF(L$4&gt;=Teams!$G$80,Teams!$G$18,0)</f>
        <v>2000</v>
      </c>
      <c r="M118" s="22">
        <f>IF(M$4&gt;=Teams!$G$80,Teams!$G$18,0)</f>
        <v>2000</v>
      </c>
      <c r="N118" s="22">
        <f>IF(N$4&gt;=Teams!$G$80,Teams!$G$18,0)</f>
        <v>2000</v>
      </c>
      <c r="O118" s="22">
        <f>IF(O$4&gt;=Teams!$G$80,Teams!$G$18,0)</f>
        <v>2000</v>
      </c>
      <c r="P118" s="22">
        <f>IF(P$4&gt;=Teams!$G$80,Teams!$G$18,0)</f>
        <v>2000</v>
      </c>
      <c r="Q118" s="22">
        <f>IF(Q$4&gt;=Teams!$G$80,Teams!$G$18,0)</f>
        <v>2000</v>
      </c>
      <c r="R118" s="22">
        <f>IF(R$4&gt;=Teams!$G$80,Teams!$G$18,0)</f>
        <v>2000</v>
      </c>
      <c r="S118" s="22">
        <f>IF(S$4&gt;=Teams!$G$80,Teams!$G$18,0)</f>
        <v>2000</v>
      </c>
      <c r="T118" s="22">
        <f>IF(T$4&gt;=Teams!$G$80,Teams!$G$18,0)</f>
        <v>2000</v>
      </c>
      <c r="U118" s="22">
        <f>IF(U$4&gt;=Teams!$G$80,Teams!$G$18,0)</f>
        <v>2000</v>
      </c>
      <c r="V118" s="22">
        <f>IF(V$4&gt;=Teams!$G$80,Teams!$G$18,0)</f>
        <v>2000</v>
      </c>
      <c r="W118" s="22">
        <f>IF(W$4&gt;=Teams!$G$80,Teams!$G$18,0)</f>
        <v>2000</v>
      </c>
      <c r="X118" s="22">
        <f>IF(X$4&gt;=Teams!$G$80,Teams!$G$18,0)</f>
        <v>2000</v>
      </c>
      <c r="Y118" s="22">
        <f>IF(Y$4&gt;=Teams!$G$80,Teams!$G$18,0)</f>
        <v>2000</v>
      </c>
      <c r="Z118" s="22">
        <f>IF(Z$4&gt;=Teams!$G$80,Teams!$G$18,0)</f>
        <v>2000</v>
      </c>
      <c r="AA118" s="22">
        <f>IF(AA$4&gt;=Teams!$G$80,Teams!$G$18,0)</f>
        <v>2000</v>
      </c>
      <c r="AB118" s="22">
        <f>IF(AB$4&gt;=Teams!$G$80,Teams!$G$18,0)</f>
        <v>2000</v>
      </c>
      <c r="AC118" s="22">
        <f>IF(AC$4&gt;=Teams!$G$80,Teams!$G$18,0)</f>
        <v>2000</v>
      </c>
      <c r="AD118" s="22">
        <f>IF(AD$4&gt;=Teams!$G$80,Teams!$G$18,0)</f>
        <v>2000</v>
      </c>
      <c r="AE118" s="22">
        <f>IF(AE$4&gt;=Teams!$G$80,Teams!$G$18,0)</f>
        <v>2000</v>
      </c>
      <c r="AF118" s="22">
        <f>IF(AF$4&gt;=Teams!$G$80,Teams!$G$18,0)</f>
        <v>2000</v>
      </c>
      <c r="AG118" s="22">
        <f>IF(AG$4&gt;=Teams!$G$80,Teams!$G$18,0)</f>
        <v>2000</v>
      </c>
      <c r="AH118" s="22">
        <f>IF(AH$4&gt;=Teams!$G$80,Teams!$G$18,0)</f>
        <v>2000</v>
      </c>
      <c r="AI118" s="22">
        <f>IF(AI$4&gt;=Teams!$G$80,Teams!$G$18,0)</f>
        <v>2000</v>
      </c>
      <c r="AJ118" s="22">
        <f>IF(AJ$4&gt;=Teams!$G$80,Teams!$G$18,0)</f>
        <v>2000</v>
      </c>
      <c r="AK118" s="22">
        <f>IF(AK$4&gt;=Teams!$G$80,Teams!$G$18,0)</f>
        <v>2000</v>
      </c>
      <c r="AL118" s="22">
        <f>IF(AL$4&gt;=Teams!$G$80,Teams!$G$18,0)</f>
        <v>2000</v>
      </c>
      <c r="AM118" s="22">
        <f>IF(AM$4&gt;=Teams!$G$80,Teams!$G$18,0)</f>
        <v>2000</v>
      </c>
      <c r="AN118" s="22">
        <f>IF(AN$4&gt;=Teams!$G$80,Teams!$G$18,0)</f>
        <v>2000</v>
      </c>
      <c r="AO118" s="22">
        <f>IF(AO$4&gt;=Teams!$G$80,Teams!$G$18,0)</f>
        <v>2000</v>
      </c>
      <c r="AP118" s="22">
        <f>IF(AP$4&gt;=Teams!$G$80,Teams!$G$18,0)</f>
        <v>2000</v>
      </c>
      <c r="AQ118" s="22">
        <f>IF(AQ$4&gt;=Teams!$G$80,Teams!$G$18,0)</f>
        <v>2000</v>
      </c>
      <c r="AR118" s="22">
        <f>IF(AR$4&gt;=Teams!$G$80,Teams!$G$18,0)</f>
        <v>2000</v>
      </c>
      <c r="AS118" s="22">
        <f>IF(AS$4&gt;=Teams!$G$80,Teams!$G$18,0)</f>
        <v>2000</v>
      </c>
      <c r="AT118" s="22">
        <f>IF(AT$4&gt;=Teams!$G$80,Teams!$G$18,0)</f>
        <v>2000</v>
      </c>
      <c r="AU118" s="22">
        <f>IF(AU$4&gt;=Teams!$G$80,Teams!$G$18,0)</f>
        <v>2000</v>
      </c>
      <c r="AV118" s="22">
        <f>IF(AV$4&gt;=Teams!$G$80,Teams!$G$18,0)</f>
        <v>2000</v>
      </c>
      <c r="AW118" s="22">
        <f>IF(AW$4&gt;=Teams!$G$80,Teams!$G$18,0)</f>
        <v>2000</v>
      </c>
      <c r="AX118" s="22">
        <f>IF(AX$4&gt;=Teams!$G$80,Teams!$G$18,0)</f>
        <v>2000</v>
      </c>
      <c r="AY118" s="22">
        <f>IF(AY$4&gt;=Teams!$G$80,Teams!$G$18,0)</f>
        <v>2000</v>
      </c>
      <c r="AZ118" s="22">
        <f>IF(AZ$4&gt;=Teams!$G$80,Teams!$G$18,0)</f>
        <v>2000</v>
      </c>
      <c r="BA118" s="22">
        <f>IF(BA$4&gt;=Teams!$G$80,Teams!$G$18,0)</f>
        <v>2000</v>
      </c>
      <c r="BB118" s="22">
        <f>IF(BB$4&gt;=Teams!$G$80,Teams!$G$18,0)</f>
        <v>2000</v>
      </c>
      <c r="BC118" s="22">
        <f>IF(BC$4&gt;=Teams!$G$80,Teams!$G$18,0)</f>
        <v>2000</v>
      </c>
      <c r="BD118" s="22">
        <f>IF(BD$4&gt;=Teams!$G$80,Teams!$G$18,0)</f>
        <v>2000</v>
      </c>
      <c r="BE118" s="22">
        <f>IF(BE$4&gt;=Teams!$G$80,Teams!$G$18,0)</f>
        <v>2000</v>
      </c>
      <c r="BF118" s="22">
        <f>IF(BF$4&gt;=Teams!$G$80,Teams!$G$18,0)</f>
        <v>2000</v>
      </c>
      <c r="BG118" s="22">
        <f>IF(BG$4&gt;=Teams!$G$80,Teams!$G$18,0)</f>
        <v>2000</v>
      </c>
      <c r="BH118" s="22">
        <f>IF(BH$4&gt;=Teams!$G$80,Teams!$G$18,0)</f>
        <v>2000</v>
      </c>
      <c r="BI118" s="22">
        <f>IF(BI$4&gt;=Teams!$G$80,Teams!$G$18,0)</f>
        <v>2000</v>
      </c>
      <c r="BJ118" s="22">
        <f>IF(BJ$4&gt;=Teams!$G$80,Teams!$G$18,0)</f>
        <v>2000</v>
      </c>
      <c r="BK118" s="22">
        <f>IF(BK$4&gt;=Teams!$G$80,Teams!$G$18,0)</f>
        <v>2000</v>
      </c>
      <c r="BL118" s="22">
        <f>IF(BL$4&gt;=Teams!$G$80,Teams!$G$18,0)</f>
        <v>2000</v>
      </c>
    </row>
    <row r="119" spans="1:64" x14ac:dyDescent="0.3">
      <c r="A119" s="8" t="s">
        <v>1011</v>
      </c>
      <c r="C119" s="22">
        <f>SUMPRODUCT(E119:BL119,E$5:BL$5)</f>
        <v>40200</v>
      </c>
      <c r="E119" s="22">
        <f>E118*Teams!$G$19*E117</f>
        <v>88.888888888888886</v>
      </c>
      <c r="F119" s="22">
        <f>F118*Teams!$G$19*F117</f>
        <v>311.11111111111109</v>
      </c>
      <c r="G119" s="22">
        <f>G118*Teams!$G$19*G117</f>
        <v>600</v>
      </c>
      <c r="H119" s="22">
        <f>H118*Teams!$G$19*H117</f>
        <v>888.8888888888888</v>
      </c>
      <c r="I119" s="22">
        <f>I118*Teams!$G$19*I117</f>
        <v>1111.1111111111113</v>
      </c>
      <c r="J119" s="22">
        <f>J118*Teams!$G$19*J117</f>
        <v>1200</v>
      </c>
      <c r="K119" s="22">
        <f>K118*Teams!$G$19*K117</f>
        <v>1200</v>
      </c>
      <c r="L119" s="22">
        <f>L118*Teams!$G$19*L117</f>
        <v>1200</v>
      </c>
      <c r="M119" s="22">
        <f>M118*Teams!$G$19*M117</f>
        <v>1200</v>
      </c>
      <c r="N119" s="22">
        <f>N118*Teams!$G$19*N117</f>
        <v>1200</v>
      </c>
      <c r="O119" s="22">
        <f>O118*Teams!$G$19*O117</f>
        <v>1200</v>
      </c>
      <c r="P119" s="22">
        <f>P118*Teams!$G$19*P117</f>
        <v>1200</v>
      </c>
      <c r="Q119" s="22">
        <f>Q118*Teams!$G$19*Q117</f>
        <v>1200</v>
      </c>
      <c r="R119" s="22">
        <f>R118*Teams!$G$19*R117</f>
        <v>1200</v>
      </c>
      <c r="S119" s="22">
        <f>S118*Teams!$G$19*S117</f>
        <v>1200</v>
      </c>
      <c r="T119" s="22">
        <f>T118*Teams!$G$19*T117</f>
        <v>1200</v>
      </c>
      <c r="U119" s="22">
        <f>U118*Teams!$G$19*U117</f>
        <v>1200</v>
      </c>
      <c r="V119" s="22">
        <f>V118*Teams!$G$19*V117</f>
        <v>1200</v>
      </c>
      <c r="W119" s="22">
        <f>W118*Teams!$G$19*W117</f>
        <v>1200</v>
      </c>
      <c r="X119" s="22">
        <f>X118*Teams!$G$19*X117</f>
        <v>1200</v>
      </c>
      <c r="Y119" s="22">
        <f>Y118*Teams!$G$19*Y117</f>
        <v>1200</v>
      </c>
      <c r="Z119" s="22">
        <f>Z118*Teams!$G$19*Z117</f>
        <v>1200</v>
      </c>
      <c r="AA119" s="22">
        <f>AA118*Teams!$G$19*AA117</f>
        <v>1200</v>
      </c>
      <c r="AB119" s="22">
        <f>AB118*Teams!$G$19*AB117</f>
        <v>1200</v>
      </c>
      <c r="AC119" s="22">
        <f>AC118*Teams!$G$19*AC117</f>
        <v>1200</v>
      </c>
      <c r="AD119" s="22">
        <f>AD118*Teams!$G$19*AD117</f>
        <v>1200</v>
      </c>
      <c r="AE119" s="22">
        <f>AE118*Teams!$G$19*AE117</f>
        <v>1200</v>
      </c>
      <c r="AF119" s="22">
        <f>AF118*Teams!$G$19*AF117</f>
        <v>1200</v>
      </c>
      <c r="AG119" s="22">
        <f>AG118*Teams!$G$19*AG117</f>
        <v>1200</v>
      </c>
      <c r="AH119" s="22">
        <f>AH118*Teams!$G$19*AH117</f>
        <v>1200</v>
      </c>
      <c r="AI119" s="22">
        <f>AI118*Teams!$G$19*AI117</f>
        <v>1200</v>
      </c>
      <c r="AJ119" s="22">
        <f>AJ118*Teams!$G$19*AJ117</f>
        <v>1200</v>
      </c>
      <c r="AK119" s="22">
        <f>AK118*Teams!$G$19*AK117</f>
        <v>1200</v>
      </c>
      <c r="AL119" s="22">
        <f>AL118*Teams!$G$19*AL117</f>
        <v>1200</v>
      </c>
      <c r="AM119" s="22">
        <f>AM118*Teams!$G$19*AM117</f>
        <v>1200</v>
      </c>
      <c r="AN119" s="22">
        <f>AN118*Teams!$G$19*AN117</f>
        <v>1200</v>
      </c>
      <c r="AO119" s="22">
        <f>AO118*Teams!$G$19*AO117</f>
        <v>1200</v>
      </c>
      <c r="AP119" s="22">
        <f>AP118*Teams!$G$19*AP117</f>
        <v>1200</v>
      </c>
      <c r="AQ119" s="22">
        <f>AQ118*Teams!$G$19*AQ117</f>
        <v>1200</v>
      </c>
      <c r="AR119" s="22">
        <f>AR118*Teams!$G$19*AR117</f>
        <v>1200</v>
      </c>
      <c r="AS119" s="22">
        <f>AS118*Teams!$G$19*AS117</f>
        <v>1200</v>
      </c>
      <c r="AT119" s="22">
        <f>AT118*Teams!$G$19*AT117</f>
        <v>1200</v>
      </c>
      <c r="AU119" s="22">
        <f>AU118*Teams!$G$19*AU117</f>
        <v>1200</v>
      </c>
      <c r="AV119" s="22">
        <f>AV118*Teams!$G$19*AV117</f>
        <v>1200</v>
      </c>
      <c r="AW119" s="22">
        <f>AW118*Teams!$G$19*AW117</f>
        <v>1200</v>
      </c>
      <c r="AX119" s="22">
        <f>AX118*Teams!$G$19*AX117</f>
        <v>1200</v>
      </c>
      <c r="AY119" s="22">
        <f>AY118*Teams!$G$19*AY117</f>
        <v>1200</v>
      </c>
      <c r="AZ119" s="22">
        <f>AZ118*Teams!$G$19*AZ117</f>
        <v>1200</v>
      </c>
      <c r="BA119" s="22">
        <f>BA118*Teams!$G$19*BA117</f>
        <v>1200</v>
      </c>
      <c r="BB119" s="22">
        <f>BB118*Teams!$G$19*BB117</f>
        <v>1200</v>
      </c>
      <c r="BC119" s="22">
        <f>BC118*Teams!$G$19*BC117</f>
        <v>1200</v>
      </c>
      <c r="BD119" s="22">
        <f>BD118*Teams!$G$19*BD117</f>
        <v>1200</v>
      </c>
      <c r="BE119" s="22">
        <f>BE118*Teams!$G$19*BE117</f>
        <v>1200</v>
      </c>
      <c r="BF119" s="22">
        <f>BF118*Teams!$G$19*BF117</f>
        <v>1200</v>
      </c>
      <c r="BG119" s="22">
        <f>BG118*Teams!$G$19*BG117</f>
        <v>1200</v>
      </c>
      <c r="BH119" s="22">
        <f>BH118*Teams!$G$19*BH117</f>
        <v>1200</v>
      </c>
      <c r="BI119" s="22">
        <f>BI118*Teams!$G$19*BI117</f>
        <v>1200</v>
      </c>
      <c r="BJ119" s="22">
        <f>BJ118*Teams!$G$19*BJ117</f>
        <v>1200</v>
      </c>
      <c r="BK119" s="22">
        <f>BK118*Teams!$G$19*BK117</f>
        <v>1200</v>
      </c>
      <c r="BL119" s="22">
        <f>BL118*Teams!$G$19*BL117</f>
        <v>1200</v>
      </c>
    </row>
    <row r="120" spans="1:64" x14ac:dyDescent="0.3">
      <c r="A120" s="8" t="s">
        <v>28</v>
      </c>
      <c r="C120" s="22">
        <f>SUMPRODUCT(E120:BL120,E$5:BL$5)</f>
        <v>2412000</v>
      </c>
      <c r="E120" s="22">
        <f>IF(Teams!$G$23="per user",E119*Teams!$G$24,Teams!$G$25*E117)</f>
        <v>5333.333333333333</v>
      </c>
      <c r="F120" s="22">
        <f>IF(Teams!$G$23="per user",F119*Teams!$G$24,Teams!$G$25*F117)</f>
        <v>18666.666666666664</v>
      </c>
      <c r="G120" s="22">
        <f>IF(Teams!$G$23="per user",G119*Teams!$G$24,Teams!$G$25*G117)</f>
        <v>36000</v>
      </c>
      <c r="H120" s="22">
        <f>IF(Teams!$G$23="per user",H119*Teams!$G$24,Teams!$G$25*H117)</f>
        <v>53333.333333333328</v>
      </c>
      <c r="I120" s="22">
        <f>IF(Teams!$G$23="per user",I119*Teams!$G$24,Teams!$G$25*I117)</f>
        <v>66666.666666666686</v>
      </c>
      <c r="J120" s="22">
        <f>IF(Teams!$G$23="per user",J119*Teams!$G$24,Teams!$G$25*J117)</f>
        <v>72000</v>
      </c>
      <c r="K120" s="22">
        <f>IF(Teams!$G$23="per user",K119*Teams!$G$24,Teams!$G$25*K117)</f>
        <v>72000</v>
      </c>
      <c r="L120" s="22">
        <f>IF(Teams!$G$23="per user",L119*Teams!$G$24,Teams!$G$25*L117)</f>
        <v>72000</v>
      </c>
      <c r="M120" s="22">
        <f>IF(Teams!$G$23="per user",M119*Teams!$G$24,Teams!$G$25*M117)</f>
        <v>72000</v>
      </c>
      <c r="N120" s="22">
        <f>IF(Teams!$G$23="per user",N119*Teams!$G$24,Teams!$G$25*N117)</f>
        <v>72000</v>
      </c>
      <c r="O120" s="22">
        <f>IF(Teams!$G$23="per user",O119*Teams!$G$24,Teams!$G$25*O117)</f>
        <v>72000</v>
      </c>
      <c r="P120" s="22">
        <f>IF(Teams!$G$23="per user",P119*Teams!$G$24,Teams!$G$25*P117)</f>
        <v>72000</v>
      </c>
      <c r="Q120" s="22">
        <f>IF(Teams!$G$23="per user",Q119*Teams!$G$24,Teams!$G$25*Q117)</f>
        <v>72000</v>
      </c>
      <c r="R120" s="22">
        <f>IF(Teams!$G$23="per user",R119*Teams!$G$24,Teams!$G$25*R117)</f>
        <v>72000</v>
      </c>
      <c r="S120" s="22">
        <f>IF(Teams!$G$23="per user",S119*Teams!$G$24,Teams!$G$25*S117)</f>
        <v>72000</v>
      </c>
      <c r="T120" s="22">
        <f>IF(Teams!$G$23="per user",T119*Teams!$G$24,Teams!$G$25*T117)</f>
        <v>72000</v>
      </c>
      <c r="U120" s="22">
        <f>IF(Teams!$G$23="per user",U119*Teams!$G$24,Teams!$G$25*U117)</f>
        <v>72000</v>
      </c>
      <c r="V120" s="22">
        <f>IF(Teams!$G$23="per user",V119*Teams!$G$24,Teams!$G$25*V117)</f>
        <v>72000</v>
      </c>
      <c r="W120" s="22">
        <f>IF(Teams!$G$23="per user",W119*Teams!$G$24,Teams!$G$25*W117)</f>
        <v>72000</v>
      </c>
      <c r="X120" s="22">
        <f>IF(Teams!$G$23="per user",X119*Teams!$G$24,Teams!$G$25*X117)</f>
        <v>72000</v>
      </c>
      <c r="Y120" s="22">
        <f>IF(Teams!$G$23="per user",Y119*Teams!$G$24,Teams!$G$25*Y117)</f>
        <v>72000</v>
      </c>
      <c r="Z120" s="22">
        <f>IF(Teams!$G$23="per user",Z119*Teams!$G$24,Teams!$G$25*Z117)</f>
        <v>72000</v>
      </c>
      <c r="AA120" s="22">
        <f>IF(Teams!$G$23="per user",AA119*Teams!$G$24,Teams!$G$25*AA117)</f>
        <v>72000</v>
      </c>
      <c r="AB120" s="22">
        <f>IF(Teams!$G$23="per user",AB119*Teams!$G$24,Teams!$G$25*AB117)</f>
        <v>72000</v>
      </c>
      <c r="AC120" s="22">
        <f>IF(Teams!$G$23="per user",AC119*Teams!$G$24,Teams!$G$25*AC117)</f>
        <v>72000</v>
      </c>
      <c r="AD120" s="22">
        <f>IF(Teams!$G$23="per user",AD119*Teams!$G$24,Teams!$G$25*AD117)</f>
        <v>72000</v>
      </c>
      <c r="AE120" s="22">
        <f>IF(Teams!$G$23="per user",AE119*Teams!$G$24,Teams!$G$25*AE117)</f>
        <v>72000</v>
      </c>
      <c r="AF120" s="22">
        <f>IF(Teams!$G$23="per user",AF119*Teams!$G$24,Teams!$G$25*AF117)</f>
        <v>72000</v>
      </c>
      <c r="AG120" s="22">
        <f>IF(Teams!$G$23="per user",AG119*Teams!$G$24,Teams!$G$25*AG117)</f>
        <v>72000</v>
      </c>
      <c r="AH120" s="22">
        <f>IF(Teams!$G$23="per user",AH119*Teams!$G$24,Teams!$G$25*AH117)</f>
        <v>72000</v>
      </c>
      <c r="AI120" s="22">
        <f>IF(Teams!$G$23="per user",AI119*Teams!$G$24,Teams!$G$25*AI117)</f>
        <v>72000</v>
      </c>
      <c r="AJ120" s="22">
        <f>IF(Teams!$G$23="per user",AJ119*Teams!$G$24,Teams!$G$25*AJ117)</f>
        <v>72000</v>
      </c>
      <c r="AK120" s="22">
        <f>IF(Teams!$G$23="per user",AK119*Teams!$G$24,Teams!$G$25*AK117)</f>
        <v>72000</v>
      </c>
      <c r="AL120" s="22">
        <f>IF(Teams!$G$23="per user",AL119*Teams!$G$24,Teams!$G$25*AL117)</f>
        <v>72000</v>
      </c>
      <c r="AM120" s="22">
        <f>IF(Teams!$G$23="per user",AM119*Teams!$G$24,Teams!$G$25*AM117)</f>
        <v>72000</v>
      </c>
      <c r="AN120" s="22">
        <f>IF(Teams!$G$23="per user",AN119*Teams!$G$24,Teams!$G$25*AN117)</f>
        <v>72000</v>
      </c>
      <c r="AO120" s="22">
        <f>IF(Teams!$G$23="per user",AO119*Teams!$G$24,Teams!$G$25*AO117)</f>
        <v>72000</v>
      </c>
      <c r="AP120" s="22">
        <f>IF(Teams!$G$23="per user",AP119*Teams!$G$24,Teams!$G$25*AP117)</f>
        <v>72000</v>
      </c>
      <c r="AQ120" s="22">
        <f>IF(Teams!$G$23="per user",AQ119*Teams!$G$24,Teams!$G$25*AQ117)</f>
        <v>72000</v>
      </c>
      <c r="AR120" s="22">
        <f>IF(Teams!$G$23="per user",AR119*Teams!$G$24,Teams!$G$25*AR117)</f>
        <v>72000</v>
      </c>
      <c r="AS120" s="22">
        <f>IF(Teams!$G$23="per user",AS119*Teams!$G$24,Teams!$G$25*AS117)</f>
        <v>72000</v>
      </c>
      <c r="AT120" s="22">
        <f>IF(Teams!$G$23="per user",AT119*Teams!$G$24,Teams!$G$25*AT117)</f>
        <v>72000</v>
      </c>
      <c r="AU120" s="22">
        <f>IF(Teams!$G$23="per user",AU119*Teams!$G$24,Teams!$G$25*AU117)</f>
        <v>72000</v>
      </c>
      <c r="AV120" s="22">
        <f>IF(Teams!$G$23="per user",AV119*Teams!$G$24,Teams!$G$25*AV117)</f>
        <v>72000</v>
      </c>
      <c r="AW120" s="22">
        <f>IF(Teams!$G$23="per user",AW119*Teams!$G$24,Teams!$G$25*AW117)</f>
        <v>72000</v>
      </c>
      <c r="AX120" s="22">
        <f>IF(Teams!$G$23="per user",AX119*Teams!$G$24,Teams!$G$25*AX117)</f>
        <v>72000</v>
      </c>
      <c r="AY120" s="22">
        <f>IF(Teams!$G$23="per user",AY119*Teams!$G$24,Teams!$G$25*AY117)</f>
        <v>72000</v>
      </c>
      <c r="AZ120" s="22">
        <f>IF(Teams!$G$23="per user",AZ119*Teams!$G$24,Teams!$G$25*AZ117)</f>
        <v>72000</v>
      </c>
      <c r="BA120" s="22">
        <f>IF(Teams!$G$23="per user",BA119*Teams!$G$24,Teams!$G$25*BA117)</f>
        <v>72000</v>
      </c>
      <c r="BB120" s="22">
        <f>IF(Teams!$G$23="per user",BB119*Teams!$G$24,Teams!$G$25*BB117)</f>
        <v>72000</v>
      </c>
      <c r="BC120" s="22">
        <f>IF(Teams!$G$23="per user",BC119*Teams!$G$24,Teams!$G$25*BC117)</f>
        <v>72000</v>
      </c>
      <c r="BD120" s="22">
        <f>IF(Teams!$G$23="per user",BD119*Teams!$G$24,Teams!$G$25*BD117)</f>
        <v>72000</v>
      </c>
      <c r="BE120" s="22">
        <f>IF(Teams!$G$23="per user",BE119*Teams!$G$24,Teams!$G$25*BE117)</f>
        <v>72000</v>
      </c>
      <c r="BF120" s="22">
        <f>IF(Teams!$G$23="per user",BF119*Teams!$G$24,Teams!$G$25*BF117)</f>
        <v>72000</v>
      </c>
      <c r="BG120" s="22">
        <f>IF(Teams!$G$23="per user",BG119*Teams!$G$24,Teams!$G$25*BG117)</f>
        <v>72000</v>
      </c>
      <c r="BH120" s="22">
        <f>IF(Teams!$G$23="per user",BH119*Teams!$G$24,Teams!$G$25*BH117)</f>
        <v>72000</v>
      </c>
      <c r="BI120" s="22">
        <f>IF(Teams!$G$23="per user",BI119*Teams!$G$24,Teams!$G$25*BI117)</f>
        <v>72000</v>
      </c>
      <c r="BJ120" s="22">
        <f>IF(Teams!$G$23="per user",BJ119*Teams!$G$24,Teams!$G$25*BJ117)</f>
        <v>72000</v>
      </c>
      <c r="BK120" s="22">
        <f>IF(Teams!$G$23="per user",BK119*Teams!$G$24,Teams!$G$25*BK117)</f>
        <v>72000</v>
      </c>
      <c r="BL120" s="22">
        <f>IF(Teams!$G$23="per user",BL119*Teams!$G$24,Teams!$G$25*BL117)</f>
        <v>72000</v>
      </c>
    </row>
    <row r="121" spans="1:64" x14ac:dyDescent="0.3">
      <c r="A121" s="8" t="s">
        <v>665</v>
      </c>
      <c r="B121" s="18" t="s">
        <v>435</v>
      </c>
      <c r="C121" s="44">
        <f t="shared" ref="C121:C139" si="38">SUM(D121:BL121)</f>
        <v>2016000</v>
      </c>
      <c r="E121" s="44">
        <f>E$5*Teams!$G$60*E118*Teams!$G$66</f>
        <v>56000</v>
      </c>
      <c r="F121" s="44">
        <f>F$5*Teams!$G$60*F118*Teams!$G$66</f>
        <v>56000</v>
      </c>
      <c r="G121" s="44">
        <f>G$5*Teams!$G$60*G118*Teams!$G$66</f>
        <v>56000</v>
      </c>
      <c r="H121" s="44">
        <f>H$5*Teams!$G$60*H118*Teams!$G$66</f>
        <v>56000</v>
      </c>
      <c r="I121" s="44">
        <f>I$5*Teams!$G$60*I118*Teams!$G$66</f>
        <v>56000</v>
      </c>
      <c r="J121" s="44">
        <f>J$5*Teams!$G$60*J118*Teams!$G$66</f>
        <v>56000</v>
      </c>
      <c r="K121" s="44">
        <f>K$5*Teams!$G$60*K118*Teams!$G$66</f>
        <v>56000</v>
      </c>
      <c r="L121" s="44">
        <f>L$5*Teams!$G$60*L118*Teams!$G$66</f>
        <v>56000</v>
      </c>
      <c r="M121" s="44">
        <f>M$5*Teams!$G$60*M118*Teams!$G$66</f>
        <v>56000</v>
      </c>
      <c r="N121" s="44">
        <f>N$5*Teams!$G$60*N118*Teams!$G$66</f>
        <v>56000</v>
      </c>
      <c r="O121" s="44">
        <f>O$5*Teams!$G$60*O118*Teams!$G$66</f>
        <v>56000</v>
      </c>
      <c r="P121" s="44">
        <f>P$5*Teams!$G$60*P118*Teams!$G$66</f>
        <v>56000</v>
      </c>
      <c r="Q121" s="44">
        <f>Q$5*Teams!$G$60*Q118*Teams!$G$66</f>
        <v>56000</v>
      </c>
      <c r="R121" s="44">
        <f>R$5*Teams!$G$60*R118*Teams!$G$66</f>
        <v>56000</v>
      </c>
      <c r="S121" s="44">
        <f>S$5*Teams!$G$60*S118*Teams!$G$66</f>
        <v>56000</v>
      </c>
      <c r="T121" s="44">
        <f>T$5*Teams!$G$60*T118*Teams!$G$66</f>
        <v>56000</v>
      </c>
      <c r="U121" s="44">
        <f>U$5*Teams!$G$60*U118*Teams!$G$66</f>
        <v>56000</v>
      </c>
      <c r="V121" s="44">
        <f>V$5*Teams!$G$60*V118*Teams!$G$66</f>
        <v>56000</v>
      </c>
      <c r="W121" s="44">
        <f>W$5*Teams!$G$60*W118*Teams!$G$66</f>
        <v>56000</v>
      </c>
      <c r="X121" s="44">
        <f>X$5*Teams!$G$60*X118*Teams!$G$66</f>
        <v>56000</v>
      </c>
      <c r="Y121" s="44">
        <f>Y$5*Teams!$G$60*Y118*Teams!$G$66</f>
        <v>56000</v>
      </c>
      <c r="Z121" s="44">
        <f>Z$5*Teams!$G$60*Z118*Teams!$G$66</f>
        <v>56000</v>
      </c>
      <c r="AA121" s="44">
        <f>AA$5*Teams!$G$60*AA118*Teams!$G$66</f>
        <v>56000</v>
      </c>
      <c r="AB121" s="44">
        <f>AB$5*Teams!$G$60*AB118*Teams!$G$66</f>
        <v>56000</v>
      </c>
      <c r="AC121" s="44">
        <f>AC$5*Teams!$G$60*AC118*Teams!$G$66</f>
        <v>56000</v>
      </c>
      <c r="AD121" s="44">
        <f>AD$5*Teams!$G$60*AD118*Teams!$G$66</f>
        <v>56000</v>
      </c>
      <c r="AE121" s="44">
        <f>AE$5*Teams!$G$60*AE118*Teams!$G$66</f>
        <v>56000</v>
      </c>
      <c r="AF121" s="44">
        <f>AF$5*Teams!$G$60*AF118*Teams!$G$66</f>
        <v>56000</v>
      </c>
      <c r="AG121" s="44">
        <f>AG$5*Teams!$G$60*AG118*Teams!$G$66</f>
        <v>56000</v>
      </c>
      <c r="AH121" s="44">
        <f>AH$5*Teams!$G$60*AH118*Teams!$G$66</f>
        <v>56000</v>
      </c>
      <c r="AI121" s="44">
        <f>AI$5*Teams!$G$60*AI118*Teams!$G$66</f>
        <v>56000</v>
      </c>
      <c r="AJ121" s="44">
        <f>AJ$5*Teams!$G$60*AJ118*Teams!$G$66</f>
        <v>56000</v>
      </c>
      <c r="AK121" s="44">
        <f>AK$5*Teams!$G$60*AK118*Teams!$G$66</f>
        <v>56000</v>
      </c>
      <c r="AL121" s="44">
        <f>AL$5*Teams!$G$60*AL118*Teams!$G$66</f>
        <v>56000</v>
      </c>
      <c r="AM121" s="44">
        <f>AM$5*Teams!$G$60*AM118*Teams!$G$66</f>
        <v>56000</v>
      </c>
      <c r="AN121" s="44">
        <f>AN$5*Teams!$G$60*AN118*Teams!$G$66</f>
        <v>56000</v>
      </c>
      <c r="AO121" s="44">
        <f>AO$5*Teams!$G$60*AO118*Teams!$G$66</f>
        <v>0</v>
      </c>
      <c r="AP121" s="44">
        <f>AP$5*Teams!$G$60*AP118*Teams!$G$66</f>
        <v>0</v>
      </c>
      <c r="AQ121" s="44">
        <f>AQ$5*Teams!$G$60*AQ118*Teams!$G$66</f>
        <v>0</v>
      </c>
      <c r="AR121" s="44">
        <f>AR$5*Teams!$G$60*AR118*Teams!$G$66</f>
        <v>0</v>
      </c>
      <c r="AS121" s="44">
        <f>AS$5*Teams!$G$60*AS118*Teams!$G$66</f>
        <v>0</v>
      </c>
      <c r="AT121" s="44">
        <f>AT$5*Teams!$G$60*AT118*Teams!$G$66</f>
        <v>0</v>
      </c>
      <c r="AU121" s="44">
        <f>AU$5*Teams!$G$60*AU118*Teams!$G$66</f>
        <v>0</v>
      </c>
      <c r="AV121" s="44">
        <f>AV$5*Teams!$G$60*AV118*Teams!$G$66</f>
        <v>0</v>
      </c>
      <c r="AW121" s="44">
        <f>AW$5*Teams!$G$60*AW118*Teams!$G$66</f>
        <v>0</v>
      </c>
      <c r="AX121" s="44">
        <f>AX$5*Teams!$G$60*AX118*Teams!$G$66</f>
        <v>0</v>
      </c>
      <c r="AY121" s="44">
        <f>AY$5*Teams!$G$60*AY118*Teams!$G$66</f>
        <v>0</v>
      </c>
      <c r="AZ121" s="44">
        <f>AZ$5*Teams!$G$60*AZ118*Teams!$G$66</f>
        <v>0</v>
      </c>
      <c r="BA121" s="44">
        <f>BA$5*Teams!$G$60*BA118*Teams!$G$66</f>
        <v>0</v>
      </c>
      <c r="BB121" s="44">
        <f>BB$5*Teams!$G$60*BB118*Teams!$G$66</f>
        <v>0</v>
      </c>
      <c r="BC121" s="44">
        <f>BC$5*Teams!$G$60*BC118*Teams!$G$66</f>
        <v>0</v>
      </c>
      <c r="BD121" s="44">
        <f>BD$5*Teams!$G$60*BD118*Teams!$G$66</f>
        <v>0</v>
      </c>
      <c r="BE121" s="44">
        <f>BE$5*Teams!$G$60*BE118*Teams!$G$66</f>
        <v>0</v>
      </c>
      <c r="BF121" s="44">
        <f>BF$5*Teams!$G$60*BF118*Teams!$G$66</f>
        <v>0</v>
      </c>
      <c r="BG121" s="44">
        <f>BG$5*Teams!$G$60*BG118*Teams!$G$66</f>
        <v>0</v>
      </c>
      <c r="BH121" s="44">
        <f>BH$5*Teams!$G$60*BH118*Teams!$G$66</f>
        <v>0</v>
      </c>
      <c r="BI121" s="44">
        <f>BI$5*Teams!$G$60*BI118*Teams!$G$66</f>
        <v>0</v>
      </c>
      <c r="BJ121" s="44">
        <f>BJ$5*Teams!$G$60*BJ118*Teams!$G$66</f>
        <v>0</v>
      </c>
      <c r="BK121" s="44">
        <f>BK$5*Teams!$G$60*BK118*Teams!$G$66</f>
        <v>0</v>
      </c>
      <c r="BL121" s="44">
        <f>BL$5*Teams!$G$60*BL118*Teams!$G$66</f>
        <v>0</v>
      </c>
    </row>
    <row r="122" spans="1:64" x14ac:dyDescent="0.3">
      <c r="A122" s="8" t="s">
        <v>666</v>
      </c>
      <c r="B122" s="18" t="s">
        <v>435</v>
      </c>
      <c r="C122" s="44">
        <f t="shared" si="38"/>
        <v>0</v>
      </c>
      <c r="E122" s="44">
        <f>E$5*IF(Teams!$G$61=1,E119*((1-Teams!$G$13)*MAX(0,Teams!$G$72*$C$116-Teams!$G$12)+Teams!$G$13*MAX(0,Teams!$G$73*$C$116-Teams!$G$12)),IF(Teams!$G$62=1,E120*$C$116,0))</f>
        <v>0</v>
      </c>
      <c r="F122" s="44">
        <f>F$5*IF(Teams!$G$61=1,F119*((1-Teams!$G$13)*MAX(0,Teams!$G$72*$C$116-Teams!$G$12)+Teams!$G$13*MAX(0,Teams!$G$73*$C$116-Teams!$G$12)),IF(Teams!$G$62=1,F120*$C$116,0))</f>
        <v>0</v>
      </c>
      <c r="G122" s="44">
        <f>G$5*IF(Teams!$G$61=1,G119*((1-Teams!$G$13)*MAX(0,Teams!$G$72*$C$116-Teams!$G$12)+Teams!$G$13*MAX(0,Teams!$G$73*$C$116-Teams!$G$12)),IF(Teams!$G$62=1,G120*$C$116,0))</f>
        <v>0</v>
      </c>
      <c r="H122" s="44">
        <f>H$5*IF(Teams!$G$61=1,H119*((1-Teams!$G$13)*MAX(0,Teams!$G$72*$C$116-Teams!$G$12)+Teams!$G$13*MAX(0,Teams!$G$73*$C$116-Teams!$G$12)),IF(Teams!$G$62=1,H120*$C$116,0))</f>
        <v>0</v>
      </c>
      <c r="I122" s="44">
        <f>I$5*IF(Teams!$G$61=1,I119*((1-Teams!$G$13)*MAX(0,Teams!$G$72*$C$116-Teams!$G$12)+Teams!$G$13*MAX(0,Teams!$G$73*$C$116-Teams!$G$12)),IF(Teams!$G$62=1,I120*$C$116,0))</f>
        <v>0</v>
      </c>
      <c r="J122" s="44">
        <f>J$5*IF(Teams!$G$61=1,J119*((1-Teams!$G$13)*MAX(0,Teams!$G$72*$C$116-Teams!$G$12)+Teams!$G$13*MAX(0,Teams!$G$73*$C$116-Teams!$G$12)),IF(Teams!$G$62=1,J120*$C$116,0))</f>
        <v>0</v>
      </c>
      <c r="K122" s="44">
        <f>K$5*IF(Teams!$G$61=1,K119*((1-Teams!$G$13)*MAX(0,Teams!$G$72*$C$116-Teams!$G$12)+Teams!$G$13*MAX(0,Teams!$G$73*$C$116-Teams!$G$12)),IF(Teams!$G$62=1,K120*$C$116,0))</f>
        <v>0</v>
      </c>
      <c r="L122" s="44">
        <f>L$5*IF(Teams!$G$61=1,L119*((1-Teams!$G$13)*MAX(0,Teams!$G$72*$C$116-Teams!$G$12)+Teams!$G$13*MAX(0,Teams!$G$73*$C$116-Teams!$G$12)),IF(Teams!$G$62=1,L120*$C$116,0))</f>
        <v>0</v>
      </c>
      <c r="M122" s="44">
        <f>M$5*IF(Teams!$G$61=1,M119*((1-Teams!$G$13)*MAX(0,Teams!$G$72*$C$116-Teams!$G$12)+Teams!$G$13*MAX(0,Teams!$G$73*$C$116-Teams!$G$12)),IF(Teams!$G$62=1,M120*$C$116,0))</f>
        <v>0</v>
      </c>
      <c r="N122" s="44">
        <f>N$5*IF(Teams!$G$61=1,N119*((1-Teams!$G$13)*MAX(0,Teams!$G$72*$C$116-Teams!$G$12)+Teams!$G$13*MAX(0,Teams!$G$73*$C$116-Teams!$G$12)),IF(Teams!$G$62=1,N120*$C$116,0))</f>
        <v>0</v>
      </c>
      <c r="O122" s="44">
        <f>O$5*IF(Teams!$G$61=1,O119*((1-Teams!$G$13)*MAX(0,Teams!$G$72*$C$116-Teams!$G$12)+Teams!$G$13*MAX(0,Teams!$G$73*$C$116-Teams!$G$12)),IF(Teams!$G$62=1,O120*$C$116,0))</f>
        <v>0</v>
      </c>
      <c r="P122" s="44">
        <f>P$5*IF(Teams!$G$61=1,P119*((1-Teams!$G$13)*MAX(0,Teams!$G$72*$C$116-Teams!$G$12)+Teams!$G$13*MAX(0,Teams!$G$73*$C$116-Teams!$G$12)),IF(Teams!$G$62=1,P120*$C$116,0))</f>
        <v>0</v>
      </c>
      <c r="Q122" s="44">
        <f>Q$5*IF(Teams!$G$61=1,Q119*((1-Teams!$G$13)*MAX(0,Teams!$G$72*$C$116-Teams!$G$12)+Teams!$G$13*MAX(0,Teams!$G$73*$C$116-Teams!$G$12)),IF(Teams!$G$62=1,Q120*$C$116,0))</f>
        <v>0</v>
      </c>
      <c r="R122" s="44">
        <f>R$5*IF(Teams!$G$61=1,R119*((1-Teams!$G$13)*MAX(0,Teams!$G$72*$C$116-Teams!$G$12)+Teams!$G$13*MAX(0,Teams!$G$73*$C$116-Teams!$G$12)),IF(Teams!$G$62=1,R120*$C$116,0))</f>
        <v>0</v>
      </c>
      <c r="S122" s="44">
        <f>S$5*IF(Teams!$G$61=1,S119*((1-Teams!$G$13)*MAX(0,Teams!$G$72*$C$116-Teams!$G$12)+Teams!$G$13*MAX(0,Teams!$G$73*$C$116-Teams!$G$12)),IF(Teams!$G$62=1,S120*$C$116,0))</f>
        <v>0</v>
      </c>
      <c r="T122" s="44">
        <f>T$5*IF(Teams!$G$61=1,T119*((1-Teams!$G$13)*MAX(0,Teams!$G$72*$C$116-Teams!$G$12)+Teams!$G$13*MAX(0,Teams!$G$73*$C$116-Teams!$G$12)),IF(Teams!$G$62=1,T120*$C$116,0))</f>
        <v>0</v>
      </c>
      <c r="U122" s="44">
        <f>U$5*IF(Teams!$G$61=1,U119*((1-Teams!$G$13)*MAX(0,Teams!$G$72*$C$116-Teams!$G$12)+Teams!$G$13*MAX(0,Teams!$G$73*$C$116-Teams!$G$12)),IF(Teams!$G$62=1,U120*$C$116,0))</f>
        <v>0</v>
      </c>
      <c r="V122" s="44">
        <f>V$5*IF(Teams!$G$61=1,V119*((1-Teams!$G$13)*MAX(0,Teams!$G$72*$C$116-Teams!$G$12)+Teams!$G$13*MAX(0,Teams!$G$73*$C$116-Teams!$G$12)),IF(Teams!$G$62=1,V120*$C$116,0))</f>
        <v>0</v>
      </c>
      <c r="W122" s="44">
        <f>W$5*IF(Teams!$G$61=1,W119*((1-Teams!$G$13)*MAX(0,Teams!$G$72*$C$116-Teams!$G$12)+Teams!$G$13*MAX(0,Teams!$G$73*$C$116-Teams!$G$12)),IF(Teams!$G$62=1,W120*$C$116,0))</f>
        <v>0</v>
      </c>
      <c r="X122" s="44">
        <f>X$5*IF(Teams!$G$61=1,X119*((1-Teams!$G$13)*MAX(0,Teams!$G$72*$C$116-Teams!$G$12)+Teams!$G$13*MAX(0,Teams!$G$73*$C$116-Teams!$G$12)),IF(Teams!$G$62=1,X120*$C$116,0))</f>
        <v>0</v>
      </c>
      <c r="Y122" s="44">
        <f>Y$5*IF(Teams!$G$61=1,Y119*((1-Teams!$G$13)*MAX(0,Teams!$G$72*$C$116-Teams!$G$12)+Teams!$G$13*MAX(0,Teams!$G$73*$C$116-Teams!$G$12)),IF(Teams!$G$62=1,Y120*$C$116,0))</f>
        <v>0</v>
      </c>
      <c r="Z122" s="44">
        <f>Z$5*IF(Teams!$G$61=1,Z119*((1-Teams!$G$13)*MAX(0,Teams!$G$72*$C$116-Teams!$G$12)+Teams!$G$13*MAX(0,Teams!$G$73*$C$116-Teams!$G$12)),IF(Teams!$G$62=1,Z120*$C$116,0))</f>
        <v>0</v>
      </c>
      <c r="AA122" s="44">
        <f>AA$5*IF(Teams!$G$61=1,AA119*((1-Teams!$G$13)*MAX(0,Teams!$G$72*$C$116-Teams!$G$12)+Teams!$G$13*MAX(0,Teams!$G$73*$C$116-Teams!$G$12)),IF(Teams!$G$62=1,AA120*$C$116,0))</f>
        <v>0</v>
      </c>
      <c r="AB122" s="44">
        <f>AB$5*IF(Teams!$G$61=1,AB119*((1-Teams!$G$13)*MAX(0,Teams!$G$72*$C$116-Teams!$G$12)+Teams!$G$13*MAX(0,Teams!$G$73*$C$116-Teams!$G$12)),IF(Teams!$G$62=1,AB120*$C$116,0))</f>
        <v>0</v>
      </c>
      <c r="AC122" s="44">
        <f>AC$5*IF(Teams!$G$61=1,AC119*((1-Teams!$G$13)*MAX(0,Teams!$G$72*$C$116-Teams!$G$12)+Teams!$G$13*MAX(0,Teams!$G$73*$C$116-Teams!$G$12)),IF(Teams!$G$62=1,AC120*$C$116,0))</f>
        <v>0</v>
      </c>
      <c r="AD122" s="44">
        <f>AD$5*IF(Teams!$G$61=1,AD119*((1-Teams!$G$13)*MAX(0,Teams!$G$72*$C$116-Teams!$G$12)+Teams!$G$13*MAX(0,Teams!$G$73*$C$116-Teams!$G$12)),IF(Teams!$G$62=1,AD120*$C$116,0))</f>
        <v>0</v>
      </c>
      <c r="AE122" s="44">
        <f>AE$5*IF(Teams!$G$61=1,AE119*((1-Teams!$G$13)*MAX(0,Teams!$G$72*$C$116-Teams!$G$12)+Teams!$G$13*MAX(0,Teams!$G$73*$C$116-Teams!$G$12)),IF(Teams!$G$62=1,AE120*$C$116,0))</f>
        <v>0</v>
      </c>
      <c r="AF122" s="44">
        <f>AF$5*IF(Teams!$G$61=1,AF119*((1-Teams!$G$13)*MAX(0,Teams!$G$72*$C$116-Teams!$G$12)+Teams!$G$13*MAX(0,Teams!$G$73*$C$116-Teams!$G$12)),IF(Teams!$G$62=1,AF120*$C$116,0))</f>
        <v>0</v>
      </c>
      <c r="AG122" s="44">
        <f>AG$5*IF(Teams!$G$61=1,AG119*((1-Teams!$G$13)*MAX(0,Teams!$G$72*$C$116-Teams!$G$12)+Teams!$G$13*MAX(0,Teams!$G$73*$C$116-Teams!$G$12)),IF(Teams!$G$62=1,AG120*$C$116,0))</f>
        <v>0</v>
      </c>
      <c r="AH122" s="44">
        <f>AH$5*IF(Teams!$G$61=1,AH119*((1-Teams!$G$13)*MAX(0,Teams!$G$72*$C$116-Teams!$G$12)+Teams!$G$13*MAX(0,Teams!$G$73*$C$116-Teams!$G$12)),IF(Teams!$G$62=1,AH120*$C$116,0))</f>
        <v>0</v>
      </c>
      <c r="AI122" s="44">
        <f>AI$5*IF(Teams!$G$61=1,AI119*((1-Teams!$G$13)*MAX(0,Teams!$G$72*$C$116-Teams!$G$12)+Teams!$G$13*MAX(0,Teams!$G$73*$C$116-Teams!$G$12)),IF(Teams!$G$62=1,AI120*$C$116,0))</f>
        <v>0</v>
      </c>
      <c r="AJ122" s="44">
        <f>AJ$5*IF(Teams!$G$61=1,AJ119*((1-Teams!$G$13)*MAX(0,Teams!$G$72*$C$116-Teams!$G$12)+Teams!$G$13*MAX(0,Teams!$G$73*$C$116-Teams!$G$12)),IF(Teams!$G$62=1,AJ120*$C$116,0))</f>
        <v>0</v>
      </c>
      <c r="AK122" s="44">
        <f>AK$5*IF(Teams!$G$61=1,AK119*((1-Teams!$G$13)*MAX(0,Teams!$G$72*$C$116-Teams!$G$12)+Teams!$G$13*MAX(0,Teams!$G$73*$C$116-Teams!$G$12)),IF(Teams!$G$62=1,AK120*$C$116,0))</f>
        <v>0</v>
      </c>
      <c r="AL122" s="44">
        <f>AL$5*IF(Teams!$G$61=1,AL119*((1-Teams!$G$13)*MAX(0,Teams!$G$72*$C$116-Teams!$G$12)+Teams!$G$13*MAX(0,Teams!$G$73*$C$116-Teams!$G$12)),IF(Teams!$G$62=1,AL120*$C$116,0))</f>
        <v>0</v>
      </c>
      <c r="AM122" s="44">
        <f>AM$5*IF(Teams!$G$61=1,AM119*((1-Teams!$G$13)*MAX(0,Teams!$G$72*$C$116-Teams!$G$12)+Teams!$G$13*MAX(0,Teams!$G$73*$C$116-Teams!$G$12)),IF(Teams!$G$62=1,AM120*$C$116,0))</f>
        <v>0</v>
      </c>
      <c r="AN122" s="44">
        <f>AN$5*IF(Teams!$G$61=1,AN119*((1-Teams!$G$13)*MAX(0,Teams!$G$72*$C$116-Teams!$G$12)+Teams!$G$13*MAX(0,Teams!$G$73*$C$116-Teams!$G$12)),IF(Teams!$G$62=1,AN120*$C$116,0))</f>
        <v>0</v>
      </c>
      <c r="AO122" s="44">
        <f>AO$5*IF(Teams!$G$61=1,AO119*((1-Teams!$G$13)*MAX(0,Teams!$G$72*$C$116-Teams!$G$12)+Teams!$G$13*MAX(0,Teams!$G$73*$C$116-Teams!$G$12)),IF(Teams!$G$62=1,AO120*$C$116,0))</f>
        <v>0</v>
      </c>
      <c r="AP122" s="44">
        <f>AP$5*IF(Teams!$G$61=1,AP119*((1-Teams!$G$13)*MAX(0,Teams!$G$72*$C$116-Teams!$G$12)+Teams!$G$13*MAX(0,Teams!$G$73*$C$116-Teams!$G$12)),IF(Teams!$G$62=1,AP120*$C$116,0))</f>
        <v>0</v>
      </c>
      <c r="AQ122" s="44">
        <f>AQ$5*IF(Teams!$G$61=1,AQ119*((1-Teams!$G$13)*MAX(0,Teams!$G$72*$C$116-Teams!$G$12)+Teams!$G$13*MAX(0,Teams!$G$73*$C$116-Teams!$G$12)),IF(Teams!$G$62=1,AQ120*$C$116,0))</f>
        <v>0</v>
      </c>
      <c r="AR122" s="44">
        <f>AR$5*IF(Teams!$G$61=1,AR119*((1-Teams!$G$13)*MAX(0,Teams!$G$72*$C$116-Teams!$G$12)+Teams!$G$13*MAX(0,Teams!$G$73*$C$116-Teams!$G$12)),IF(Teams!$G$62=1,AR120*$C$116,0))</f>
        <v>0</v>
      </c>
      <c r="AS122" s="44">
        <f>AS$5*IF(Teams!$G$61=1,AS119*((1-Teams!$G$13)*MAX(0,Teams!$G$72*$C$116-Teams!$G$12)+Teams!$G$13*MAX(0,Teams!$G$73*$C$116-Teams!$G$12)),IF(Teams!$G$62=1,AS120*$C$116,0))</f>
        <v>0</v>
      </c>
      <c r="AT122" s="44">
        <f>AT$5*IF(Teams!$G$61=1,AT119*((1-Teams!$G$13)*MAX(0,Teams!$G$72*$C$116-Teams!$G$12)+Teams!$G$13*MAX(0,Teams!$G$73*$C$116-Teams!$G$12)),IF(Teams!$G$62=1,AT120*$C$116,0))</f>
        <v>0</v>
      </c>
      <c r="AU122" s="44">
        <f>AU$5*IF(Teams!$G$61=1,AU119*((1-Teams!$G$13)*MAX(0,Teams!$G$72*$C$116-Teams!$G$12)+Teams!$G$13*MAX(0,Teams!$G$73*$C$116-Teams!$G$12)),IF(Teams!$G$62=1,AU120*$C$116,0))</f>
        <v>0</v>
      </c>
      <c r="AV122" s="44">
        <f>AV$5*IF(Teams!$G$61=1,AV119*((1-Teams!$G$13)*MAX(0,Teams!$G$72*$C$116-Teams!$G$12)+Teams!$G$13*MAX(0,Teams!$G$73*$C$116-Teams!$G$12)),IF(Teams!$G$62=1,AV120*$C$116,0))</f>
        <v>0</v>
      </c>
      <c r="AW122" s="44">
        <f>AW$5*IF(Teams!$G$61=1,AW119*((1-Teams!$G$13)*MAX(0,Teams!$G$72*$C$116-Teams!$G$12)+Teams!$G$13*MAX(0,Teams!$G$73*$C$116-Teams!$G$12)),IF(Teams!$G$62=1,AW120*$C$116,0))</f>
        <v>0</v>
      </c>
      <c r="AX122" s="44">
        <f>AX$5*IF(Teams!$G$61=1,AX119*((1-Teams!$G$13)*MAX(0,Teams!$G$72*$C$116-Teams!$G$12)+Teams!$G$13*MAX(0,Teams!$G$73*$C$116-Teams!$G$12)),IF(Teams!$G$62=1,AX120*$C$116,0))</f>
        <v>0</v>
      </c>
      <c r="AY122" s="44">
        <f>AY$5*IF(Teams!$G$61=1,AY119*((1-Teams!$G$13)*MAX(0,Teams!$G$72*$C$116-Teams!$G$12)+Teams!$G$13*MAX(0,Teams!$G$73*$C$116-Teams!$G$12)),IF(Teams!$G$62=1,AY120*$C$116,0))</f>
        <v>0</v>
      </c>
      <c r="AZ122" s="44">
        <f>AZ$5*IF(Teams!$G$61=1,AZ119*((1-Teams!$G$13)*MAX(0,Teams!$G$72*$C$116-Teams!$G$12)+Teams!$G$13*MAX(0,Teams!$G$73*$C$116-Teams!$G$12)),IF(Teams!$G$62=1,AZ120*$C$116,0))</f>
        <v>0</v>
      </c>
      <c r="BA122" s="44">
        <f>BA$5*IF(Teams!$G$61=1,BA119*((1-Teams!$G$13)*MAX(0,Teams!$G$72*$C$116-Teams!$G$12)+Teams!$G$13*MAX(0,Teams!$G$73*$C$116-Teams!$G$12)),IF(Teams!$G$62=1,BA120*$C$116,0))</f>
        <v>0</v>
      </c>
      <c r="BB122" s="44">
        <f>BB$5*IF(Teams!$G$61=1,BB119*((1-Teams!$G$13)*MAX(0,Teams!$G$72*$C$116-Teams!$G$12)+Teams!$G$13*MAX(0,Teams!$G$73*$C$116-Teams!$G$12)),IF(Teams!$G$62=1,BB120*$C$116,0))</f>
        <v>0</v>
      </c>
      <c r="BC122" s="44">
        <f>BC$5*IF(Teams!$G$61=1,BC119*((1-Teams!$G$13)*MAX(0,Teams!$G$72*$C$116-Teams!$G$12)+Teams!$G$13*MAX(0,Teams!$G$73*$C$116-Teams!$G$12)),IF(Teams!$G$62=1,BC120*$C$116,0))</f>
        <v>0</v>
      </c>
      <c r="BD122" s="44">
        <f>BD$5*IF(Teams!$G$61=1,BD119*((1-Teams!$G$13)*MAX(0,Teams!$G$72*$C$116-Teams!$G$12)+Teams!$G$13*MAX(0,Teams!$G$73*$C$116-Teams!$G$12)),IF(Teams!$G$62=1,BD120*$C$116,0))</f>
        <v>0</v>
      </c>
      <c r="BE122" s="44">
        <f>BE$5*IF(Teams!$G$61=1,BE119*((1-Teams!$G$13)*MAX(0,Teams!$G$72*$C$116-Teams!$G$12)+Teams!$G$13*MAX(0,Teams!$G$73*$C$116-Teams!$G$12)),IF(Teams!$G$62=1,BE120*$C$116,0))</f>
        <v>0</v>
      </c>
      <c r="BF122" s="44">
        <f>BF$5*IF(Teams!$G$61=1,BF119*((1-Teams!$G$13)*MAX(0,Teams!$G$72*$C$116-Teams!$G$12)+Teams!$G$13*MAX(0,Teams!$G$73*$C$116-Teams!$G$12)),IF(Teams!$G$62=1,BF120*$C$116,0))</f>
        <v>0</v>
      </c>
      <c r="BG122" s="44">
        <f>BG$5*IF(Teams!$G$61=1,BG119*((1-Teams!$G$13)*MAX(0,Teams!$G$72*$C$116-Teams!$G$12)+Teams!$G$13*MAX(0,Teams!$G$73*$C$116-Teams!$G$12)),IF(Teams!$G$62=1,BG120*$C$116,0))</f>
        <v>0</v>
      </c>
      <c r="BH122" s="44">
        <f>BH$5*IF(Teams!$G$61=1,BH119*((1-Teams!$G$13)*MAX(0,Teams!$G$72*$C$116-Teams!$G$12)+Teams!$G$13*MAX(0,Teams!$G$73*$C$116-Teams!$G$12)),IF(Teams!$G$62=1,BH120*$C$116,0))</f>
        <v>0</v>
      </c>
      <c r="BI122" s="44">
        <f>BI$5*IF(Teams!$G$61=1,BI119*((1-Teams!$G$13)*MAX(0,Teams!$G$72*$C$116-Teams!$G$12)+Teams!$G$13*MAX(0,Teams!$G$73*$C$116-Teams!$G$12)),IF(Teams!$G$62=1,BI120*$C$116,0))</f>
        <v>0</v>
      </c>
      <c r="BJ122" s="44">
        <f>BJ$5*IF(Teams!$G$61=1,BJ119*((1-Teams!$G$13)*MAX(0,Teams!$G$72*$C$116-Teams!$G$12)+Teams!$G$13*MAX(0,Teams!$G$73*$C$116-Teams!$G$12)),IF(Teams!$G$62=1,BJ120*$C$116,0))</f>
        <v>0</v>
      </c>
      <c r="BK122" s="44">
        <f>BK$5*IF(Teams!$G$61=1,BK119*((1-Teams!$G$13)*MAX(0,Teams!$G$72*$C$116-Teams!$G$12)+Teams!$G$13*MAX(0,Teams!$G$73*$C$116-Teams!$G$12)),IF(Teams!$G$62=1,BK120*$C$116,0))</f>
        <v>0</v>
      </c>
      <c r="BL122" s="44">
        <f>BL$5*IF(Teams!$G$61=1,BL119*((1-Teams!$G$13)*MAX(0,Teams!$G$72*$C$116-Teams!$G$12)+Teams!$G$13*MAX(0,Teams!$G$73*$C$116-Teams!$G$12)),IF(Teams!$G$62=1,BL120*$C$116,0))</f>
        <v>0</v>
      </c>
    </row>
    <row r="123" spans="1:64" x14ac:dyDescent="0.3">
      <c r="A123" s="8" t="s">
        <v>667</v>
      </c>
      <c r="B123" s="18" t="s">
        <v>435</v>
      </c>
      <c r="C123" s="44">
        <f t="shared" si="38"/>
        <v>0</v>
      </c>
      <c r="E123" s="44">
        <f>E$5*Teams!$G$63*E120*Teams!$G$67</f>
        <v>0</v>
      </c>
      <c r="F123" s="44">
        <f>F$5*Teams!$G$63*F120*Teams!$G$67</f>
        <v>0</v>
      </c>
      <c r="G123" s="44">
        <f>G$5*Teams!$G$63*G120*Teams!$G$67</f>
        <v>0</v>
      </c>
      <c r="H123" s="44">
        <f>H$5*Teams!$G$63*H120*Teams!$G$67</f>
        <v>0</v>
      </c>
      <c r="I123" s="44">
        <f>I$5*Teams!$G$63*I120*Teams!$G$67</f>
        <v>0</v>
      </c>
      <c r="J123" s="44">
        <f>J$5*Teams!$G$63*J120*Teams!$G$67</f>
        <v>0</v>
      </c>
      <c r="K123" s="44">
        <f>K$5*Teams!$G$63*K120*Teams!$G$67</f>
        <v>0</v>
      </c>
      <c r="L123" s="44">
        <f>L$5*Teams!$G$63*L120*Teams!$G$67</f>
        <v>0</v>
      </c>
      <c r="M123" s="44">
        <f>M$5*Teams!$G$63*M120*Teams!$G$67</f>
        <v>0</v>
      </c>
      <c r="N123" s="44">
        <f>N$5*Teams!$G$63*N120*Teams!$G$67</f>
        <v>0</v>
      </c>
      <c r="O123" s="44">
        <f>O$5*Teams!$G$63*O120*Teams!$G$67</f>
        <v>0</v>
      </c>
      <c r="P123" s="44">
        <f>P$5*Teams!$G$63*P120*Teams!$G$67</f>
        <v>0</v>
      </c>
      <c r="Q123" s="44">
        <f>Q$5*Teams!$G$63*Q120*Teams!$G$67</f>
        <v>0</v>
      </c>
      <c r="R123" s="44">
        <f>R$5*Teams!$G$63*R120*Teams!$G$67</f>
        <v>0</v>
      </c>
      <c r="S123" s="44">
        <f>S$5*Teams!$G$63*S120*Teams!$G$67</f>
        <v>0</v>
      </c>
      <c r="T123" s="44">
        <f>T$5*Teams!$G$63*T120*Teams!$G$67</f>
        <v>0</v>
      </c>
      <c r="U123" s="44">
        <f>U$5*Teams!$G$63*U120*Teams!$G$67</f>
        <v>0</v>
      </c>
      <c r="V123" s="44">
        <f>V$5*Teams!$G$63*V120*Teams!$G$67</f>
        <v>0</v>
      </c>
      <c r="W123" s="44">
        <f>W$5*Teams!$G$63*W120*Teams!$G$67</f>
        <v>0</v>
      </c>
      <c r="X123" s="44">
        <f>X$5*Teams!$G$63*X120*Teams!$G$67</f>
        <v>0</v>
      </c>
      <c r="Y123" s="44">
        <f>Y$5*Teams!$G$63*Y120*Teams!$G$67</f>
        <v>0</v>
      </c>
      <c r="Z123" s="44">
        <f>Z$5*Teams!$G$63*Z120*Teams!$G$67</f>
        <v>0</v>
      </c>
      <c r="AA123" s="44">
        <f>AA$5*Teams!$G$63*AA120*Teams!$G$67</f>
        <v>0</v>
      </c>
      <c r="AB123" s="44">
        <f>AB$5*Teams!$G$63*AB120*Teams!$G$67</f>
        <v>0</v>
      </c>
      <c r="AC123" s="44">
        <f>AC$5*Teams!$G$63*AC120*Teams!$G$67</f>
        <v>0</v>
      </c>
      <c r="AD123" s="44">
        <f>AD$5*Teams!$G$63*AD120*Teams!$G$67</f>
        <v>0</v>
      </c>
      <c r="AE123" s="44">
        <f>AE$5*Teams!$G$63*AE120*Teams!$G$67</f>
        <v>0</v>
      </c>
      <c r="AF123" s="44">
        <f>AF$5*Teams!$G$63*AF120*Teams!$G$67</f>
        <v>0</v>
      </c>
      <c r="AG123" s="44">
        <f>AG$5*Teams!$G$63*AG120*Teams!$G$67</f>
        <v>0</v>
      </c>
      <c r="AH123" s="44">
        <f>AH$5*Teams!$G$63*AH120*Teams!$G$67</f>
        <v>0</v>
      </c>
      <c r="AI123" s="44">
        <f>AI$5*Teams!$G$63*AI120*Teams!$G$67</f>
        <v>0</v>
      </c>
      <c r="AJ123" s="44">
        <f>AJ$5*Teams!$G$63*AJ120*Teams!$G$67</f>
        <v>0</v>
      </c>
      <c r="AK123" s="44">
        <f>AK$5*Teams!$G$63*AK120*Teams!$G$67</f>
        <v>0</v>
      </c>
      <c r="AL123" s="44">
        <f>AL$5*Teams!$G$63*AL120*Teams!$G$67</f>
        <v>0</v>
      </c>
      <c r="AM123" s="44">
        <f>AM$5*Teams!$G$63*AM120*Teams!$G$67</f>
        <v>0</v>
      </c>
      <c r="AN123" s="44">
        <f>AN$5*Teams!$G$63*AN120*Teams!$G$67</f>
        <v>0</v>
      </c>
      <c r="AO123" s="44">
        <f>AO$5*Teams!$G$63*AO120*Teams!$G$67</f>
        <v>0</v>
      </c>
      <c r="AP123" s="44">
        <f>AP$5*Teams!$G$63*AP120*Teams!$G$67</f>
        <v>0</v>
      </c>
      <c r="AQ123" s="44">
        <f>AQ$5*Teams!$G$63*AQ120*Teams!$G$67</f>
        <v>0</v>
      </c>
      <c r="AR123" s="44">
        <f>AR$5*Teams!$G$63*AR120*Teams!$G$67</f>
        <v>0</v>
      </c>
      <c r="AS123" s="44">
        <f>AS$5*Teams!$G$63*AS120*Teams!$G$67</f>
        <v>0</v>
      </c>
      <c r="AT123" s="44">
        <f>AT$5*Teams!$G$63*AT120*Teams!$G$67</f>
        <v>0</v>
      </c>
      <c r="AU123" s="44">
        <f>AU$5*Teams!$G$63*AU120*Teams!$G$67</f>
        <v>0</v>
      </c>
      <c r="AV123" s="44">
        <f>AV$5*Teams!$G$63*AV120*Teams!$G$67</f>
        <v>0</v>
      </c>
      <c r="AW123" s="44">
        <f>AW$5*Teams!$G$63*AW120*Teams!$G$67</f>
        <v>0</v>
      </c>
      <c r="AX123" s="44">
        <f>AX$5*Teams!$G$63*AX120*Teams!$G$67</f>
        <v>0</v>
      </c>
      <c r="AY123" s="44">
        <f>AY$5*Teams!$G$63*AY120*Teams!$G$67</f>
        <v>0</v>
      </c>
      <c r="AZ123" s="44">
        <f>AZ$5*Teams!$G$63*AZ120*Teams!$G$67</f>
        <v>0</v>
      </c>
      <c r="BA123" s="44">
        <f>BA$5*Teams!$G$63*BA120*Teams!$G$67</f>
        <v>0</v>
      </c>
      <c r="BB123" s="44">
        <f>BB$5*Teams!$G$63*BB120*Teams!$G$67</f>
        <v>0</v>
      </c>
      <c r="BC123" s="44">
        <f>BC$5*Teams!$G$63*BC120*Teams!$G$67</f>
        <v>0</v>
      </c>
      <c r="BD123" s="44">
        <f>BD$5*Teams!$G$63*BD120*Teams!$G$67</f>
        <v>0</v>
      </c>
      <c r="BE123" s="44">
        <f>BE$5*Teams!$G$63*BE120*Teams!$G$67</f>
        <v>0</v>
      </c>
      <c r="BF123" s="44">
        <f>BF$5*Teams!$G$63*BF120*Teams!$G$67</f>
        <v>0</v>
      </c>
      <c r="BG123" s="44">
        <f>BG$5*Teams!$G$63*BG120*Teams!$G$67</f>
        <v>0</v>
      </c>
      <c r="BH123" s="44">
        <f>BH$5*Teams!$G$63*BH120*Teams!$G$67</f>
        <v>0</v>
      </c>
      <c r="BI123" s="44">
        <f>BI$5*Teams!$G$63*BI120*Teams!$G$67</f>
        <v>0</v>
      </c>
      <c r="BJ123" s="44">
        <f>BJ$5*Teams!$G$63*BJ120*Teams!$G$67</f>
        <v>0</v>
      </c>
      <c r="BK123" s="44">
        <f>BK$5*Teams!$G$63*BK120*Teams!$G$67</f>
        <v>0</v>
      </c>
      <c r="BL123" s="44">
        <f>BL$5*Teams!$G$63*BL120*Teams!$G$67</f>
        <v>0</v>
      </c>
    </row>
    <row r="124" spans="1:64" x14ac:dyDescent="0.3">
      <c r="A124" s="8" t="s">
        <v>668</v>
      </c>
      <c r="B124" s="18" t="s">
        <v>435</v>
      </c>
      <c r="C124" s="44">
        <f t="shared" si="38"/>
        <v>0</v>
      </c>
      <c r="E124" s="44">
        <f>E$5*Teams!$G$65*E120*Teams!$G$74</f>
        <v>0</v>
      </c>
      <c r="F124" s="44">
        <f>F$5*Teams!$G$65*F120*Teams!$G$74</f>
        <v>0</v>
      </c>
      <c r="G124" s="44">
        <f>G$5*Teams!$G$65*G120*Teams!$G$74</f>
        <v>0</v>
      </c>
      <c r="H124" s="44">
        <f>H$5*Teams!$G$65*H120*Teams!$G$74</f>
        <v>0</v>
      </c>
      <c r="I124" s="44">
        <f>I$5*Teams!$G$65*I120*Teams!$G$74</f>
        <v>0</v>
      </c>
      <c r="J124" s="44">
        <f>J$5*Teams!$G$65*J120*Teams!$G$74</f>
        <v>0</v>
      </c>
      <c r="K124" s="44">
        <f>K$5*Teams!$G$65*K120*Teams!$G$74</f>
        <v>0</v>
      </c>
      <c r="L124" s="44">
        <f>L$5*Teams!$G$65*L120*Teams!$G$74</f>
        <v>0</v>
      </c>
      <c r="M124" s="44">
        <f>M$5*Teams!$G$65*M120*Teams!$G$74</f>
        <v>0</v>
      </c>
      <c r="N124" s="44">
        <f>N$5*Teams!$G$65*N120*Teams!$G$74</f>
        <v>0</v>
      </c>
      <c r="O124" s="44">
        <f>O$5*Teams!$G$65*O120*Teams!$G$74</f>
        <v>0</v>
      </c>
      <c r="P124" s="44">
        <f>P$5*Teams!$G$65*P120*Teams!$G$74</f>
        <v>0</v>
      </c>
      <c r="Q124" s="44">
        <f>Q$5*Teams!$G$65*Q120*Teams!$G$74</f>
        <v>0</v>
      </c>
      <c r="R124" s="44">
        <f>R$5*Teams!$G$65*R120*Teams!$G$74</f>
        <v>0</v>
      </c>
      <c r="S124" s="44">
        <f>S$5*Teams!$G$65*S120*Teams!$G$74</f>
        <v>0</v>
      </c>
      <c r="T124" s="44">
        <f>T$5*Teams!$G$65*T120*Teams!$G$74</f>
        <v>0</v>
      </c>
      <c r="U124" s="44">
        <f>U$5*Teams!$G$65*U120*Teams!$G$74</f>
        <v>0</v>
      </c>
      <c r="V124" s="44">
        <f>V$5*Teams!$G$65*V120*Teams!$G$74</f>
        <v>0</v>
      </c>
      <c r="W124" s="44">
        <f>W$5*Teams!$G$65*W120*Teams!$G$74</f>
        <v>0</v>
      </c>
      <c r="X124" s="44">
        <f>X$5*Teams!$G$65*X120*Teams!$G$74</f>
        <v>0</v>
      </c>
      <c r="Y124" s="44">
        <f>Y$5*Teams!$G$65*Y120*Teams!$G$74</f>
        <v>0</v>
      </c>
      <c r="Z124" s="44">
        <f>Z$5*Teams!$G$65*Z120*Teams!$G$74</f>
        <v>0</v>
      </c>
      <c r="AA124" s="44">
        <f>AA$5*Teams!$G$65*AA120*Teams!$G$74</f>
        <v>0</v>
      </c>
      <c r="AB124" s="44">
        <f>AB$5*Teams!$G$65*AB120*Teams!$G$74</f>
        <v>0</v>
      </c>
      <c r="AC124" s="44">
        <f>AC$5*Teams!$G$65*AC120*Teams!$G$74</f>
        <v>0</v>
      </c>
      <c r="AD124" s="44">
        <f>AD$5*Teams!$G$65*AD120*Teams!$G$74</f>
        <v>0</v>
      </c>
      <c r="AE124" s="44">
        <f>AE$5*Teams!$G$65*AE120*Teams!$G$74</f>
        <v>0</v>
      </c>
      <c r="AF124" s="44">
        <f>AF$5*Teams!$G$65*AF120*Teams!$G$74</f>
        <v>0</v>
      </c>
      <c r="AG124" s="44">
        <f>AG$5*Teams!$G$65*AG120*Teams!$G$74</f>
        <v>0</v>
      </c>
      <c r="AH124" s="44">
        <f>AH$5*Teams!$G$65*AH120*Teams!$G$74</f>
        <v>0</v>
      </c>
      <c r="AI124" s="44">
        <f>AI$5*Teams!$G$65*AI120*Teams!$G$74</f>
        <v>0</v>
      </c>
      <c r="AJ124" s="44">
        <f>AJ$5*Teams!$G$65*AJ120*Teams!$G$74</f>
        <v>0</v>
      </c>
      <c r="AK124" s="44">
        <f>AK$5*Teams!$G$65*AK120*Teams!$G$74</f>
        <v>0</v>
      </c>
      <c r="AL124" s="44">
        <f>AL$5*Teams!$G$65*AL120*Teams!$G$74</f>
        <v>0</v>
      </c>
      <c r="AM124" s="44">
        <f>AM$5*Teams!$G$65*AM120*Teams!$G$74</f>
        <v>0</v>
      </c>
      <c r="AN124" s="44">
        <f>AN$5*Teams!$G$65*AN120*Teams!$G$74</f>
        <v>0</v>
      </c>
      <c r="AO124" s="44">
        <f>AO$5*Teams!$G$65*AO120*Teams!$G$74</f>
        <v>0</v>
      </c>
      <c r="AP124" s="44">
        <f>AP$5*Teams!$G$65*AP120*Teams!$G$74</f>
        <v>0</v>
      </c>
      <c r="AQ124" s="44">
        <f>AQ$5*Teams!$G$65*AQ120*Teams!$G$74</f>
        <v>0</v>
      </c>
      <c r="AR124" s="44">
        <f>AR$5*Teams!$G$65*AR120*Teams!$G$74</f>
        <v>0</v>
      </c>
      <c r="AS124" s="44">
        <f>AS$5*Teams!$G$65*AS120*Teams!$G$74</f>
        <v>0</v>
      </c>
      <c r="AT124" s="44">
        <f>AT$5*Teams!$G$65*AT120*Teams!$G$74</f>
        <v>0</v>
      </c>
      <c r="AU124" s="44">
        <f>AU$5*Teams!$G$65*AU120*Teams!$G$74</f>
        <v>0</v>
      </c>
      <c r="AV124" s="44">
        <f>AV$5*Teams!$G$65*AV120*Teams!$G$74</f>
        <v>0</v>
      </c>
      <c r="AW124" s="44">
        <f>AW$5*Teams!$G$65*AW120*Teams!$G$74</f>
        <v>0</v>
      </c>
      <c r="AX124" s="44">
        <f>AX$5*Teams!$G$65*AX120*Teams!$G$74</f>
        <v>0</v>
      </c>
      <c r="AY124" s="44">
        <f>AY$5*Teams!$G$65*AY120*Teams!$G$74</f>
        <v>0</v>
      </c>
      <c r="AZ124" s="44">
        <f>AZ$5*Teams!$G$65*AZ120*Teams!$G$74</f>
        <v>0</v>
      </c>
      <c r="BA124" s="44">
        <f>BA$5*Teams!$G$65*BA120*Teams!$G$74</f>
        <v>0</v>
      </c>
      <c r="BB124" s="44">
        <f>BB$5*Teams!$G$65*BB120*Teams!$G$74</f>
        <v>0</v>
      </c>
      <c r="BC124" s="44">
        <f>BC$5*Teams!$G$65*BC120*Teams!$G$74</f>
        <v>0</v>
      </c>
      <c r="BD124" s="44">
        <f>BD$5*Teams!$G$65*BD120*Teams!$G$74</f>
        <v>0</v>
      </c>
      <c r="BE124" s="44">
        <f>BE$5*Teams!$G$65*BE120*Teams!$G$74</f>
        <v>0</v>
      </c>
      <c r="BF124" s="44">
        <f>BF$5*Teams!$G$65*BF120*Teams!$G$74</f>
        <v>0</v>
      </c>
      <c r="BG124" s="44">
        <f>BG$5*Teams!$G$65*BG120*Teams!$G$74</f>
        <v>0</v>
      </c>
      <c r="BH124" s="44">
        <f>BH$5*Teams!$G$65*BH120*Teams!$G$74</f>
        <v>0</v>
      </c>
      <c r="BI124" s="44">
        <f>BI$5*Teams!$G$65*BI120*Teams!$G$74</f>
        <v>0</v>
      </c>
      <c r="BJ124" s="44">
        <f>BJ$5*Teams!$G$65*BJ120*Teams!$G$74</f>
        <v>0</v>
      </c>
      <c r="BK124" s="44">
        <f>BK$5*Teams!$G$65*BK120*Teams!$G$74</f>
        <v>0</v>
      </c>
      <c r="BL124" s="44">
        <f>BL$5*Teams!$G$65*BL120*Teams!$G$74</f>
        <v>0</v>
      </c>
    </row>
    <row r="125" spans="1:64" x14ac:dyDescent="0.3">
      <c r="A125" s="8" t="s">
        <v>669</v>
      </c>
      <c r="B125" s="18" t="s">
        <v>505</v>
      </c>
      <c r="C125" s="44">
        <f t="shared" si="38"/>
        <v>0</v>
      </c>
      <c r="E125" s="44">
        <f>E$5*Teams!$G$64*Teams!$G$16*IF(E$4&gt;=Teams!$G$80,1,0)</f>
        <v>0</v>
      </c>
      <c r="F125" s="44">
        <f>F$5*Teams!$G$64*Teams!$G$16*IF(F$4&gt;=Teams!$G$80,1,0)</f>
        <v>0</v>
      </c>
      <c r="G125" s="44">
        <f>G$5*Teams!$G$64*Teams!$G$16*IF(G$4&gt;=Teams!$G$80,1,0)</f>
        <v>0</v>
      </c>
      <c r="H125" s="44">
        <f>H$5*Teams!$G$64*Teams!$G$16*IF(H$4&gt;=Teams!$G$80,1,0)</f>
        <v>0</v>
      </c>
      <c r="I125" s="44">
        <f>I$5*Teams!$G$64*Teams!$G$16*IF(I$4&gt;=Teams!$G$80,1,0)</f>
        <v>0</v>
      </c>
      <c r="J125" s="44">
        <f>J$5*Teams!$G$64*Teams!$G$16*IF(J$4&gt;=Teams!$G$80,1,0)</f>
        <v>0</v>
      </c>
      <c r="K125" s="44">
        <f>K$5*Teams!$G$64*Teams!$G$16*IF(K$4&gt;=Teams!$G$80,1,0)</f>
        <v>0</v>
      </c>
      <c r="L125" s="44">
        <f>L$5*Teams!$G$64*Teams!$G$16*IF(L$4&gt;=Teams!$G$80,1,0)</f>
        <v>0</v>
      </c>
      <c r="M125" s="44">
        <f>M$5*Teams!$G$64*Teams!$G$16*IF(M$4&gt;=Teams!$G$80,1,0)</f>
        <v>0</v>
      </c>
      <c r="N125" s="44">
        <f>N$5*Teams!$G$64*Teams!$G$16*IF(N$4&gt;=Teams!$G$80,1,0)</f>
        <v>0</v>
      </c>
      <c r="O125" s="44">
        <f>O$5*Teams!$G$64*Teams!$G$16*IF(O$4&gt;=Teams!$G$80,1,0)</f>
        <v>0</v>
      </c>
      <c r="P125" s="44">
        <f>P$5*Teams!$G$64*Teams!$G$16*IF(P$4&gt;=Teams!$G$80,1,0)</f>
        <v>0</v>
      </c>
      <c r="Q125" s="44">
        <f>Q$5*Teams!$G$64*Teams!$G$16*IF(Q$4&gt;=Teams!$G$80,1,0)</f>
        <v>0</v>
      </c>
      <c r="R125" s="44">
        <f>R$5*Teams!$G$64*Teams!$G$16*IF(R$4&gt;=Teams!$G$80,1,0)</f>
        <v>0</v>
      </c>
      <c r="S125" s="44">
        <f>S$5*Teams!$G$64*Teams!$G$16*IF(S$4&gt;=Teams!$G$80,1,0)</f>
        <v>0</v>
      </c>
      <c r="T125" s="44">
        <f>T$5*Teams!$G$64*Teams!$G$16*IF(T$4&gt;=Teams!$G$80,1,0)</f>
        <v>0</v>
      </c>
      <c r="U125" s="44">
        <f>U$5*Teams!$G$64*Teams!$G$16*IF(U$4&gt;=Teams!$G$80,1,0)</f>
        <v>0</v>
      </c>
      <c r="V125" s="44">
        <f>V$5*Teams!$G$64*Teams!$G$16*IF(V$4&gt;=Teams!$G$80,1,0)</f>
        <v>0</v>
      </c>
      <c r="W125" s="44">
        <f>W$5*Teams!$G$64*Teams!$G$16*IF(W$4&gt;=Teams!$G$80,1,0)</f>
        <v>0</v>
      </c>
      <c r="X125" s="44">
        <f>X$5*Teams!$G$64*Teams!$G$16*IF(X$4&gt;=Teams!$G$80,1,0)</f>
        <v>0</v>
      </c>
      <c r="Y125" s="44">
        <f>Y$5*Teams!$G$64*Teams!$G$16*IF(Y$4&gt;=Teams!$G$80,1,0)</f>
        <v>0</v>
      </c>
      <c r="Z125" s="44">
        <f>Z$5*Teams!$G$64*Teams!$G$16*IF(Z$4&gt;=Teams!$G$80,1,0)</f>
        <v>0</v>
      </c>
      <c r="AA125" s="44">
        <f>AA$5*Teams!$G$64*Teams!$G$16*IF(AA$4&gt;=Teams!$G$80,1,0)</f>
        <v>0</v>
      </c>
      <c r="AB125" s="44">
        <f>AB$5*Teams!$G$64*Teams!$G$16*IF(AB$4&gt;=Teams!$G$80,1,0)</f>
        <v>0</v>
      </c>
      <c r="AC125" s="44">
        <f>AC$5*Teams!$G$64*Teams!$G$16*IF(AC$4&gt;=Teams!$G$80,1,0)</f>
        <v>0</v>
      </c>
      <c r="AD125" s="44">
        <f>AD$5*Teams!$G$64*Teams!$G$16*IF(AD$4&gt;=Teams!$G$80,1,0)</f>
        <v>0</v>
      </c>
      <c r="AE125" s="44">
        <f>AE$5*Teams!$G$64*Teams!$G$16*IF(AE$4&gt;=Teams!$G$80,1,0)</f>
        <v>0</v>
      </c>
      <c r="AF125" s="44">
        <f>AF$5*Teams!$G$64*Teams!$G$16*IF(AF$4&gt;=Teams!$G$80,1,0)</f>
        <v>0</v>
      </c>
      <c r="AG125" s="44">
        <f>AG$5*Teams!$G$64*Teams!$G$16*IF(AG$4&gt;=Teams!$G$80,1,0)</f>
        <v>0</v>
      </c>
      <c r="AH125" s="44">
        <f>AH$5*Teams!$G$64*Teams!$G$16*IF(AH$4&gt;=Teams!$G$80,1,0)</f>
        <v>0</v>
      </c>
      <c r="AI125" s="44">
        <f>AI$5*Teams!$G$64*Teams!$G$16*IF(AI$4&gt;=Teams!$G$80,1,0)</f>
        <v>0</v>
      </c>
      <c r="AJ125" s="44">
        <f>AJ$5*Teams!$G$64*Teams!$G$16*IF(AJ$4&gt;=Teams!$G$80,1,0)</f>
        <v>0</v>
      </c>
      <c r="AK125" s="44">
        <f>AK$5*Teams!$G$64*Teams!$G$16*IF(AK$4&gt;=Teams!$G$80,1,0)</f>
        <v>0</v>
      </c>
      <c r="AL125" s="44">
        <f>AL$5*Teams!$G$64*Teams!$G$16*IF(AL$4&gt;=Teams!$G$80,1,0)</f>
        <v>0</v>
      </c>
      <c r="AM125" s="44">
        <f>AM$5*Teams!$G$64*Teams!$G$16*IF(AM$4&gt;=Teams!$G$80,1,0)</f>
        <v>0</v>
      </c>
      <c r="AN125" s="44">
        <f>AN$5*Teams!$G$64*Teams!$G$16*IF(AN$4&gt;=Teams!$G$80,1,0)</f>
        <v>0</v>
      </c>
      <c r="AO125" s="44">
        <f>AO$5*Teams!$G$64*Teams!$G$16*IF(AO$4&gt;=Teams!$G$80,1,0)</f>
        <v>0</v>
      </c>
      <c r="AP125" s="44">
        <f>AP$5*Teams!$G$64*Teams!$G$16*IF(AP$4&gt;=Teams!$G$80,1,0)</f>
        <v>0</v>
      </c>
      <c r="AQ125" s="44">
        <f>AQ$5*Teams!$G$64*Teams!$G$16*IF(AQ$4&gt;=Teams!$G$80,1,0)</f>
        <v>0</v>
      </c>
      <c r="AR125" s="44">
        <f>AR$5*Teams!$G$64*Teams!$G$16*IF(AR$4&gt;=Teams!$G$80,1,0)</f>
        <v>0</v>
      </c>
      <c r="AS125" s="44">
        <f>AS$5*Teams!$G$64*Teams!$G$16*IF(AS$4&gt;=Teams!$G$80,1,0)</f>
        <v>0</v>
      </c>
      <c r="AT125" s="44">
        <f>AT$5*Teams!$G$64*Teams!$G$16*IF(AT$4&gt;=Teams!$G$80,1,0)</f>
        <v>0</v>
      </c>
      <c r="AU125" s="44">
        <f>AU$5*Teams!$G$64*Teams!$G$16*IF(AU$4&gt;=Teams!$G$80,1,0)</f>
        <v>0</v>
      </c>
      <c r="AV125" s="44">
        <f>AV$5*Teams!$G$64*Teams!$G$16*IF(AV$4&gt;=Teams!$G$80,1,0)</f>
        <v>0</v>
      </c>
      <c r="AW125" s="44">
        <f>AW$5*Teams!$G$64*Teams!$G$16*IF(AW$4&gt;=Teams!$G$80,1,0)</f>
        <v>0</v>
      </c>
      <c r="AX125" s="44">
        <f>AX$5*Teams!$G$64*Teams!$G$16*IF(AX$4&gt;=Teams!$G$80,1,0)</f>
        <v>0</v>
      </c>
      <c r="AY125" s="44">
        <f>AY$5*Teams!$G$64*Teams!$G$16*IF(AY$4&gt;=Teams!$G$80,1,0)</f>
        <v>0</v>
      </c>
      <c r="AZ125" s="44">
        <f>AZ$5*Teams!$G$64*Teams!$G$16*IF(AZ$4&gt;=Teams!$G$80,1,0)</f>
        <v>0</v>
      </c>
      <c r="BA125" s="44">
        <f>BA$5*Teams!$G$64*Teams!$G$16*IF(BA$4&gt;=Teams!$G$80,1,0)</f>
        <v>0</v>
      </c>
      <c r="BB125" s="44">
        <f>BB$5*Teams!$G$64*Teams!$G$16*IF(BB$4&gt;=Teams!$G$80,1,0)</f>
        <v>0</v>
      </c>
      <c r="BC125" s="44">
        <f>BC$5*Teams!$G$64*Teams!$G$16*IF(BC$4&gt;=Teams!$G$80,1,0)</f>
        <v>0</v>
      </c>
      <c r="BD125" s="44">
        <f>BD$5*Teams!$G$64*Teams!$G$16*IF(BD$4&gt;=Teams!$G$80,1,0)</f>
        <v>0</v>
      </c>
      <c r="BE125" s="44">
        <f>BE$5*Teams!$G$64*Teams!$G$16*IF(BE$4&gt;=Teams!$G$80,1,0)</f>
        <v>0</v>
      </c>
      <c r="BF125" s="44">
        <f>BF$5*Teams!$G$64*Teams!$G$16*IF(BF$4&gt;=Teams!$G$80,1,0)</f>
        <v>0</v>
      </c>
      <c r="BG125" s="44">
        <f>BG$5*Teams!$G$64*Teams!$G$16*IF(BG$4&gt;=Teams!$G$80,1,0)</f>
        <v>0</v>
      </c>
      <c r="BH125" s="44">
        <f>BH$5*Teams!$G$64*Teams!$G$16*IF(BH$4&gt;=Teams!$G$80,1,0)</f>
        <v>0</v>
      </c>
      <c r="BI125" s="44">
        <f>BI$5*Teams!$G$64*Teams!$G$16*IF(BI$4&gt;=Teams!$G$80,1,0)</f>
        <v>0</v>
      </c>
      <c r="BJ125" s="44">
        <f>BJ$5*Teams!$G$64*Teams!$G$16*IF(BJ$4&gt;=Teams!$G$80,1,0)</f>
        <v>0</v>
      </c>
      <c r="BK125" s="44">
        <f>BK$5*Teams!$G$64*Teams!$G$16*IF(BK$4&gt;=Teams!$G$80,1,0)</f>
        <v>0</v>
      </c>
      <c r="BL125" s="44">
        <f>BL$5*Teams!$G$64*Teams!$G$16*IF(BL$4&gt;=Teams!$G$80,1,0)</f>
        <v>0</v>
      </c>
    </row>
    <row r="126" spans="1:64" x14ac:dyDescent="0.3">
      <c r="A126" s="8" t="s">
        <v>670</v>
      </c>
      <c r="B126" s="18" t="s">
        <v>435</v>
      </c>
      <c r="C126" s="44">
        <f t="shared" si="38"/>
        <v>2081.1959999999999</v>
      </c>
      <c r="E126" s="44">
        <f>E$5*IF(AND(E$4&gt;=Teams!$G$80,Teams!$G$49=1),Teams!$G$44*Params!$E$10*Teams!$G$45*Teams!$G$75+Teams!$G$44*Params!$E$10*Teams!$G$47*Teams!$G$76/1000000+Teams!$G$77+Teams!$G$50*Teams!$G$78+E120*Teams!$G$51*Teams!$G$79/1000000,0)</f>
        <v>55.837666666666664</v>
      </c>
      <c r="F126" s="44">
        <f>F$5*IF(AND(F$4&gt;=Teams!$G$80,Teams!$G$49=1),Teams!$G$44*Params!$E$10*Teams!$G$45*Teams!$G$75+Teams!$G$44*Params!$E$10*Teams!$G$47*Teams!$G$76/1000000+Teams!$G$77+Teams!$G$50*Teams!$G$78+F120*Teams!$G$51*Teams!$G$79/1000000,0)</f>
        <v>56.264333333333326</v>
      </c>
      <c r="G126" s="44">
        <f>G$5*IF(AND(G$4&gt;=Teams!$G$80,Teams!$G$49=1),Teams!$G$44*Params!$E$10*Teams!$G$45*Teams!$G$75+Teams!$G$44*Params!$E$10*Teams!$G$47*Teams!$G$76/1000000+Teams!$G$77+Teams!$G$50*Teams!$G$78+G120*Teams!$G$51*Teams!$G$79/1000000,0)</f>
        <v>56.818999999999996</v>
      </c>
      <c r="H126" s="44">
        <f>H$5*IF(AND(H$4&gt;=Teams!$G$80,Teams!$G$49=1),Teams!$G$44*Params!$E$10*Teams!$G$45*Teams!$G$75+Teams!$G$44*Params!$E$10*Teams!$G$47*Teams!$G$76/1000000+Teams!$G$77+Teams!$G$50*Teams!$G$78+H120*Teams!$G$51*Teams!$G$79/1000000,0)</f>
        <v>57.373666666666658</v>
      </c>
      <c r="I126" s="44">
        <f>I$5*IF(AND(I$4&gt;=Teams!$G$80,Teams!$G$49=1),Teams!$G$44*Params!$E$10*Teams!$G$45*Teams!$G$75+Teams!$G$44*Params!$E$10*Teams!$G$47*Teams!$G$76/1000000+Teams!$G$77+Teams!$G$50*Teams!$G$78+I120*Teams!$G$51*Teams!$G$79/1000000,0)</f>
        <v>57.800333333333327</v>
      </c>
      <c r="J126" s="44">
        <f>J$5*IF(AND(J$4&gt;=Teams!$G$80,Teams!$G$49=1),Teams!$G$44*Params!$E$10*Teams!$G$45*Teams!$G$75+Teams!$G$44*Params!$E$10*Teams!$G$47*Teams!$G$76/1000000+Teams!$G$77+Teams!$G$50*Teams!$G$78+J120*Teams!$G$51*Teams!$G$79/1000000,0)</f>
        <v>57.970999999999997</v>
      </c>
      <c r="K126" s="44">
        <f>K$5*IF(AND(K$4&gt;=Teams!$G$80,Teams!$G$49=1),Teams!$G$44*Params!$E$10*Teams!$G$45*Teams!$G$75+Teams!$G$44*Params!$E$10*Teams!$G$47*Teams!$G$76/1000000+Teams!$G$77+Teams!$G$50*Teams!$G$78+K120*Teams!$G$51*Teams!$G$79/1000000,0)</f>
        <v>57.970999999999997</v>
      </c>
      <c r="L126" s="44">
        <f>L$5*IF(AND(L$4&gt;=Teams!$G$80,Teams!$G$49=1),Teams!$G$44*Params!$E$10*Teams!$G$45*Teams!$G$75+Teams!$G$44*Params!$E$10*Teams!$G$47*Teams!$G$76/1000000+Teams!$G$77+Teams!$G$50*Teams!$G$78+L120*Teams!$G$51*Teams!$G$79/1000000,0)</f>
        <v>57.970999999999997</v>
      </c>
      <c r="M126" s="44">
        <f>M$5*IF(AND(M$4&gt;=Teams!$G$80,Teams!$G$49=1),Teams!$G$44*Params!$E$10*Teams!$G$45*Teams!$G$75+Teams!$G$44*Params!$E$10*Teams!$G$47*Teams!$G$76/1000000+Teams!$G$77+Teams!$G$50*Teams!$G$78+M120*Teams!$G$51*Teams!$G$79/1000000,0)</f>
        <v>57.970999999999997</v>
      </c>
      <c r="N126" s="44">
        <f>N$5*IF(AND(N$4&gt;=Teams!$G$80,Teams!$G$49=1),Teams!$G$44*Params!$E$10*Teams!$G$45*Teams!$G$75+Teams!$G$44*Params!$E$10*Teams!$G$47*Teams!$G$76/1000000+Teams!$G$77+Teams!$G$50*Teams!$G$78+N120*Teams!$G$51*Teams!$G$79/1000000,0)</f>
        <v>57.970999999999997</v>
      </c>
      <c r="O126" s="44">
        <f>O$5*IF(AND(O$4&gt;=Teams!$G$80,Teams!$G$49=1),Teams!$G$44*Params!$E$10*Teams!$G$45*Teams!$G$75+Teams!$G$44*Params!$E$10*Teams!$G$47*Teams!$G$76/1000000+Teams!$G$77+Teams!$G$50*Teams!$G$78+O120*Teams!$G$51*Teams!$G$79/1000000,0)</f>
        <v>57.970999999999997</v>
      </c>
      <c r="P126" s="44">
        <f>P$5*IF(AND(P$4&gt;=Teams!$G$80,Teams!$G$49=1),Teams!$G$44*Params!$E$10*Teams!$G$45*Teams!$G$75+Teams!$G$44*Params!$E$10*Teams!$G$47*Teams!$G$76/1000000+Teams!$G$77+Teams!$G$50*Teams!$G$78+P120*Teams!$G$51*Teams!$G$79/1000000,0)</f>
        <v>57.970999999999997</v>
      </c>
      <c r="Q126" s="44">
        <f>Q$5*IF(AND(Q$4&gt;=Teams!$G$80,Teams!$G$49=1),Teams!$G$44*Params!$E$10*Teams!$G$45*Teams!$G$75+Teams!$G$44*Params!$E$10*Teams!$G$47*Teams!$G$76/1000000+Teams!$G$77+Teams!$G$50*Teams!$G$78+Q120*Teams!$G$51*Teams!$G$79/1000000,0)</f>
        <v>57.970999999999997</v>
      </c>
      <c r="R126" s="44">
        <f>R$5*IF(AND(R$4&gt;=Teams!$G$80,Teams!$G$49=1),Teams!$G$44*Params!$E$10*Teams!$G$45*Teams!$G$75+Teams!$G$44*Params!$E$10*Teams!$G$47*Teams!$G$76/1000000+Teams!$G$77+Teams!$G$50*Teams!$G$78+R120*Teams!$G$51*Teams!$G$79/1000000,0)</f>
        <v>57.970999999999997</v>
      </c>
      <c r="S126" s="44">
        <f>S$5*IF(AND(S$4&gt;=Teams!$G$80,Teams!$G$49=1),Teams!$G$44*Params!$E$10*Teams!$G$45*Teams!$G$75+Teams!$G$44*Params!$E$10*Teams!$G$47*Teams!$G$76/1000000+Teams!$G$77+Teams!$G$50*Teams!$G$78+S120*Teams!$G$51*Teams!$G$79/1000000,0)</f>
        <v>57.970999999999997</v>
      </c>
      <c r="T126" s="44">
        <f>T$5*IF(AND(T$4&gt;=Teams!$G$80,Teams!$G$49=1),Teams!$G$44*Params!$E$10*Teams!$G$45*Teams!$G$75+Teams!$G$44*Params!$E$10*Teams!$G$47*Teams!$G$76/1000000+Teams!$G$77+Teams!$G$50*Teams!$G$78+T120*Teams!$G$51*Teams!$G$79/1000000,0)</f>
        <v>57.970999999999997</v>
      </c>
      <c r="U126" s="44">
        <f>U$5*IF(AND(U$4&gt;=Teams!$G$80,Teams!$G$49=1),Teams!$G$44*Params!$E$10*Teams!$G$45*Teams!$G$75+Teams!$G$44*Params!$E$10*Teams!$G$47*Teams!$G$76/1000000+Teams!$G$77+Teams!$G$50*Teams!$G$78+U120*Teams!$G$51*Teams!$G$79/1000000,0)</f>
        <v>57.970999999999997</v>
      </c>
      <c r="V126" s="44">
        <f>V$5*IF(AND(V$4&gt;=Teams!$G$80,Teams!$G$49=1),Teams!$G$44*Params!$E$10*Teams!$G$45*Teams!$G$75+Teams!$G$44*Params!$E$10*Teams!$G$47*Teams!$G$76/1000000+Teams!$G$77+Teams!$G$50*Teams!$G$78+V120*Teams!$G$51*Teams!$G$79/1000000,0)</f>
        <v>57.970999999999997</v>
      </c>
      <c r="W126" s="44">
        <f>W$5*IF(AND(W$4&gt;=Teams!$G$80,Teams!$G$49=1),Teams!$G$44*Params!$E$10*Teams!$G$45*Teams!$G$75+Teams!$G$44*Params!$E$10*Teams!$G$47*Teams!$G$76/1000000+Teams!$G$77+Teams!$G$50*Teams!$G$78+W120*Teams!$G$51*Teams!$G$79/1000000,0)</f>
        <v>57.970999999999997</v>
      </c>
      <c r="X126" s="44">
        <f>X$5*IF(AND(X$4&gt;=Teams!$G$80,Teams!$G$49=1),Teams!$G$44*Params!$E$10*Teams!$G$45*Teams!$G$75+Teams!$G$44*Params!$E$10*Teams!$G$47*Teams!$G$76/1000000+Teams!$G$77+Teams!$G$50*Teams!$G$78+X120*Teams!$G$51*Teams!$G$79/1000000,0)</f>
        <v>57.970999999999997</v>
      </c>
      <c r="Y126" s="44">
        <f>Y$5*IF(AND(Y$4&gt;=Teams!$G$80,Teams!$G$49=1),Teams!$G$44*Params!$E$10*Teams!$G$45*Teams!$G$75+Teams!$G$44*Params!$E$10*Teams!$G$47*Teams!$G$76/1000000+Teams!$G$77+Teams!$G$50*Teams!$G$78+Y120*Teams!$G$51*Teams!$G$79/1000000,0)</f>
        <v>57.970999999999997</v>
      </c>
      <c r="Z126" s="44">
        <f>Z$5*IF(AND(Z$4&gt;=Teams!$G$80,Teams!$G$49=1),Teams!$G$44*Params!$E$10*Teams!$G$45*Teams!$G$75+Teams!$G$44*Params!$E$10*Teams!$G$47*Teams!$G$76/1000000+Teams!$G$77+Teams!$G$50*Teams!$G$78+Z120*Teams!$G$51*Teams!$G$79/1000000,0)</f>
        <v>57.970999999999997</v>
      </c>
      <c r="AA126" s="44">
        <f>AA$5*IF(AND(AA$4&gt;=Teams!$G$80,Teams!$G$49=1),Teams!$G$44*Params!$E$10*Teams!$G$45*Teams!$G$75+Teams!$G$44*Params!$E$10*Teams!$G$47*Teams!$G$76/1000000+Teams!$G$77+Teams!$G$50*Teams!$G$78+AA120*Teams!$G$51*Teams!$G$79/1000000,0)</f>
        <v>57.970999999999997</v>
      </c>
      <c r="AB126" s="44">
        <f>AB$5*IF(AND(AB$4&gt;=Teams!$G$80,Teams!$G$49=1),Teams!$G$44*Params!$E$10*Teams!$G$45*Teams!$G$75+Teams!$G$44*Params!$E$10*Teams!$G$47*Teams!$G$76/1000000+Teams!$G$77+Teams!$G$50*Teams!$G$78+AB120*Teams!$G$51*Teams!$G$79/1000000,0)</f>
        <v>57.970999999999997</v>
      </c>
      <c r="AC126" s="44">
        <f>AC$5*IF(AND(AC$4&gt;=Teams!$G$80,Teams!$G$49=1),Teams!$G$44*Params!$E$10*Teams!$G$45*Teams!$G$75+Teams!$G$44*Params!$E$10*Teams!$G$47*Teams!$G$76/1000000+Teams!$G$77+Teams!$G$50*Teams!$G$78+AC120*Teams!$G$51*Teams!$G$79/1000000,0)</f>
        <v>57.970999999999997</v>
      </c>
      <c r="AD126" s="44">
        <f>AD$5*IF(AND(AD$4&gt;=Teams!$G$80,Teams!$G$49=1),Teams!$G$44*Params!$E$10*Teams!$G$45*Teams!$G$75+Teams!$G$44*Params!$E$10*Teams!$G$47*Teams!$G$76/1000000+Teams!$G$77+Teams!$G$50*Teams!$G$78+AD120*Teams!$G$51*Teams!$G$79/1000000,0)</f>
        <v>57.970999999999997</v>
      </c>
      <c r="AE126" s="44">
        <f>AE$5*IF(AND(AE$4&gt;=Teams!$G$80,Teams!$G$49=1),Teams!$G$44*Params!$E$10*Teams!$G$45*Teams!$G$75+Teams!$G$44*Params!$E$10*Teams!$G$47*Teams!$G$76/1000000+Teams!$G$77+Teams!$G$50*Teams!$G$78+AE120*Teams!$G$51*Teams!$G$79/1000000,0)</f>
        <v>57.970999999999997</v>
      </c>
      <c r="AF126" s="44">
        <f>AF$5*IF(AND(AF$4&gt;=Teams!$G$80,Teams!$G$49=1),Teams!$G$44*Params!$E$10*Teams!$G$45*Teams!$G$75+Teams!$G$44*Params!$E$10*Teams!$G$47*Teams!$G$76/1000000+Teams!$G$77+Teams!$G$50*Teams!$G$78+AF120*Teams!$G$51*Teams!$G$79/1000000,0)</f>
        <v>57.970999999999997</v>
      </c>
      <c r="AG126" s="44">
        <f>AG$5*IF(AND(AG$4&gt;=Teams!$G$80,Teams!$G$49=1),Teams!$G$44*Params!$E$10*Teams!$G$45*Teams!$G$75+Teams!$G$44*Params!$E$10*Teams!$G$47*Teams!$G$76/1000000+Teams!$G$77+Teams!$G$50*Teams!$G$78+AG120*Teams!$G$51*Teams!$G$79/1000000,0)</f>
        <v>57.970999999999997</v>
      </c>
      <c r="AH126" s="44">
        <f>AH$5*IF(AND(AH$4&gt;=Teams!$G$80,Teams!$G$49=1),Teams!$G$44*Params!$E$10*Teams!$G$45*Teams!$G$75+Teams!$G$44*Params!$E$10*Teams!$G$47*Teams!$G$76/1000000+Teams!$G$77+Teams!$G$50*Teams!$G$78+AH120*Teams!$G$51*Teams!$G$79/1000000,0)</f>
        <v>57.970999999999997</v>
      </c>
      <c r="AI126" s="44">
        <f>AI$5*IF(AND(AI$4&gt;=Teams!$G$80,Teams!$G$49=1),Teams!$G$44*Params!$E$10*Teams!$G$45*Teams!$G$75+Teams!$G$44*Params!$E$10*Teams!$G$47*Teams!$G$76/1000000+Teams!$G$77+Teams!$G$50*Teams!$G$78+AI120*Teams!$G$51*Teams!$G$79/1000000,0)</f>
        <v>57.970999999999997</v>
      </c>
      <c r="AJ126" s="44">
        <f>AJ$5*IF(AND(AJ$4&gt;=Teams!$G$80,Teams!$G$49=1),Teams!$G$44*Params!$E$10*Teams!$G$45*Teams!$G$75+Teams!$G$44*Params!$E$10*Teams!$G$47*Teams!$G$76/1000000+Teams!$G$77+Teams!$G$50*Teams!$G$78+AJ120*Teams!$G$51*Teams!$G$79/1000000,0)</f>
        <v>57.970999999999997</v>
      </c>
      <c r="AK126" s="44">
        <f>AK$5*IF(AND(AK$4&gt;=Teams!$G$80,Teams!$G$49=1),Teams!$G$44*Params!$E$10*Teams!$G$45*Teams!$G$75+Teams!$G$44*Params!$E$10*Teams!$G$47*Teams!$G$76/1000000+Teams!$G$77+Teams!$G$50*Teams!$G$78+AK120*Teams!$G$51*Teams!$G$79/1000000,0)</f>
        <v>57.970999999999997</v>
      </c>
      <c r="AL126" s="44">
        <f>AL$5*IF(AND(AL$4&gt;=Teams!$G$80,Teams!$G$49=1),Teams!$G$44*Params!$E$10*Teams!$G$45*Teams!$G$75+Teams!$G$44*Params!$E$10*Teams!$G$47*Teams!$G$76/1000000+Teams!$G$77+Teams!$G$50*Teams!$G$78+AL120*Teams!$G$51*Teams!$G$79/1000000,0)</f>
        <v>57.970999999999997</v>
      </c>
      <c r="AM126" s="44">
        <f>AM$5*IF(AND(AM$4&gt;=Teams!$G$80,Teams!$G$49=1),Teams!$G$44*Params!$E$10*Teams!$G$45*Teams!$G$75+Teams!$G$44*Params!$E$10*Teams!$G$47*Teams!$G$76/1000000+Teams!$G$77+Teams!$G$50*Teams!$G$78+AM120*Teams!$G$51*Teams!$G$79/1000000,0)</f>
        <v>57.970999999999997</v>
      </c>
      <c r="AN126" s="44">
        <f>AN$5*IF(AND(AN$4&gt;=Teams!$G$80,Teams!$G$49=1),Teams!$G$44*Params!$E$10*Teams!$G$45*Teams!$G$75+Teams!$G$44*Params!$E$10*Teams!$G$47*Teams!$G$76/1000000+Teams!$G$77+Teams!$G$50*Teams!$G$78+AN120*Teams!$G$51*Teams!$G$79/1000000,0)</f>
        <v>57.970999999999997</v>
      </c>
      <c r="AO126" s="44">
        <f>AO$5*IF(AND(AO$4&gt;=Teams!$G$80,Teams!$G$49=1),Teams!$G$44*Params!$E$10*Teams!$G$45*Teams!$G$75+Teams!$G$44*Params!$E$10*Teams!$G$47*Teams!$G$76/1000000+Teams!$G$77+Teams!$G$50*Teams!$G$78+AO120*Teams!$G$51*Teams!$G$79/1000000,0)</f>
        <v>0</v>
      </c>
      <c r="AP126" s="44">
        <f>AP$5*IF(AND(AP$4&gt;=Teams!$G$80,Teams!$G$49=1),Teams!$G$44*Params!$E$10*Teams!$G$45*Teams!$G$75+Teams!$G$44*Params!$E$10*Teams!$G$47*Teams!$G$76/1000000+Teams!$G$77+Teams!$G$50*Teams!$G$78+AP120*Teams!$G$51*Teams!$G$79/1000000,0)</f>
        <v>0</v>
      </c>
      <c r="AQ126" s="44">
        <f>AQ$5*IF(AND(AQ$4&gt;=Teams!$G$80,Teams!$G$49=1),Teams!$G$44*Params!$E$10*Teams!$G$45*Teams!$G$75+Teams!$G$44*Params!$E$10*Teams!$G$47*Teams!$G$76/1000000+Teams!$G$77+Teams!$G$50*Teams!$G$78+AQ120*Teams!$G$51*Teams!$G$79/1000000,0)</f>
        <v>0</v>
      </c>
      <c r="AR126" s="44">
        <f>AR$5*IF(AND(AR$4&gt;=Teams!$G$80,Teams!$G$49=1),Teams!$G$44*Params!$E$10*Teams!$G$45*Teams!$G$75+Teams!$G$44*Params!$E$10*Teams!$G$47*Teams!$G$76/1000000+Teams!$G$77+Teams!$G$50*Teams!$G$78+AR120*Teams!$G$51*Teams!$G$79/1000000,0)</f>
        <v>0</v>
      </c>
      <c r="AS126" s="44">
        <f>AS$5*IF(AND(AS$4&gt;=Teams!$G$80,Teams!$G$49=1),Teams!$G$44*Params!$E$10*Teams!$G$45*Teams!$G$75+Teams!$G$44*Params!$E$10*Teams!$G$47*Teams!$G$76/1000000+Teams!$G$77+Teams!$G$50*Teams!$G$78+AS120*Teams!$G$51*Teams!$G$79/1000000,0)</f>
        <v>0</v>
      </c>
      <c r="AT126" s="44">
        <f>AT$5*IF(AND(AT$4&gt;=Teams!$G$80,Teams!$G$49=1),Teams!$G$44*Params!$E$10*Teams!$G$45*Teams!$G$75+Teams!$G$44*Params!$E$10*Teams!$G$47*Teams!$G$76/1000000+Teams!$G$77+Teams!$G$50*Teams!$G$78+AT120*Teams!$G$51*Teams!$G$79/1000000,0)</f>
        <v>0</v>
      </c>
      <c r="AU126" s="44">
        <f>AU$5*IF(AND(AU$4&gt;=Teams!$G$80,Teams!$G$49=1),Teams!$G$44*Params!$E$10*Teams!$G$45*Teams!$G$75+Teams!$G$44*Params!$E$10*Teams!$G$47*Teams!$G$76/1000000+Teams!$G$77+Teams!$G$50*Teams!$G$78+AU120*Teams!$G$51*Teams!$G$79/1000000,0)</f>
        <v>0</v>
      </c>
      <c r="AV126" s="44">
        <f>AV$5*IF(AND(AV$4&gt;=Teams!$G$80,Teams!$G$49=1),Teams!$G$44*Params!$E$10*Teams!$G$45*Teams!$G$75+Teams!$G$44*Params!$E$10*Teams!$G$47*Teams!$G$76/1000000+Teams!$G$77+Teams!$G$50*Teams!$G$78+AV120*Teams!$G$51*Teams!$G$79/1000000,0)</f>
        <v>0</v>
      </c>
      <c r="AW126" s="44">
        <f>AW$5*IF(AND(AW$4&gt;=Teams!$G$80,Teams!$G$49=1),Teams!$G$44*Params!$E$10*Teams!$G$45*Teams!$G$75+Teams!$G$44*Params!$E$10*Teams!$G$47*Teams!$G$76/1000000+Teams!$G$77+Teams!$G$50*Teams!$G$78+AW120*Teams!$G$51*Teams!$G$79/1000000,0)</f>
        <v>0</v>
      </c>
      <c r="AX126" s="44">
        <f>AX$5*IF(AND(AX$4&gt;=Teams!$G$80,Teams!$G$49=1),Teams!$G$44*Params!$E$10*Teams!$G$45*Teams!$G$75+Teams!$G$44*Params!$E$10*Teams!$G$47*Teams!$G$76/1000000+Teams!$G$77+Teams!$G$50*Teams!$G$78+AX120*Teams!$G$51*Teams!$G$79/1000000,0)</f>
        <v>0</v>
      </c>
      <c r="AY126" s="44">
        <f>AY$5*IF(AND(AY$4&gt;=Teams!$G$80,Teams!$G$49=1),Teams!$G$44*Params!$E$10*Teams!$G$45*Teams!$G$75+Teams!$G$44*Params!$E$10*Teams!$G$47*Teams!$G$76/1000000+Teams!$G$77+Teams!$G$50*Teams!$G$78+AY120*Teams!$G$51*Teams!$G$79/1000000,0)</f>
        <v>0</v>
      </c>
      <c r="AZ126" s="44">
        <f>AZ$5*IF(AND(AZ$4&gt;=Teams!$G$80,Teams!$G$49=1),Teams!$G$44*Params!$E$10*Teams!$G$45*Teams!$G$75+Teams!$G$44*Params!$E$10*Teams!$G$47*Teams!$G$76/1000000+Teams!$G$77+Teams!$G$50*Teams!$G$78+AZ120*Teams!$G$51*Teams!$G$79/1000000,0)</f>
        <v>0</v>
      </c>
      <c r="BA126" s="44">
        <f>BA$5*IF(AND(BA$4&gt;=Teams!$G$80,Teams!$G$49=1),Teams!$G$44*Params!$E$10*Teams!$G$45*Teams!$G$75+Teams!$G$44*Params!$E$10*Teams!$G$47*Teams!$G$76/1000000+Teams!$G$77+Teams!$G$50*Teams!$G$78+BA120*Teams!$G$51*Teams!$G$79/1000000,0)</f>
        <v>0</v>
      </c>
      <c r="BB126" s="44">
        <f>BB$5*IF(AND(BB$4&gt;=Teams!$G$80,Teams!$G$49=1),Teams!$G$44*Params!$E$10*Teams!$G$45*Teams!$G$75+Teams!$G$44*Params!$E$10*Teams!$G$47*Teams!$G$76/1000000+Teams!$G$77+Teams!$G$50*Teams!$G$78+BB120*Teams!$G$51*Teams!$G$79/1000000,0)</f>
        <v>0</v>
      </c>
      <c r="BC126" s="44">
        <f>BC$5*IF(AND(BC$4&gt;=Teams!$G$80,Teams!$G$49=1),Teams!$G$44*Params!$E$10*Teams!$G$45*Teams!$G$75+Teams!$G$44*Params!$E$10*Teams!$G$47*Teams!$G$76/1000000+Teams!$G$77+Teams!$G$50*Teams!$G$78+BC120*Teams!$G$51*Teams!$G$79/1000000,0)</f>
        <v>0</v>
      </c>
      <c r="BD126" s="44">
        <f>BD$5*IF(AND(BD$4&gt;=Teams!$G$80,Teams!$G$49=1),Teams!$G$44*Params!$E$10*Teams!$G$45*Teams!$G$75+Teams!$G$44*Params!$E$10*Teams!$G$47*Teams!$G$76/1000000+Teams!$G$77+Teams!$G$50*Teams!$G$78+BD120*Teams!$G$51*Teams!$G$79/1000000,0)</f>
        <v>0</v>
      </c>
      <c r="BE126" s="44">
        <f>BE$5*IF(AND(BE$4&gt;=Teams!$G$80,Teams!$G$49=1),Teams!$G$44*Params!$E$10*Teams!$G$45*Teams!$G$75+Teams!$G$44*Params!$E$10*Teams!$G$47*Teams!$G$76/1000000+Teams!$G$77+Teams!$G$50*Teams!$G$78+BE120*Teams!$G$51*Teams!$G$79/1000000,0)</f>
        <v>0</v>
      </c>
      <c r="BF126" s="44">
        <f>BF$5*IF(AND(BF$4&gt;=Teams!$G$80,Teams!$G$49=1),Teams!$G$44*Params!$E$10*Teams!$G$45*Teams!$G$75+Teams!$G$44*Params!$E$10*Teams!$G$47*Teams!$G$76/1000000+Teams!$G$77+Teams!$G$50*Teams!$G$78+BF120*Teams!$G$51*Teams!$G$79/1000000,0)</f>
        <v>0</v>
      </c>
      <c r="BG126" s="44">
        <f>BG$5*IF(AND(BG$4&gt;=Teams!$G$80,Teams!$G$49=1),Teams!$G$44*Params!$E$10*Teams!$G$45*Teams!$G$75+Teams!$G$44*Params!$E$10*Teams!$G$47*Teams!$G$76/1000000+Teams!$G$77+Teams!$G$50*Teams!$G$78+BG120*Teams!$G$51*Teams!$G$79/1000000,0)</f>
        <v>0</v>
      </c>
      <c r="BH126" s="44">
        <f>BH$5*IF(AND(BH$4&gt;=Teams!$G$80,Teams!$G$49=1),Teams!$G$44*Params!$E$10*Teams!$G$45*Teams!$G$75+Teams!$G$44*Params!$E$10*Teams!$G$47*Teams!$G$76/1000000+Teams!$G$77+Teams!$G$50*Teams!$G$78+BH120*Teams!$G$51*Teams!$G$79/1000000,0)</f>
        <v>0</v>
      </c>
      <c r="BI126" s="44">
        <f>BI$5*IF(AND(BI$4&gt;=Teams!$G$80,Teams!$G$49=1),Teams!$G$44*Params!$E$10*Teams!$G$45*Teams!$G$75+Teams!$G$44*Params!$E$10*Teams!$G$47*Teams!$G$76/1000000+Teams!$G$77+Teams!$G$50*Teams!$G$78+BI120*Teams!$G$51*Teams!$G$79/1000000,0)</f>
        <v>0</v>
      </c>
      <c r="BJ126" s="44">
        <f>BJ$5*IF(AND(BJ$4&gt;=Teams!$G$80,Teams!$G$49=1),Teams!$G$44*Params!$E$10*Teams!$G$45*Teams!$G$75+Teams!$G$44*Params!$E$10*Teams!$G$47*Teams!$G$76/1000000+Teams!$G$77+Teams!$G$50*Teams!$G$78+BJ120*Teams!$G$51*Teams!$G$79/1000000,0)</f>
        <v>0</v>
      </c>
      <c r="BK126" s="44">
        <f>BK$5*IF(AND(BK$4&gt;=Teams!$G$80,Teams!$G$49=1),Teams!$G$44*Params!$E$10*Teams!$G$45*Teams!$G$75+Teams!$G$44*Params!$E$10*Teams!$G$47*Teams!$G$76/1000000+Teams!$G$77+Teams!$G$50*Teams!$G$78+BK120*Teams!$G$51*Teams!$G$79/1000000,0)</f>
        <v>0</v>
      </c>
      <c r="BL126" s="44">
        <f>BL$5*IF(AND(BL$4&gt;=Teams!$G$80,Teams!$G$49=1),Teams!$G$44*Params!$E$10*Teams!$G$45*Teams!$G$75+Teams!$G$44*Params!$E$10*Teams!$G$47*Teams!$G$76/1000000+Teams!$G$77+Teams!$G$50*Teams!$G$78+BL120*Teams!$G$51*Teams!$G$79/1000000,0)</f>
        <v>0</v>
      </c>
    </row>
    <row r="127" spans="1:64" x14ac:dyDescent="0.3">
      <c r="A127" s="8" t="s">
        <v>671</v>
      </c>
      <c r="B127" s="18" t="s">
        <v>169</v>
      </c>
      <c r="C127" s="44">
        <f t="shared" si="38"/>
        <v>7200</v>
      </c>
      <c r="E127" s="44">
        <f>E$5*IF(E$4&gt;=Teams!$G$80,Teams!$G$43*Params!$E$6*Org!$B$10*Params!$E$7/12,0)</f>
        <v>200</v>
      </c>
      <c r="F127" s="44">
        <f>F$5*IF(F$4&gt;=Teams!$G$80,Teams!$G$43*Params!$E$6*Org!$B$10*Params!$E$7/12,0)</f>
        <v>200</v>
      </c>
      <c r="G127" s="44">
        <f>G$5*IF(G$4&gt;=Teams!$G$80,Teams!$G$43*Params!$E$6*Org!$B$10*Params!$E$7/12,0)</f>
        <v>200</v>
      </c>
      <c r="H127" s="44">
        <f>H$5*IF(H$4&gt;=Teams!$G$80,Teams!$G$43*Params!$E$6*Org!$B$10*Params!$E$7/12,0)</f>
        <v>200</v>
      </c>
      <c r="I127" s="44">
        <f>I$5*IF(I$4&gt;=Teams!$G$80,Teams!$G$43*Params!$E$6*Org!$B$10*Params!$E$7/12,0)</f>
        <v>200</v>
      </c>
      <c r="J127" s="44">
        <f>J$5*IF(J$4&gt;=Teams!$G$80,Teams!$G$43*Params!$E$6*Org!$B$10*Params!$E$7/12,0)</f>
        <v>200</v>
      </c>
      <c r="K127" s="44">
        <f>K$5*IF(K$4&gt;=Teams!$G$80,Teams!$G$43*Params!$E$6*Org!$B$10*Params!$E$7/12,0)</f>
        <v>200</v>
      </c>
      <c r="L127" s="44">
        <f>L$5*IF(L$4&gt;=Teams!$G$80,Teams!$G$43*Params!$E$6*Org!$B$10*Params!$E$7/12,0)</f>
        <v>200</v>
      </c>
      <c r="M127" s="44">
        <f>M$5*IF(M$4&gt;=Teams!$G$80,Teams!$G$43*Params!$E$6*Org!$B$10*Params!$E$7/12,0)</f>
        <v>200</v>
      </c>
      <c r="N127" s="44">
        <f>N$5*IF(N$4&gt;=Teams!$G$80,Teams!$G$43*Params!$E$6*Org!$B$10*Params!$E$7/12,0)</f>
        <v>200</v>
      </c>
      <c r="O127" s="44">
        <f>O$5*IF(O$4&gt;=Teams!$G$80,Teams!$G$43*Params!$E$6*Org!$B$10*Params!$E$7/12,0)</f>
        <v>200</v>
      </c>
      <c r="P127" s="44">
        <f>P$5*IF(P$4&gt;=Teams!$G$80,Teams!$G$43*Params!$E$6*Org!$B$10*Params!$E$7/12,0)</f>
        <v>200</v>
      </c>
      <c r="Q127" s="44">
        <f>Q$5*IF(Q$4&gt;=Teams!$G$80,Teams!$G$43*Params!$E$6*Org!$B$10*Params!$E$7/12,0)</f>
        <v>200</v>
      </c>
      <c r="R127" s="44">
        <f>R$5*IF(R$4&gt;=Teams!$G$80,Teams!$G$43*Params!$E$6*Org!$B$10*Params!$E$7/12,0)</f>
        <v>200</v>
      </c>
      <c r="S127" s="44">
        <f>S$5*IF(S$4&gt;=Teams!$G$80,Teams!$G$43*Params!$E$6*Org!$B$10*Params!$E$7/12,0)</f>
        <v>200</v>
      </c>
      <c r="T127" s="44">
        <f>T$5*IF(T$4&gt;=Teams!$G$80,Teams!$G$43*Params!$E$6*Org!$B$10*Params!$E$7/12,0)</f>
        <v>200</v>
      </c>
      <c r="U127" s="44">
        <f>U$5*IF(U$4&gt;=Teams!$G$80,Teams!$G$43*Params!$E$6*Org!$B$10*Params!$E$7/12,0)</f>
        <v>200</v>
      </c>
      <c r="V127" s="44">
        <f>V$5*IF(V$4&gt;=Teams!$G$80,Teams!$G$43*Params!$E$6*Org!$B$10*Params!$E$7/12,0)</f>
        <v>200</v>
      </c>
      <c r="W127" s="44">
        <f>W$5*IF(W$4&gt;=Teams!$G$80,Teams!$G$43*Params!$E$6*Org!$B$10*Params!$E$7/12,0)</f>
        <v>200</v>
      </c>
      <c r="X127" s="44">
        <f>X$5*IF(X$4&gt;=Teams!$G$80,Teams!$G$43*Params!$E$6*Org!$B$10*Params!$E$7/12,0)</f>
        <v>200</v>
      </c>
      <c r="Y127" s="44">
        <f>Y$5*IF(Y$4&gt;=Teams!$G$80,Teams!$G$43*Params!$E$6*Org!$B$10*Params!$E$7/12,0)</f>
        <v>200</v>
      </c>
      <c r="Z127" s="44">
        <f>Z$5*IF(Z$4&gt;=Teams!$G$80,Teams!$G$43*Params!$E$6*Org!$B$10*Params!$E$7/12,0)</f>
        <v>200</v>
      </c>
      <c r="AA127" s="44">
        <f>AA$5*IF(AA$4&gt;=Teams!$G$80,Teams!$G$43*Params!$E$6*Org!$B$10*Params!$E$7/12,0)</f>
        <v>200</v>
      </c>
      <c r="AB127" s="44">
        <f>AB$5*IF(AB$4&gt;=Teams!$G$80,Teams!$G$43*Params!$E$6*Org!$B$10*Params!$E$7/12,0)</f>
        <v>200</v>
      </c>
      <c r="AC127" s="44">
        <f>AC$5*IF(AC$4&gt;=Teams!$G$80,Teams!$G$43*Params!$E$6*Org!$B$10*Params!$E$7/12,0)</f>
        <v>200</v>
      </c>
      <c r="AD127" s="44">
        <f>AD$5*IF(AD$4&gt;=Teams!$G$80,Teams!$G$43*Params!$E$6*Org!$B$10*Params!$E$7/12,0)</f>
        <v>200</v>
      </c>
      <c r="AE127" s="44">
        <f>AE$5*IF(AE$4&gt;=Teams!$G$80,Teams!$G$43*Params!$E$6*Org!$B$10*Params!$E$7/12,0)</f>
        <v>200</v>
      </c>
      <c r="AF127" s="44">
        <f>AF$5*IF(AF$4&gt;=Teams!$G$80,Teams!$G$43*Params!$E$6*Org!$B$10*Params!$E$7/12,0)</f>
        <v>200</v>
      </c>
      <c r="AG127" s="44">
        <f>AG$5*IF(AG$4&gt;=Teams!$G$80,Teams!$G$43*Params!$E$6*Org!$B$10*Params!$E$7/12,0)</f>
        <v>200</v>
      </c>
      <c r="AH127" s="44">
        <f>AH$5*IF(AH$4&gt;=Teams!$G$80,Teams!$G$43*Params!$E$6*Org!$B$10*Params!$E$7/12,0)</f>
        <v>200</v>
      </c>
      <c r="AI127" s="44">
        <f>AI$5*IF(AI$4&gt;=Teams!$G$80,Teams!$G$43*Params!$E$6*Org!$B$10*Params!$E$7/12,0)</f>
        <v>200</v>
      </c>
      <c r="AJ127" s="44">
        <f>AJ$5*IF(AJ$4&gt;=Teams!$G$80,Teams!$G$43*Params!$E$6*Org!$B$10*Params!$E$7/12,0)</f>
        <v>200</v>
      </c>
      <c r="AK127" s="44">
        <f>AK$5*IF(AK$4&gt;=Teams!$G$80,Teams!$G$43*Params!$E$6*Org!$B$10*Params!$E$7/12,0)</f>
        <v>200</v>
      </c>
      <c r="AL127" s="44">
        <f>AL$5*IF(AL$4&gt;=Teams!$G$80,Teams!$G$43*Params!$E$6*Org!$B$10*Params!$E$7/12,0)</f>
        <v>200</v>
      </c>
      <c r="AM127" s="44">
        <f>AM$5*IF(AM$4&gt;=Teams!$G$80,Teams!$G$43*Params!$E$6*Org!$B$10*Params!$E$7/12,0)</f>
        <v>200</v>
      </c>
      <c r="AN127" s="44">
        <f>AN$5*IF(AN$4&gt;=Teams!$G$80,Teams!$G$43*Params!$E$6*Org!$B$10*Params!$E$7/12,0)</f>
        <v>200</v>
      </c>
      <c r="AO127" s="44">
        <f>AO$5*IF(AO$4&gt;=Teams!$G$80,Teams!$G$43*Params!$E$6*Org!$B$10*Params!$E$7/12,0)</f>
        <v>0</v>
      </c>
      <c r="AP127" s="44">
        <f>AP$5*IF(AP$4&gt;=Teams!$G$80,Teams!$G$43*Params!$E$6*Org!$B$10*Params!$E$7/12,0)</f>
        <v>0</v>
      </c>
      <c r="AQ127" s="44">
        <f>AQ$5*IF(AQ$4&gt;=Teams!$G$80,Teams!$G$43*Params!$E$6*Org!$B$10*Params!$E$7/12,0)</f>
        <v>0</v>
      </c>
      <c r="AR127" s="44">
        <f>AR$5*IF(AR$4&gt;=Teams!$G$80,Teams!$G$43*Params!$E$6*Org!$B$10*Params!$E$7/12,0)</f>
        <v>0</v>
      </c>
      <c r="AS127" s="44">
        <f>AS$5*IF(AS$4&gt;=Teams!$G$80,Teams!$G$43*Params!$E$6*Org!$B$10*Params!$E$7/12,0)</f>
        <v>0</v>
      </c>
      <c r="AT127" s="44">
        <f>AT$5*IF(AT$4&gt;=Teams!$G$80,Teams!$G$43*Params!$E$6*Org!$B$10*Params!$E$7/12,0)</f>
        <v>0</v>
      </c>
      <c r="AU127" s="44">
        <f>AU$5*IF(AU$4&gt;=Teams!$G$80,Teams!$G$43*Params!$E$6*Org!$B$10*Params!$E$7/12,0)</f>
        <v>0</v>
      </c>
      <c r="AV127" s="44">
        <f>AV$5*IF(AV$4&gt;=Teams!$G$80,Teams!$G$43*Params!$E$6*Org!$B$10*Params!$E$7/12,0)</f>
        <v>0</v>
      </c>
      <c r="AW127" s="44">
        <f>AW$5*IF(AW$4&gt;=Teams!$G$80,Teams!$G$43*Params!$E$6*Org!$B$10*Params!$E$7/12,0)</f>
        <v>0</v>
      </c>
      <c r="AX127" s="44">
        <f>AX$5*IF(AX$4&gt;=Teams!$G$80,Teams!$G$43*Params!$E$6*Org!$B$10*Params!$E$7/12,0)</f>
        <v>0</v>
      </c>
      <c r="AY127" s="44">
        <f>AY$5*IF(AY$4&gt;=Teams!$G$80,Teams!$G$43*Params!$E$6*Org!$B$10*Params!$E$7/12,0)</f>
        <v>0</v>
      </c>
      <c r="AZ127" s="44">
        <f>AZ$5*IF(AZ$4&gt;=Teams!$G$80,Teams!$G$43*Params!$E$6*Org!$B$10*Params!$E$7/12,0)</f>
        <v>0</v>
      </c>
      <c r="BA127" s="44">
        <f>BA$5*IF(BA$4&gt;=Teams!$G$80,Teams!$G$43*Params!$E$6*Org!$B$10*Params!$E$7/12,0)</f>
        <v>0</v>
      </c>
      <c r="BB127" s="44">
        <f>BB$5*IF(BB$4&gt;=Teams!$G$80,Teams!$G$43*Params!$E$6*Org!$B$10*Params!$E$7/12,0)</f>
        <v>0</v>
      </c>
      <c r="BC127" s="44">
        <f>BC$5*IF(BC$4&gt;=Teams!$G$80,Teams!$G$43*Params!$E$6*Org!$B$10*Params!$E$7/12,0)</f>
        <v>0</v>
      </c>
      <c r="BD127" s="44">
        <f>BD$5*IF(BD$4&gt;=Teams!$G$80,Teams!$G$43*Params!$E$6*Org!$B$10*Params!$E$7/12,0)</f>
        <v>0</v>
      </c>
      <c r="BE127" s="44">
        <f>BE$5*IF(BE$4&gt;=Teams!$G$80,Teams!$G$43*Params!$E$6*Org!$B$10*Params!$E$7/12,0)</f>
        <v>0</v>
      </c>
      <c r="BF127" s="44">
        <f>BF$5*IF(BF$4&gt;=Teams!$G$80,Teams!$G$43*Params!$E$6*Org!$B$10*Params!$E$7/12,0)</f>
        <v>0</v>
      </c>
      <c r="BG127" s="44">
        <f>BG$5*IF(BG$4&gt;=Teams!$G$80,Teams!$G$43*Params!$E$6*Org!$B$10*Params!$E$7/12,0)</f>
        <v>0</v>
      </c>
      <c r="BH127" s="44">
        <f>BH$5*IF(BH$4&gt;=Teams!$G$80,Teams!$G$43*Params!$E$6*Org!$B$10*Params!$E$7/12,0)</f>
        <v>0</v>
      </c>
      <c r="BI127" s="44">
        <f>BI$5*IF(BI$4&gt;=Teams!$G$80,Teams!$G$43*Params!$E$6*Org!$B$10*Params!$E$7/12,0)</f>
        <v>0</v>
      </c>
      <c r="BJ127" s="44">
        <f>BJ$5*IF(BJ$4&gt;=Teams!$G$80,Teams!$G$43*Params!$E$6*Org!$B$10*Params!$E$7/12,0)</f>
        <v>0</v>
      </c>
      <c r="BK127" s="44">
        <f>BK$5*IF(BK$4&gt;=Teams!$G$80,Teams!$G$43*Params!$E$6*Org!$B$10*Params!$E$7/12,0)</f>
        <v>0</v>
      </c>
      <c r="BL127" s="44">
        <f>BL$5*IF(BL$4&gt;=Teams!$G$80,Teams!$G$43*Params!$E$6*Org!$B$10*Params!$E$7/12,0)</f>
        <v>0</v>
      </c>
    </row>
    <row r="128" spans="1:64" x14ac:dyDescent="0.3">
      <c r="A128" s="8" t="s">
        <v>672</v>
      </c>
      <c r="B128" s="18" t="s">
        <v>169</v>
      </c>
      <c r="C128" s="44">
        <f t="shared" si="38"/>
        <v>210000</v>
      </c>
      <c r="E128" s="44">
        <f>E$5*IF(E$4&gt;=Teams!$G$80,Params!$E$23*Params!$E$24/60*(Org!$B$10/Org!$B$11)+Params!$E$27/12*Params!$E$13*Org!$B$10+E119/1000*Params!$E$28*Params!$E$29*(Org!$B$10/Org!$B$11),0)</f>
        <v>3777.7777777777778</v>
      </c>
      <c r="F128" s="44">
        <f>F$5*IF(F$4&gt;=Teams!$G$80,Params!$E$23*Params!$E$24/60*(Org!$B$10/Org!$B$11)+Params!$E$27/12*Params!$E$13*Org!$B$10+F119/1000*Params!$E$28*Params!$E$29*(Org!$B$10/Org!$B$11),0)</f>
        <v>4222.2222222222226</v>
      </c>
      <c r="G128" s="44">
        <f>G$5*IF(G$4&gt;=Teams!$G$80,Params!$E$23*Params!$E$24/60*(Org!$B$10/Org!$B$11)+Params!$E$27/12*Params!$E$13*Org!$B$10+G119/1000*Params!$E$28*Params!$E$29*(Org!$B$10/Org!$B$11),0)</f>
        <v>4800</v>
      </c>
      <c r="H128" s="44">
        <f>H$5*IF(H$4&gt;=Teams!$G$80,Params!$E$23*Params!$E$24/60*(Org!$B$10/Org!$B$11)+Params!$E$27/12*Params!$E$13*Org!$B$10+H119/1000*Params!$E$28*Params!$E$29*(Org!$B$10/Org!$B$11),0)</f>
        <v>5377.7777777777774</v>
      </c>
      <c r="I128" s="44">
        <f>I$5*IF(I$4&gt;=Teams!$G$80,Params!$E$23*Params!$E$24/60*(Org!$B$10/Org!$B$11)+Params!$E$27/12*Params!$E$13*Org!$B$10+I119/1000*Params!$E$28*Params!$E$29*(Org!$B$10/Org!$B$11),0)</f>
        <v>5822.2222222222226</v>
      </c>
      <c r="J128" s="44">
        <f>J$5*IF(J$4&gt;=Teams!$G$80,Params!$E$23*Params!$E$24/60*(Org!$B$10/Org!$B$11)+Params!$E$27/12*Params!$E$13*Org!$B$10+J119/1000*Params!$E$28*Params!$E$29*(Org!$B$10/Org!$B$11),0)</f>
        <v>6000</v>
      </c>
      <c r="K128" s="44">
        <f>K$5*IF(K$4&gt;=Teams!$G$80,Params!$E$23*Params!$E$24/60*(Org!$B$10/Org!$B$11)+Params!$E$27/12*Params!$E$13*Org!$B$10+K119/1000*Params!$E$28*Params!$E$29*(Org!$B$10/Org!$B$11),0)</f>
        <v>6000</v>
      </c>
      <c r="L128" s="44">
        <f>L$5*IF(L$4&gt;=Teams!$G$80,Params!$E$23*Params!$E$24/60*(Org!$B$10/Org!$B$11)+Params!$E$27/12*Params!$E$13*Org!$B$10+L119/1000*Params!$E$28*Params!$E$29*(Org!$B$10/Org!$B$11),0)</f>
        <v>6000</v>
      </c>
      <c r="M128" s="44">
        <f>M$5*IF(M$4&gt;=Teams!$G$80,Params!$E$23*Params!$E$24/60*(Org!$B$10/Org!$B$11)+Params!$E$27/12*Params!$E$13*Org!$B$10+M119/1000*Params!$E$28*Params!$E$29*(Org!$B$10/Org!$B$11),0)</f>
        <v>6000</v>
      </c>
      <c r="N128" s="44">
        <f>N$5*IF(N$4&gt;=Teams!$G$80,Params!$E$23*Params!$E$24/60*(Org!$B$10/Org!$B$11)+Params!$E$27/12*Params!$E$13*Org!$B$10+N119/1000*Params!$E$28*Params!$E$29*(Org!$B$10/Org!$B$11),0)</f>
        <v>6000</v>
      </c>
      <c r="O128" s="44">
        <f>O$5*IF(O$4&gt;=Teams!$G$80,Params!$E$23*Params!$E$24/60*(Org!$B$10/Org!$B$11)+Params!$E$27/12*Params!$E$13*Org!$B$10+O119/1000*Params!$E$28*Params!$E$29*(Org!$B$10/Org!$B$11),0)</f>
        <v>6000</v>
      </c>
      <c r="P128" s="44">
        <f>P$5*IF(P$4&gt;=Teams!$G$80,Params!$E$23*Params!$E$24/60*(Org!$B$10/Org!$B$11)+Params!$E$27/12*Params!$E$13*Org!$B$10+P119/1000*Params!$E$28*Params!$E$29*(Org!$B$10/Org!$B$11),0)</f>
        <v>6000</v>
      </c>
      <c r="Q128" s="44">
        <f>Q$5*IF(Q$4&gt;=Teams!$G$80,Params!$E$23*Params!$E$24/60*(Org!$B$10/Org!$B$11)+Params!$E$27/12*Params!$E$13*Org!$B$10+Q119/1000*Params!$E$28*Params!$E$29*(Org!$B$10/Org!$B$11),0)</f>
        <v>6000</v>
      </c>
      <c r="R128" s="44">
        <f>R$5*IF(R$4&gt;=Teams!$G$80,Params!$E$23*Params!$E$24/60*(Org!$B$10/Org!$B$11)+Params!$E$27/12*Params!$E$13*Org!$B$10+R119/1000*Params!$E$28*Params!$E$29*(Org!$B$10/Org!$B$11),0)</f>
        <v>6000</v>
      </c>
      <c r="S128" s="44">
        <f>S$5*IF(S$4&gt;=Teams!$G$80,Params!$E$23*Params!$E$24/60*(Org!$B$10/Org!$B$11)+Params!$E$27/12*Params!$E$13*Org!$B$10+S119/1000*Params!$E$28*Params!$E$29*(Org!$B$10/Org!$B$11),0)</f>
        <v>6000</v>
      </c>
      <c r="T128" s="44">
        <f>T$5*IF(T$4&gt;=Teams!$G$80,Params!$E$23*Params!$E$24/60*(Org!$B$10/Org!$B$11)+Params!$E$27/12*Params!$E$13*Org!$B$10+T119/1000*Params!$E$28*Params!$E$29*(Org!$B$10/Org!$B$11),0)</f>
        <v>6000</v>
      </c>
      <c r="U128" s="44">
        <f>U$5*IF(U$4&gt;=Teams!$G$80,Params!$E$23*Params!$E$24/60*(Org!$B$10/Org!$B$11)+Params!$E$27/12*Params!$E$13*Org!$B$10+U119/1000*Params!$E$28*Params!$E$29*(Org!$B$10/Org!$B$11),0)</f>
        <v>6000</v>
      </c>
      <c r="V128" s="44">
        <f>V$5*IF(V$4&gt;=Teams!$G$80,Params!$E$23*Params!$E$24/60*(Org!$B$10/Org!$B$11)+Params!$E$27/12*Params!$E$13*Org!$B$10+V119/1000*Params!$E$28*Params!$E$29*(Org!$B$10/Org!$B$11),0)</f>
        <v>6000</v>
      </c>
      <c r="W128" s="44">
        <f>W$5*IF(W$4&gt;=Teams!$G$80,Params!$E$23*Params!$E$24/60*(Org!$B$10/Org!$B$11)+Params!$E$27/12*Params!$E$13*Org!$B$10+W119/1000*Params!$E$28*Params!$E$29*(Org!$B$10/Org!$B$11),0)</f>
        <v>6000</v>
      </c>
      <c r="X128" s="44">
        <f>X$5*IF(X$4&gt;=Teams!$G$80,Params!$E$23*Params!$E$24/60*(Org!$B$10/Org!$B$11)+Params!$E$27/12*Params!$E$13*Org!$B$10+X119/1000*Params!$E$28*Params!$E$29*(Org!$B$10/Org!$B$11),0)</f>
        <v>6000</v>
      </c>
      <c r="Y128" s="44">
        <f>Y$5*IF(Y$4&gt;=Teams!$G$80,Params!$E$23*Params!$E$24/60*(Org!$B$10/Org!$B$11)+Params!$E$27/12*Params!$E$13*Org!$B$10+Y119/1000*Params!$E$28*Params!$E$29*(Org!$B$10/Org!$B$11),0)</f>
        <v>6000</v>
      </c>
      <c r="Z128" s="44">
        <f>Z$5*IF(Z$4&gt;=Teams!$G$80,Params!$E$23*Params!$E$24/60*(Org!$B$10/Org!$B$11)+Params!$E$27/12*Params!$E$13*Org!$B$10+Z119/1000*Params!$E$28*Params!$E$29*(Org!$B$10/Org!$B$11),0)</f>
        <v>6000</v>
      </c>
      <c r="AA128" s="44">
        <f>AA$5*IF(AA$4&gt;=Teams!$G$80,Params!$E$23*Params!$E$24/60*(Org!$B$10/Org!$B$11)+Params!$E$27/12*Params!$E$13*Org!$B$10+AA119/1000*Params!$E$28*Params!$E$29*(Org!$B$10/Org!$B$11),0)</f>
        <v>6000</v>
      </c>
      <c r="AB128" s="44">
        <f>AB$5*IF(AB$4&gt;=Teams!$G$80,Params!$E$23*Params!$E$24/60*(Org!$B$10/Org!$B$11)+Params!$E$27/12*Params!$E$13*Org!$B$10+AB119/1000*Params!$E$28*Params!$E$29*(Org!$B$10/Org!$B$11),0)</f>
        <v>6000</v>
      </c>
      <c r="AC128" s="44">
        <f>AC$5*IF(AC$4&gt;=Teams!$G$80,Params!$E$23*Params!$E$24/60*(Org!$B$10/Org!$B$11)+Params!$E$27/12*Params!$E$13*Org!$B$10+AC119/1000*Params!$E$28*Params!$E$29*(Org!$B$10/Org!$B$11),0)</f>
        <v>6000</v>
      </c>
      <c r="AD128" s="44">
        <f>AD$5*IF(AD$4&gt;=Teams!$G$80,Params!$E$23*Params!$E$24/60*(Org!$B$10/Org!$B$11)+Params!$E$27/12*Params!$E$13*Org!$B$10+AD119/1000*Params!$E$28*Params!$E$29*(Org!$B$10/Org!$B$11),0)</f>
        <v>6000</v>
      </c>
      <c r="AE128" s="44">
        <f>AE$5*IF(AE$4&gt;=Teams!$G$80,Params!$E$23*Params!$E$24/60*(Org!$B$10/Org!$B$11)+Params!$E$27/12*Params!$E$13*Org!$B$10+AE119/1000*Params!$E$28*Params!$E$29*(Org!$B$10/Org!$B$11),0)</f>
        <v>6000</v>
      </c>
      <c r="AF128" s="44">
        <f>AF$5*IF(AF$4&gt;=Teams!$G$80,Params!$E$23*Params!$E$24/60*(Org!$B$10/Org!$B$11)+Params!$E$27/12*Params!$E$13*Org!$B$10+AF119/1000*Params!$E$28*Params!$E$29*(Org!$B$10/Org!$B$11),0)</f>
        <v>6000</v>
      </c>
      <c r="AG128" s="44">
        <f>AG$5*IF(AG$4&gt;=Teams!$G$80,Params!$E$23*Params!$E$24/60*(Org!$B$10/Org!$B$11)+Params!$E$27/12*Params!$E$13*Org!$B$10+AG119/1000*Params!$E$28*Params!$E$29*(Org!$B$10/Org!$B$11),0)</f>
        <v>6000</v>
      </c>
      <c r="AH128" s="44">
        <f>AH$5*IF(AH$4&gt;=Teams!$G$80,Params!$E$23*Params!$E$24/60*(Org!$B$10/Org!$B$11)+Params!$E$27/12*Params!$E$13*Org!$B$10+AH119/1000*Params!$E$28*Params!$E$29*(Org!$B$10/Org!$B$11),0)</f>
        <v>6000</v>
      </c>
      <c r="AI128" s="44">
        <f>AI$5*IF(AI$4&gt;=Teams!$G$80,Params!$E$23*Params!$E$24/60*(Org!$B$10/Org!$B$11)+Params!$E$27/12*Params!$E$13*Org!$B$10+AI119/1000*Params!$E$28*Params!$E$29*(Org!$B$10/Org!$B$11),0)</f>
        <v>6000</v>
      </c>
      <c r="AJ128" s="44">
        <f>AJ$5*IF(AJ$4&gt;=Teams!$G$80,Params!$E$23*Params!$E$24/60*(Org!$B$10/Org!$B$11)+Params!$E$27/12*Params!$E$13*Org!$B$10+AJ119/1000*Params!$E$28*Params!$E$29*(Org!$B$10/Org!$B$11),0)</f>
        <v>6000</v>
      </c>
      <c r="AK128" s="44">
        <f>AK$5*IF(AK$4&gt;=Teams!$G$80,Params!$E$23*Params!$E$24/60*(Org!$B$10/Org!$B$11)+Params!$E$27/12*Params!$E$13*Org!$B$10+AK119/1000*Params!$E$28*Params!$E$29*(Org!$B$10/Org!$B$11),0)</f>
        <v>6000</v>
      </c>
      <c r="AL128" s="44">
        <f>AL$5*IF(AL$4&gt;=Teams!$G$80,Params!$E$23*Params!$E$24/60*(Org!$B$10/Org!$B$11)+Params!$E$27/12*Params!$E$13*Org!$B$10+AL119/1000*Params!$E$28*Params!$E$29*(Org!$B$10/Org!$B$11),0)</f>
        <v>6000</v>
      </c>
      <c r="AM128" s="44">
        <f>AM$5*IF(AM$4&gt;=Teams!$G$80,Params!$E$23*Params!$E$24/60*(Org!$B$10/Org!$B$11)+Params!$E$27/12*Params!$E$13*Org!$B$10+AM119/1000*Params!$E$28*Params!$E$29*(Org!$B$10/Org!$B$11),0)</f>
        <v>6000</v>
      </c>
      <c r="AN128" s="44">
        <f>AN$5*IF(AN$4&gt;=Teams!$G$80,Params!$E$23*Params!$E$24/60*(Org!$B$10/Org!$B$11)+Params!$E$27/12*Params!$E$13*Org!$B$10+AN119/1000*Params!$E$28*Params!$E$29*(Org!$B$10/Org!$B$11),0)</f>
        <v>6000</v>
      </c>
      <c r="AO128" s="44">
        <f>AO$5*IF(AO$4&gt;=Teams!$G$80,Params!$E$23*Params!$E$24/60*(Org!$B$10/Org!$B$11)+Params!$E$27/12*Params!$E$13*Org!$B$10+AO119/1000*Params!$E$28*Params!$E$29*(Org!$B$10/Org!$B$11),0)</f>
        <v>0</v>
      </c>
      <c r="AP128" s="44">
        <f>AP$5*IF(AP$4&gt;=Teams!$G$80,Params!$E$23*Params!$E$24/60*(Org!$B$10/Org!$B$11)+Params!$E$27/12*Params!$E$13*Org!$B$10+AP119/1000*Params!$E$28*Params!$E$29*(Org!$B$10/Org!$B$11),0)</f>
        <v>0</v>
      </c>
      <c r="AQ128" s="44">
        <f>AQ$5*IF(AQ$4&gt;=Teams!$G$80,Params!$E$23*Params!$E$24/60*(Org!$B$10/Org!$B$11)+Params!$E$27/12*Params!$E$13*Org!$B$10+AQ119/1000*Params!$E$28*Params!$E$29*(Org!$B$10/Org!$B$11),0)</f>
        <v>0</v>
      </c>
      <c r="AR128" s="44">
        <f>AR$5*IF(AR$4&gt;=Teams!$G$80,Params!$E$23*Params!$E$24/60*(Org!$B$10/Org!$B$11)+Params!$E$27/12*Params!$E$13*Org!$B$10+AR119/1000*Params!$E$28*Params!$E$29*(Org!$B$10/Org!$B$11),0)</f>
        <v>0</v>
      </c>
      <c r="AS128" s="44">
        <f>AS$5*IF(AS$4&gt;=Teams!$G$80,Params!$E$23*Params!$E$24/60*(Org!$B$10/Org!$B$11)+Params!$E$27/12*Params!$E$13*Org!$B$10+AS119/1000*Params!$E$28*Params!$E$29*(Org!$B$10/Org!$B$11),0)</f>
        <v>0</v>
      </c>
      <c r="AT128" s="44">
        <f>AT$5*IF(AT$4&gt;=Teams!$G$80,Params!$E$23*Params!$E$24/60*(Org!$B$10/Org!$B$11)+Params!$E$27/12*Params!$E$13*Org!$B$10+AT119/1000*Params!$E$28*Params!$E$29*(Org!$B$10/Org!$B$11),0)</f>
        <v>0</v>
      </c>
      <c r="AU128" s="44">
        <f>AU$5*IF(AU$4&gt;=Teams!$G$80,Params!$E$23*Params!$E$24/60*(Org!$B$10/Org!$B$11)+Params!$E$27/12*Params!$E$13*Org!$B$10+AU119/1000*Params!$E$28*Params!$E$29*(Org!$B$10/Org!$B$11),0)</f>
        <v>0</v>
      </c>
      <c r="AV128" s="44">
        <f>AV$5*IF(AV$4&gt;=Teams!$G$80,Params!$E$23*Params!$E$24/60*(Org!$B$10/Org!$B$11)+Params!$E$27/12*Params!$E$13*Org!$B$10+AV119/1000*Params!$E$28*Params!$E$29*(Org!$B$10/Org!$B$11),0)</f>
        <v>0</v>
      </c>
      <c r="AW128" s="44">
        <f>AW$5*IF(AW$4&gt;=Teams!$G$80,Params!$E$23*Params!$E$24/60*(Org!$B$10/Org!$B$11)+Params!$E$27/12*Params!$E$13*Org!$B$10+AW119/1000*Params!$E$28*Params!$E$29*(Org!$B$10/Org!$B$11),0)</f>
        <v>0</v>
      </c>
      <c r="AX128" s="44">
        <f>AX$5*IF(AX$4&gt;=Teams!$G$80,Params!$E$23*Params!$E$24/60*(Org!$B$10/Org!$B$11)+Params!$E$27/12*Params!$E$13*Org!$B$10+AX119/1000*Params!$E$28*Params!$E$29*(Org!$B$10/Org!$B$11),0)</f>
        <v>0</v>
      </c>
      <c r="AY128" s="44">
        <f>AY$5*IF(AY$4&gt;=Teams!$G$80,Params!$E$23*Params!$E$24/60*(Org!$B$10/Org!$B$11)+Params!$E$27/12*Params!$E$13*Org!$B$10+AY119/1000*Params!$E$28*Params!$E$29*(Org!$B$10/Org!$B$11),0)</f>
        <v>0</v>
      </c>
      <c r="AZ128" s="44">
        <f>AZ$5*IF(AZ$4&gt;=Teams!$G$80,Params!$E$23*Params!$E$24/60*(Org!$B$10/Org!$B$11)+Params!$E$27/12*Params!$E$13*Org!$B$10+AZ119/1000*Params!$E$28*Params!$E$29*(Org!$B$10/Org!$B$11),0)</f>
        <v>0</v>
      </c>
      <c r="BA128" s="44">
        <f>BA$5*IF(BA$4&gt;=Teams!$G$80,Params!$E$23*Params!$E$24/60*(Org!$B$10/Org!$B$11)+Params!$E$27/12*Params!$E$13*Org!$B$10+BA119/1000*Params!$E$28*Params!$E$29*(Org!$B$10/Org!$B$11),0)</f>
        <v>0</v>
      </c>
      <c r="BB128" s="44">
        <f>BB$5*IF(BB$4&gt;=Teams!$G$80,Params!$E$23*Params!$E$24/60*(Org!$B$10/Org!$B$11)+Params!$E$27/12*Params!$E$13*Org!$B$10+BB119/1000*Params!$E$28*Params!$E$29*(Org!$B$10/Org!$B$11),0)</f>
        <v>0</v>
      </c>
      <c r="BC128" s="44">
        <f>BC$5*IF(BC$4&gt;=Teams!$G$80,Params!$E$23*Params!$E$24/60*(Org!$B$10/Org!$B$11)+Params!$E$27/12*Params!$E$13*Org!$B$10+BC119/1000*Params!$E$28*Params!$E$29*(Org!$B$10/Org!$B$11),0)</f>
        <v>0</v>
      </c>
      <c r="BD128" s="44">
        <f>BD$5*IF(BD$4&gt;=Teams!$G$80,Params!$E$23*Params!$E$24/60*(Org!$B$10/Org!$B$11)+Params!$E$27/12*Params!$E$13*Org!$B$10+BD119/1000*Params!$E$28*Params!$E$29*(Org!$B$10/Org!$B$11),0)</f>
        <v>0</v>
      </c>
      <c r="BE128" s="44">
        <f>BE$5*IF(BE$4&gt;=Teams!$G$80,Params!$E$23*Params!$E$24/60*(Org!$B$10/Org!$B$11)+Params!$E$27/12*Params!$E$13*Org!$B$10+BE119/1000*Params!$E$28*Params!$E$29*(Org!$B$10/Org!$B$11),0)</f>
        <v>0</v>
      </c>
      <c r="BF128" s="44">
        <f>BF$5*IF(BF$4&gt;=Teams!$G$80,Params!$E$23*Params!$E$24/60*(Org!$B$10/Org!$B$11)+Params!$E$27/12*Params!$E$13*Org!$B$10+BF119/1000*Params!$E$28*Params!$E$29*(Org!$B$10/Org!$B$11),0)</f>
        <v>0</v>
      </c>
      <c r="BG128" s="44">
        <f>BG$5*IF(BG$4&gt;=Teams!$G$80,Params!$E$23*Params!$E$24/60*(Org!$B$10/Org!$B$11)+Params!$E$27/12*Params!$E$13*Org!$B$10+BG119/1000*Params!$E$28*Params!$E$29*(Org!$B$10/Org!$B$11),0)</f>
        <v>0</v>
      </c>
      <c r="BH128" s="44">
        <f>BH$5*IF(BH$4&gt;=Teams!$G$80,Params!$E$23*Params!$E$24/60*(Org!$B$10/Org!$B$11)+Params!$E$27/12*Params!$E$13*Org!$B$10+BH119/1000*Params!$E$28*Params!$E$29*(Org!$B$10/Org!$B$11),0)</f>
        <v>0</v>
      </c>
      <c r="BI128" s="44">
        <f>BI$5*IF(BI$4&gt;=Teams!$G$80,Params!$E$23*Params!$E$24/60*(Org!$B$10/Org!$B$11)+Params!$E$27/12*Params!$E$13*Org!$B$10+BI119/1000*Params!$E$28*Params!$E$29*(Org!$B$10/Org!$B$11),0)</f>
        <v>0</v>
      </c>
      <c r="BJ128" s="44">
        <f>BJ$5*IF(BJ$4&gt;=Teams!$G$80,Params!$E$23*Params!$E$24/60*(Org!$B$10/Org!$B$11)+Params!$E$27/12*Params!$E$13*Org!$B$10+BJ119/1000*Params!$E$28*Params!$E$29*(Org!$B$10/Org!$B$11),0)</f>
        <v>0</v>
      </c>
      <c r="BK128" s="44">
        <f>BK$5*IF(BK$4&gt;=Teams!$G$80,Params!$E$23*Params!$E$24/60*(Org!$B$10/Org!$B$11)+Params!$E$27/12*Params!$E$13*Org!$B$10+BK119/1000*Params!$E$28*Params!$E$29*(Org!$B$10/Org!$B$11),0)</f>
        <v>0</v>
      </c>
      <c r="BL128" s="44">
        <f>BL$5*IF(BL$4&gt;=Teams!$G$80,Params!$E$23*Params!$E$24/60*(Org!$B$10/Org!$B$11)+Params!$E$27/12*Params!$E$13*Org!$B$10+BL119/1000*Params!$E$28*Params!$E$29*(Org!$B$10/Org!$B$11),0)</f>
        <v>0</v>
      </c>
    </row>
    <row r="129" spans="1:64" x14ac:dyDescent="0.3">
      <c r="A129" s="8" t="s">
        <v>673</v>
      </c>
      <c r="B129" s="18" t="s">
        <v>604</v>
      </c>
      <c r="C129" s="44">
        <f t="shared" si="38"/>
        <v>12800</v>
      </c>
      <c r="E129" s="44">
        <f>E$5*IF(AND(E$4&gt;Teams!$G$80,MOD(E$4-Teams!$G$80,MAX(1,ROUND(Params!$E$25,0)))=0),(Params!$E$26+Params!$E$17*Params!$E$16)*Org!$B$10,0)</f>
        <v>0</v>
      </c>
      <c r="F129" s="44">
        <f>F$5*IF(AND(F$4&gt;Teams!$G$80,MOD(F$4-Teams!$G$80,MAX(1,ROUND(Params!$E$25,0)))=0),(Params!$E$26+Params!$E$17*Params!$E$16)*Org!$B$10,0)</f>
        <v>0</v>
      </c>
      <c r="G129" s="44">
        <f>G$5*IF(AND(G$4&gt;Teams!$G$80,MOD(G$4-Teams!$G$80,MAX(1,ROUND(Params!$E$25,0)))=0),(Params!$E$26+Params!$E$17*Params!$E$16)*Org!$B$10,0)</f>
        <v>0</v>
      </c>
      <c r="H129" s="44">
        <f>H$5*IF(AND(H$4&gt;Teams!$G$80,MOD(H$4-Teams!$G$80,MAX(1,ROUND(Params!$E$25,0)))=0),(Params!$E$26+Params!$E$17*Params!$E$16)*Org!$B$10,0)</f>
        <v>0</v>
      </c>
      <c r="I129" s="44">
        <f>I$5*IF(AND(I$4&gt;Teams!$G$80,MOD(I$4-Teams!$G$80,MAX(1,ROUND(Params!$E$25,0)))=0),(Params!$E$26+Params!$E$17*Params!$E$16)*Org!$B$10,0)</f>
        <v>0</v>
      </c>
      <c r="J129" s="44">
        <f>J$5*IF(AND(J$4&gt;Teams!$G$80,MOD(J$4-Teams!$G$80,MAX(1,ROUND(Params!$E$25,0)))=0),(Params!$E$26+Params!$E$17*Params!$E$16)*Org!$B$10,0)</f>
        <v>0</v>
      </c>
      <c r="K129" s="44">
        <f>K$5*IF(AND(K$4&gt;Teams!$G$80,MOD(K$4-Teams!$G$80,MAX(1,ROUND(Params!$E$25,0)))=0),(Params!$E$26+Params!$E$17*Params!$E$16)*Org!$B$10,0)</f>
        <v>0</v>
      </c>
      <c r="L129" s="44">
        <f>L$5*IF(AND(L$4&gt;Teams!$G$80,MOD(L$4-Teams!$G$80,MAX(1,ROUND(Params!$E$25,0)))=0),(Params!$E$26+Params!$E$17*Params!$E$16)*Org!$B$10,0)</f>
        <v>0</v>
      </c>
      <c r="M129" s="44">
        <f>M$5*IF(AND(M$4&gt;Teams!$G$80,MOD(M$4-Teams!$G$80,MAX(1,ROUND(Params!$E$25,0)))=0),(Params!$E$26+Params!$E$17*Params!$E$16)*Org!$B$10,0)</f>
        <v>0</v>
      </c>
      <c r="N129" s="44">
        <f>N$5*IF(AND(N$4&gt;Teams!$G$80,MOD(N$4-Teams!$G$80,MAX(1,ROUND(Params!$E$25,0)))=0),(Params!$E$26+Params!$E$17*Params!$E$16)*Org!$B$10,0)</f>
        <v>0</v>
      </c>
      <c r="O129" s="44">
        <f>O$5*IF(AND(O$4&gt;Teams!$G$80,MOD(O$4-Teams!$G$80,MAX(1,ROUND(Params!$E$25,0)))=0),(Params!$E$26+Params!$E$17*Params!$E$16)*Org!$B$10,0)</f>
        <v>0</v>
      </c>
      <c r="P129" s="44">
        <f>P$5*IF(AND(P$4&gt;Teams!$G$80,MOD(P$4-Teams!$G$80,MAX(1,ROUND(Params!$E$25,0)))=0),(Params!$E$26+Params!$E$17*Params!$E$16)*Org!$B$10,0)</f>
        <v>0</v>
      </c>
      <c r="Q129" s="44">
        <f>Q$5*IF(AND(Q$4&gt;Teams!$G$80,MOD(Q$4-Teams!$G$80,MAX(1,ROUND(Params!$E$25,0)))=0),(Params!$E$26+Params!$E$17*Params!$E$16)*Org!$B$10,0)</f>
        <v>0</v>
      </c>
      <c r="R129" s="44">
        <f>R$5*IF(AND(R$4&gt;Teams!$G$80,MOD(R$4-Teams!$G$80,MAX(1,ROUND(Params!$E$25,0)))=0),(Params!$E$26+Params!$E$17*Params!$E$16)*Org!$B$10,0)</f>
        <v>0</v>
      </c>
      <c r="S129" s="44">
        <f>S$5*IF(AND(S$4&gt;Teams!$G$80,MOD(S$4-Teams!$G$80,MAX(1,ROUND(Params!$E$25,0)))=0),(Params!$E$26+Params!$E$17*Params!$E$16)*Org!$B$10,0)</f>
        <v>0</v>
      </c>
      <c r="T129" s="44">
        <f>T$5*IF(AND(T$4&gt;Teams!$G$80,MOD(T$4-Teams!$G$80,MAX(1,ROUND(Params!$E$25,0)))=0),(Params!$E$26+Params!$E$17*Params!$E$16)*Org!$B$10,0)</f>
        <v>6400</v>
      </c>
      <c r="U129" s="44">
        <f>U$5*IF(AND(U$4&gt;Teams!$G$80,MOD(U$4-Teams!$G$80,MAX(1,ROUND(Params!$E$25,0)))=0),(Params!$E$26+Params!$E$17*Params!$E$16)*Org!$B$10,0)</f>
        <v>0</v>
      </c>
      <c r="V129" s="44">
        <f>V$5*IF(AND(V$4&gt;Teams!$G$80,MOD(V$4-Teams!$G$80,MAX(1,ROUND(Params!$E$25,0)))=0),(Params!$E$26+Params!$E$17*Params!$E$16)*Org!$B$10,0)</f>
        <v>0</v>
      </c>
      <c r="W129" s="44">
        <f>W$5*IF(AND(W$4&gt;Teams!$G$80,MOD(W$4-Teams!$G$80,MAX(1,ROUND(Params!$E$25,0)))=0),(Params!$E$26+Params!$E$17*Params!$E$16)*Org!$B$10,0)</f>
        <v>0</v>
      </c>
      <c r="X129" s="44">
        <f>X$5*IF(AND(X$4&gt;Teams!$G$80,MOD(X$4-Teams!$G$80,MAX(1,ROUND(Params!$E$25,0)))=0),(Params!$E$26+Params!$E$17*Params!$E$16)*Org!$B$10,0)</f>
        <v>0</v>
      </c>
      <c r="Y129" s="44">
        <f>Y$5*IF(AND(Y$4&gt;Teams!$G$80,MOD(Y$4-Teams!$G$80,MAX(1,ROUND(Params!$E$25,0)))=0),(Params!$E$26+Params!$E$17*Params!$E$16)*Org!$B$10,0)</f>
        <v>0</v>
      </c>
      <c r="Z129" s="44">
        <f>Z$5*IF(AND(Z$4&gt;Teams!$G$80,MOD(Z$4-Teams!$G$80,MAX(1,ROUND(Params!$E$25,0)))=0),(Params!$E$26+Params!$E$17*Params!$E$16)*Org!$B$10,0)</f>
        <v>0</v>
      </c>
      <c r="AA129" s="44">
        <f>AA$5*IF(AND(AA$4&gt;Teams!$G$80,MOD(AA$4-Teams!$G$80,MAX(1,ROUND(Params!$E$25,0)))=0),(Params!$E$26+Params!$E$17*Params!$E$16)*Org!$B$10,0)</f>
        <v>0</v>
      </c>
      <c r="AB129" s="44">
        <f>AB$5*IF(AND(AB$4&gt;Teams!$G$80,MOD(AB$4-Teams!$G$80,MAX(1,ROUND(Params!$E$25,0)))=0),(Params!$E$26+Params!$E$17*Params!$E$16)*Org!$B$10,0)</f>
        <v>0</v>
      </c>
      <c r="AC129" s="44">
        <f>AC$5*IF(AND(AC$4&gt;Teams!$G$80,MOD(AC$4-Teams!$G$80,MAX(1,ROUND(Params!$E$25,0)))=0),(Params!$E$26+Params!$E$17*Params!$E$16)*Org!$B$10,0)</f>
        <v>0</v>
      </c>
      <c r="AD129" s="44">
        <f>AD$5*IF(AND(AD$4&gt;Teams!$G$80,MOD(AD$4-Teams!$G$80,MAX(1,ROUND(Params!$E$25,0)))=0),(Params!$E$26+Params!$E$17*Params!$E$16)*Org!$B$10,0)</f>
        <v>0</v>
      </c>
      <c r="AE129" s="44">
        <f>AE$5*IF(AND(AE$4&gt;Teams!$G$80,MOD(AE$4-Teams!$G$80,MAX(1,ROUND(Params!$E$25,0)))=0),(Params!$E$26+Params!$E$17*Params!$E$16)*Org!$B$10,0)</f>
        <v>0</v>
      </c>
      <c r="AF129" s="44">
        <f>AF$5*IF(AND(AF$4&gt;Teams!$G$80,MOD(AF$4-Teams!$G$80,MAX(1,ROUND(Params!$E$25,0)))=0),(Params!$E$26+Params!$E$17*Params!$E$16)*Org!$B$10,0)</f>
        <v>0</v>
      </c>
      <c r="AG129" s="44">
        <f>AG$5*IF(AND(AG$4&gt;Teams!$G$80,MOD(AG$4-Teams!$G$80,MAX(1,ROUND(Params!$E$25,0)))=0),(Params!$E$26+Params!$E$17*Params!$E$16)*Org!$B$10,0)</f>
        <v>0</v>
      </c>
      <c r="AH129" s="44">
        <f>AH$5*IF(AND(AH$4&gt;Teams!$G$80,MOD(AH$4-Teams!$G$80,MAX(1,ROUND(Params!$E$25,0)))=0),(Params!$E$26+Params!$E$17*Params!$E$16)*Org!$B$10,0)</f>
        <v>0</v>
      </c>
      <c r="AI129" s="44">
        <f>AI$5*IF(AND(AI$4&gt;Teams!$G$80,MOD(AI$4-Teams!$G$80,MAX(1,ROUND(Params!$E$25,0)))=0),(Params!$E$26+Params!$E$17*Params!$E$16)*Org!$B$10,0)</f>
        <v>6400</v>
      </c>
      <c r="AJ129" s="44">
        <f>AJ$5*IF(AND(AJ$4&gt;Teams!$G$80,MOD(AJ$4-Teams!$G$80,MAX(1,ROUND(Params!$E$25,0)))=0),(Params!$E$26+Params!$E$17*Params!$E$16)*Org!$B$10,0)</f>
        <v>0</v>
      </c>
      <c r="AK129" s="44">
        <f>AK$5*IF(AND(AK$4&gt;Teams!$G$80,MOD(AK$4-Teams!$G$80,MAX(1,ROUND(Params!$E$25,0)))=0),(Params!$E$26+Params!$E$17*Params!$E$16)*Org!$B$10,0)</f>
        <v>0</v>
      </c>
      <c r="AL129" s="44">
        <f>AL$5*IF(AND(AL$4&gt;Teams!$G$80,MOD(AL$4-Teams!$G$80,MAX(1,ROUND(Params!$E$25,0)))=0),(Params!$E$26+Params!$E$17*Params!$E$16)*Org!$B$10,0)</f>
        <v>0</v>
      </c>
      <c r="AM129" s="44">
        <f>AM$5*IF(AND(AM$4&gt;Teams!$G$80,MOD(AM$4-Teams!$G$80,MAX(1,ROUND(Params!$E$25,0)))=0),(Params!$E$26+Params!$E$17*Params!$E$16)*Org!$B$10,0)</f>
        <v>0</v>
      </c>
      <c r="AN129" s="44">
        <f>AN$5*IF(AND(AN$4&gt;Teams!$G$80,MOD(AN$4-Teams!$G$80,MAX(1,ROUND(Params!$E$25,0)))=0),(Params!$E$26+Params!$E$17*Params!$E$16)*Org!$B$10,0)</f>
        <v>0</v>
      </c>
      <c r="AO129" s="44">
        <f>AO$5*IF(AND(AO$4&gt;Teams!$G$80,MOD(AO$4-Teams!$G$80,MAX(1,ROUND(Params!$E$25,0)))=0),(Params!$E$26+Params!$E$17*Params!$E$16)*Org!$B$10,0)</f>
        <v>0</v>
      </c>
      <c r="AP129" s="44">
        <f>AP$5*IF(AND(AP$4&gt;Teams!$G$80,MOD(AP$4-Teams!$G$80,MAX(1,ROUND(Params!$E$25,0)))=0),(Params!$E$26+Params!$E$17*Params!$E$16)*Org!$B$10,0)</f>
        <v>0</v>
      </c>
      <c r="AQ129" s="44">
        <f>AQ$5*IF(AND(AQ$4&gt;Teams!$G$80,MOD(AQ$4-Teams!$G$80,MAX(1,ROUND(Params!$E$25,0)))=0),(Params!$E$26+Params!$E$17*Params!$E$16)*Org!$B$10,0)</f>
        <v>0</v>
      </c>
      <c r="AR129" s="44">
        <f>AR$5*IF(AND(AR$4&gt;Teams!$G$80,MOD(AR$4-Teams!$G$80,MAX(1,ROUND(Params!$E$25,0)))=0),(Params!$E$26+Params!$E$17*Params!$E$16)*Org!$B$10,0)</f>
        <v>0</v>
      </c>
      <c r="AS129" s="44">
        <f>AS$5*IF(AND(AS$4&gt;Teams!$G$80,MOD(AS$4-Teams!$G$80,MAX(1,ROUND(Params!$E$25,0)))=0),(Params!$E$26+Params!$E$17*Params!$E$16)*Org!$B$10,0)</f>
        <v>0</v>
      </c>
      <c r="AT129" s="44">
        <f>AT$5*IF(AND(AT$4&gt;Teams!$G$80,MOD(AT$4-Teams!$G$80,MAX(1,ROUND(Params!$E$25,0)))=0),(Params!$E$26+Params!$E$17*Params!$E$16)*Org!$B$10,0)</f>
        <v>0</v>
      </c>
      <c r="AU129" s="44">
        <f>AU$5*IF(AND(AU$4&gt;Teams!$G$80,MOD(AU$4-Teams!$G$80,MAX(1,ROUND(Params!$E$25,0)))=0),(Params!$E$26+Params!$E$17*Params!$E$16)*Org!$B$10,0)</f>
        <v>0</v>
      </c>
      <c r="AV129" s="44">
        <f>AV$5*IF(AND(AV$4&gt;Teams!$G$80,MOD(AV$4-Teams!$G$80,MAX(1,ROUND(Params!$E$25,0)))=0),(Params!$E$26+Params!$E$17*Params!$E$16)*Org!$B$10,0)</f>
        <v>0</v>
      </c>
      <c r="AW129" s="44">
        <f>AW$5*IF(AND(AW$4&gt;Teams!$G$80,MOD(AW$4-Teams!$G$80,MAX(1,ROUND(Params!$E$25,0)))=0),(Params!$E$26+Params!$E$17*Params!$E$16)*Org!$B$10,0)</f>
        <v>0</v>
      </c>
      <c r="AX129" s="44">
        <f>AX$5*IF(AND(AX$4&gt;Teams!$G$80,MOD(AX$4-Teams!$G$80,MAX(1,ROUND(Params!$E$25,0)))=0),(Params!$E$26+Params!$E$17*Params!$E$16)*Org!$B$10,0)</f>
        <v>0</v>
      </c>
      <c r="AY129" s="44">
        <f>AY$5*IF(AND(AY$4&gt;Teams!$G$80,MOD(AY$4-Teams!$G$80,MAX(1,ROUND(Params!$E$25,0)))=0),(Params!$E$26+Params!$E$17*Params!$E$16)*Org!$B$10,0)</f>
        <v>0</v>
      </c>
      <c r="AZ129" s="44">
        <f>AZ$5*IF(AND(AZ$4&gt;Teams!$G$80,MOD(AZ$4-Teams!$G$80,MAX(1,ROUND(Params!$E$25,0)))=0),(Params!$E$26+Params!$E$17*Params!$E$16)*Org!$B$10,0)</f>
        <v>0</v>
      </c>
      <c r="BA129" s="44">
        <f>BA$5*IF(AND(BA$4&gt;Teams!$G$80,MOD(BA$4-Teams!$G$80,MAX(1,ROUND(Params!$E$25,0)))=0),(Params!$E$26+Params!$E$17*Params!$E$16)*Org!$B$10,0)</f>
        <v>0</v>
      </c>
      <c r="BB129" s="44">
        <f>BB$5*IF(AND(BB$4&gt;Teams!$G$80,MOD(BB$4-Teams!$G$80,MAX(1,ROUND(Params!$E$25,0)))=0),(Params!$E$26+Params!$E$17*Params!$E$16)*Org!$B$10,0)</f>
        <v>0</v>
      </c>
      <c r="BC129" s="44">
        <f>BC$5*IF(AND(BC$4&gt;Teams!$G$80,MOD(BC$4-Teams!$G$80,MAX(1,ROUND(Params!$E$25,0)))=0),(Params!$E$26+Params!$E$17*Params!$E$16)*Org!$B$10,0)</f>
        <v>0</v>
      </c>
      <c r="BD129" s="44">
        <f>BD$5*IF(AND(BD$4&gt;Teams!$G$80,MOD(BD$4-Teams!$G$80,MAX(1,ROUND(Params!$E$25,0)))=0),(Params!$E$26+Params!$E$17*Params!$E$16)*Org!$B$10,0)</f>
        <v>0</v>
      </c>
      <c r="BE129" s="44">
        <f>BE$5*IF(AND(BE$4&gt;Teams!$G$80,MOD(BE$4-Teams!$G$80,MAX(1,ROUND(Params!$E$25,0)))=0),(Params!$E$26+Params!$E$17*Params!$E$16)*Org!$B$10,0)</f>
        <v>0</v>
      </c>
      <c r="BF129" s="44">
        <f>BF$5*IF(AND(BF$4&gt;Teams!$G$80,MOD(BF$4-Teams!$G$80,MAX(1,ROUND(Params!$E$25,0)))=0),(Params!$E$26+Params!$E$17*Params!$E$16)*Org!$B$10,0)</f>
        <v>0</v>
      </c>
      <c r="BG129" s="44">
        <f>BG$5*IF(AND(BG$4&gt;Teams!$G$80,MOD(BG$4-Teams!$G$80,MAX(1,ROUND(Params!$E$25,0)))=0),(Params!$E$26+Params!$E$17*Params!$E$16)*Org!$B$10,0)</f>
        <v>0</v>
      </c>
      <c r="BH129" s="44">
        <f>BH$5*IF(AND(BH$4&gt;Teams!$G$80,MOD(BH$4-Teams!$G$80,MAX(1,ROUND(Params!$E$25,0)))=0),(Params!$E$26+Params!$E$17*Params!$E$16)*Org!$B$10,0)</f>
        <v>0</v>
      </c>
      <c r="BI129" s="44">
        <f>BI$5*IF(AND(BI$4&gt;Teams!$G$80,MOD(BI$4-Teams!$G$80,MAX(1,ROUND(Params!$E$25,0)))=0),(Params!$E$26+Params!$E$17*Params!$E$16)*Org!$B$10,0)</f>
        <v>0</v>
      </c>
      <c r="BJ129" s="44">
        <f>BJ$5*IF(AND(BJ$4&gt;Teams!$G$80,MOD(BJ$4-Teams!$G$80,MAX(1,ROUND(Params!$E$25,0)))=0),(Params!$E$26+Params!$E$17*Params!$E$16)*Org!$B$10,0)</f>
        <v>0</v>
      </c>
      <c r="BK129" s="44">
        <f>BK$5*IF(AND(BK$4&gt;Teams!$G$80,MOD(BK$4-Teams!$G$80,MAX(1,ROUND(Params!$E$25,0)))=0),(Params!$E$26+Params!$E$17*Params!$E$16)*Org!$B$10,0)</f>
        <v>0</v>
      </c>
      <c r="BL129" s="44">
        <f>BL$5*IF(AND(BL$4&gt;Teams!$G$80,MOD(BL$4-Teams!$G$80,MAX(1,ROUND(Params!$E$25,0)))=0),(Params!$E$26+Params!$E$17*Params!$E$16)*Org!$B$10,0)</f>
        <v>0</v>
      </c>
    </row>
    <row r="130" spans="1:64" x14ac:dyDescent="0.3">
      <c r="A130" s="8" t="s">
        <v>674</v>
      </c>
      <c r="B130" s="18" t="s">
        <v>604</v>
      </c>
      <c r="C130" s="44">
        <f t="shared" si="38"/>
        <v>282746.70000000019</v>
      </c>
      <c r="E130" s="44">
        <f>E$5*E120*MIN(1,Teams!$G$41*Params!$E$35)*Params!$E$36/60*Teams!$G$42</f>
        <v>625.20000000000005</v>
      </c>
      <c r="F130" s="44">
        <f>F$5*F120*MIN(1,Teams!$G$41*Params!$E$35)*Params!$E$36/60*Teams!$G$42</f>
        <v>2188.1999999999998</v>
      </c>
      <c r="G130" s="44">
        <f>G$5*G120*MIN(1,Teams!$G$41*Params!$E$35)*Params!$E$36/60*Teams!$G$42</f>
        <v>4220.1000000000004</v>
      </c>
      <c r="H130" s="44">
        <f>H$5*H120*MIN(1,Teams!$G$41*Params!$E$35)*Params!$E$36/60*Teams!$G$42</f>
        <v>6252.0000000000009</v>
      </c>
      <c r="I130" s="44">
        <f>I$5*I120*MIN(1,Teams!$G$41*Params!$E$35)*Params!$E$36/60*Teams!$G$42</f>
        <v>7815.0000000000027</v>
      </c>
      <c r="J130" s="44">
        <f>J$5*J120*MIN(1,Teams!$G$41*Params!$E$35)*Params!$E$36/60*Teams!$G$42</f>
        <v>8440.2000000000007</v>
      </c>
      <c r="K130" s="44">
        <f>K$5*K120*MIN(1,Teams!$G$41*Params!$E$35)*Params!$E$36/60*Teams!$G$42</f>
        <v>8440.2000000000007</v>
      </c>
      <c r="L130" s="44">
        <f>L$5*L120*MIN(1,Teams!$G$41*Params!$E$35)*Params!$E$36/60*Teams!$G$42</f>
        <v>8440.2000000000007</v>
      </c>
      <c r="M130" s="44">
        <f>M$5*M120*MIN(1,Teams!$G$41*Params!$E$35)*Params!$E$36/60*Teams!$G$42</f>
        <v>8440.2000000000007</v>
      </c>
      <c r="N130" s="44">
        <f>N$5*N120*MIN(1,Teams!$G$41*Params!$E$35)*Params!$E$36/60*Teams!$G$42</f>
        <v>8440.2000000000007</v>
      </c>
      <c r="O130" s="44">
        <f>O$5*O120*MIN(1,Teams!$G$41*Params!$E$35)*Params!$E$36/60*Teams!$G$42</f>
        <v>8440.2000000000007</v>
      </c>
      <c r="P130" s="44">
        <f>P$5*P120*MIN(1,Teams!$G$41*Params!$E$35)*Params!$E$36/60*Teams!$G$42</f>
        <v>8440.2000000000007</v>
      </c>
      <c r="Q130" s="44">
        <f>Q$5*Q120*MIN(1,Teams!$G$41*Params!$E$35)*Params!$E$36/60*Teams!$G$42</f>
        <v>8440.2000000000007</v>
      </c>
      <c r="R130" s="44">
        <f>R$5*R120*MIN(1,Teams!$G$41*Params!$E$35)*Params!$E$36/60*Teams!$G$42</f>
        <v>8440.2000000000007</v>
      </c>
      <c r="S130" s="44">
        <f>S$5*S120*MIN(1,Teams!$G$41*Params!$E$35)*Params!$E$36/60*Teams!$G$42</f>
        <v>8440.2000000000007</v>
      </c>
      <c r="T130" s="44">
        <f>T$5*T120*MIN(1,Teams!$G$41*Params!$E$35)*Params!$E$36/60*Teams!$G$42</f>
        <v>8440.2000000000007</v>
      </c>
      <c r="U130" s="44">
        <f>U$5*U120*MIN(1,Teams!$G$41*Params!$E$35)*Params!$E$36/60*Teams!$G$42</f>
        <v>8440.2000000000007</v>
      </c>
      <c r="V130" s="44">
        <f>V$5*V120*MIN(1,Teams!$G$41*Params!$E$35)*Params!$E$36/60*Teams!$G$42</f>
        <v>8440.2000000000007</v>
      </c>
      <c r="W130" s="44">
        <f>W$5*W120*MIN(1,Teams!$G$41*Params!$E$35)*Params!$E$36/60*Teams!$G$42</f>
        <v>8440.2000000000007</v>
      </c>
      <c r="X130" s="44">
        <f>X$5*X120*MIN(1,Teams!$G$41*Params!$E$35)*Params!$E$36/60*Teams!$G$42</f>
        <v>8440.2000000000007</v>
      </c>
      <c r="Y130" s="44">
        <f>Y$5*Y120*MIN(1,Teams!$G$41*Params!$E$35)*Params!$E$36/60*Teams!$G$42</f>
        <v>8440.2000000000007</v>
      </c>
      <c r="Z130" s="44">
        <f>Z$5*Z120*MIN(1,Teams!$G$41*Params!$E$35)*Params!$E$36/60*Teams!$G$42</f>
        <v>8440.2000000000007</v>
      </c>
      <c r="AA130" s="44">
        <f>AA$5*AA120*MIN(1,Teams!$G$41*Params!$E$35)*Params!$E$36/60*Teams!$G$42</f>
        <v>8440.2000000000007</v>
      </c>
      <c r="AB130" s="44">
        <f>AB$5*AB120*MIN(1,Teams!$G$41*Params!$E$35)*Params!$E$36/60*Teams!$G$42</f>
        <v>8440.2000000000007</v>
      </c>
      <c r="AC130" s="44">
        <f>AC$5*AC120*MIN(1,Teams!$G$41*Params!$E$35)*Params!$E$36/60*Teams!$G$42</f>
        <v>8440.2000000000007</v>
      </c>
      <c r="AD130" s="44">
        <f>AD$5*AD120*MIN(1,Teams!$G$41*Params!$E$35)*Params!$E$36/60*Teams!$G$42</f>
        <v>8440.2000000000007</v>
      </c>
      <c r="AE130" s="44">
        <f>AE$5*AE120*MIN(1,Teams!$G$41*Params!$E$35)*Params!$E$36/60*Teams!$G$42</f>
        <v>8440.2000000000007</v>
      </c>
      <c r="AF130" s="44">
        <f>AF$5*AF120*MIN(1,Teams!$G$41*Params!$E$35)*Params!$E$36/60*Teams!$G$42</f>
        <v>8440.2000000000007</v>
      </c>
      <c r="AG130" s="44">
        <f>AG$5*AG120*MIN(1,Teams!$G$41*Params!$E$35)*Params!$E$36/60*Teams!$G$42</f>
        <v>8440.2000000000007</v>
      </c>
      <c r="AH130" s="44">
        <f>AH$5*AH120*MIN(1,Teams!$G$41*Params!$E$35)*Params!$E$36/60*Teams!$G$42</f>
        <v>8440.2000000000007</v>
      </c>
      <c r="AI130" s="44">
        <f>AI$5*AI120*MIN(1,Teams!$G$41*Params!$E$35)*Params!$E$36/60*Teams!$G$42</f>
        <v>8440.2000000000007</v>
      </c>
      <c r="AJ130" s="44">
        <f>AJ$5*AJ120*MIN(1,Teams!$G$41*Params!$E$35)*Params!$E$36/60*Teams!$G$42</f>
        <v>8440.2000000000007</v>
      </c>
      <c r="AK130" s="44">
        <f>AK$5*AK120*MIN(1,Teams!$G$41*Params!$E$35)*Params!$E$36/60*Teams!$G$42</f>
        <v>8440.2000000000007</v>
      </c>
      <c r="AL130" s="44">
        <f>AL$5*AL120*MIN(1,Teams!$G$41*Params!$E$35)*Params!$E$36/60*Teams!$G$42</f>
        <v>8440.2000000000007</v>
      </c>
      <c r="AM130" s="44">
        <f>AM$5*AM120*MIN(1,Teams!$G$41*Params!$E$35)*Params!$E$36/60*Teams!$G$42</f>
        <v>8440.2000000000007</v>
      </c>
      <c r="AN130" s="44">
        <f>AN$5*AN120*MIN(1,Teams!$G$41*Params!$E$35)*Params!$E$36/60*Teams!$G$42</f>
        <v>8440.2000000000007</v>
      </c>
      <c r="AO130" s="44">
        <f>AO$5*AO120*MIN(1,Teams!$G$41*Params!$E$35)*Params!$E$36/60*Teams!$G$42</f>
        <v>0</v>
      </c>
      <c r="AP130" s="44">
        <f>AP$5*AP120*MIN(1,Teams!$G$41*Params!$E$35)*Params!$E$36/60*Teams!$G$42</f>
        <v>0</v>
      </c>
      <c r="AQ130" s="44">
        <f>AQ$5*AQ120*MIN(1,Teams!$G$41*Params!$E$35)*Params!$E$36/60*Teams!$G$42</f>
        <v>0</v>
      </c>
      <c r="AR130" s="44">
        <f>AR$5*AR120*MIN(1,Teams!$G$41*Params!$E$35)*Params!$E$36/60*Teams!$G$42</f>
        <v>0</v>
      </c>
      <c r="AS130" s="44">
        <f>AS$5*AS120*MIN(1,Teams!$G$41*Params!$E$35)*Params!$E$36/60*Teams!$G$42</f>
        <v>0</v>
      </c>
      <c r="AT130" s="44">
        <f>AT$5*AT120*MIN(1,Teams!$G$41*Params!$E$35)*Params!$E$36/60*Teams!$G$42</f>
        <v>0</v>
      </c>
      <c r="AU130" s="44">
        <f>AU$5*AU120*MIN(1,Teams!$G$41*Params!$E$35)*Params!$E$36/60*Teams!$G$42</f>
        <v>0</v>
      </c>
      <c r="AV130" s="44">
        <f>AV$5*AV120*MIN(1,Teams!$G$41*Params!$E$35)*Params!$E$36/60*Teams!$G$42</f>
        <v>0</v>
      </c>
      <c r="AW130" s="44">
        <f>AW$5*AW120*MIN(1,Teams!$G$41*Params!$E$35)*Params!$E$36/60*Teams!$G$42</f>
        <v>0</v>
      </c>
      <c r="AX130" s="44">
        <f>AX$5*AX120*MIN(1,Teams!$G$41*Params!$E$35)*Params!$E$36/60*Teams!$G$42</f>
        <v>0</v>
      </c>
      <c r="AY130" s="44">
        <f>AY$5*AY120*MIN(1,Teams!$G$41*Params!$E$35)*Params!$E$36/60*Teams!$G$42</f>
        <v>0</v>
      </c>
      <c r="AZ130" s="44">
        <f>AZ$5*AZ120*MIN(1,Teams!$G$41*Params!$E$35)*Params!$E$36/60*Teams!$G$42</f>
        <v>0</v>
      </c>
      <c r="BA130" s="44">
        <f>BA$5*BA120*MIN(1,Teams!$G$41*Params!$E$35)*Params!$E$36/60*Teams!$G$42</f>
        <v>0</v>
      </c>
      <c r="BB130" s="44">
        <f>BB$5*BB120*MIN(1,Teams!$G$41*Params!$E$35)*Params!$E$36/60*Teams!$G$42</f>
        <v>0</v>
      </c>
      <c r="BC130" s="44">
        <f>BC$5*BC120*MIN(1,Teams!$G$41*Params!$E$35)*Params!$E$36/60*Teams!$G$42</f>
        <v>0</v>
      </c>
      <c r="BD130" s="44">
        <f>BD$5*BD120*MIN(1,Teams!$G$41*Params!$E$35)*Params!$E$36/60*Teams!$G$42</f>
        <v>0</v>
      </c>
      <c r="BE130" s="44">
        <f>BE$5*BE120*MIN(1,Teams!$G$41*Params!$E$35)*Params!$E$36/60*Teams!$G$42</f>
        <v>0</v>
      </c>
      <c r="BF130" s="44">
        <f>BF$5*BF120*MIN(1,Teams!$G$41*Params!$E$35)*Params!$E$36/60*Teams!$G$42</f>
        <v>0</v>
      </c>
      <c r="BG130" s="44">
        <f>BG$5*BG120*MIN(1,Teams!$G$41*Params!$E$35)*Params!$E$36/60*Teams!$G$42</f>
        <v>0</v>
      </c>
      <c r="BH130" s="44">
        <f>BH$5*BH120*MIN(1,Teams!$G$41*Params!$E$35)*Params!$E$36/60*Teams!$G$42</f>
        <v>0</v>
      </c>
      <c r="BI130" s="44">
        <f>BI$5*BI120*MIN(1,Teams!$G$41*Params!$E$35)*Params!$E$36/60*Teams!$G$42</f>
        <v>0</v>
      </c>
      <c r="BJ130" s="44">
        <f>BJ$5*BJ120*MIN(1,Teams!$G$41*Params!$E$35)*Params!$E$36/60*Teams!$G$42</f>
        <v>0</v>
      </c>
      <c r="BK130" s="44">
        <f>BK$5*BK120*MIN(1,Teams!$G$41*Params!$E$35)*Params!$E$36/60*Teams!$G$42</f>
        <v>0</v>
      </c>
      <c r="BL130" s="44">
        <f>BL$5*BL120*MIN(1,Teams!$G$41*Params!$E$35)*Params!$E$36/60*Teams!$G$42</f>
        <v>0</v>
      </c>
    </row>
    <row r="131" spans="1:64" x14ac:dyDescent="0.3">
      <c r="A131" s="8" t="s">
        <v>675</v>
      </c>
      <c r="B131" s="18" t="s">
        <v>169</v>
      </c>
      <c r="C131" s="44">
        <f t="shared" si="38"/>
        <v>176000.00000000009</v>
      </c>
      <c r="E131" s="44">
        <f>E$5*IF(E$4&gt;=Teams!$G$80,E118/1000*IF(E$4-Teams!$G$80&lt;6,Params!$E$37,Params!$E$38)*Org!$B$10*Org!$B$12/12,0)</f>
        <v>14666.666666666666</v>
      </c>
      <c r="F131" s="44">
        <f>F$5*IF(F$4&gt;=Teams!$G$80,F118/1000*IF(F$4-Teams!$G$80&lt;6,Params!$E$37,Params!$E$38)*Org!$B$10*Org!$B$12/12,0)</f>
        <v>14666.666666666666</v>
      </c>
      <c r="G131" s="44">
        <f>G$5*IF(G$4&gt;=Teams!$G$80,G118/1000*IF(G$4-Teams!$G$80&lt;6,Params!$E$37,Params!$E$38)*Org!$B$10*Org!$B$12/12,0)</f>
        <v>14666.666666666666</v>
      </c>
      <c r="H131" s="44">
        <f>H$5*IF(H$4&gt;=Teams!$G$80,H118/1000*IF(H$4-Teams!$G$80&lt;6,Params!$E$37,Params!$E$38)*Org!$B$10*Org!$B$12/12,0)</f>
        <v>14666.666666666666</v>
      </c>
      <c r="I131" s="44">
        <f>I$5*IF(I$4&gt;=Teams!$G$80,I118/1000*IF(I$4-Teams!$G$80&lt;6,Params!$E$37,Params!$E$38)*Org!$B$10*Org!$B$12/12,0)</f>
        <v>14666.666666666666</v>
      </c>
      <c r="J131" s="44">
        <f>J$5*IF(J$4&gt;=Teams!$G$80,J118/1000*IF(J$4-Teams!$G$80&lt;6,Params!$E$37,Params!$E$38)*Org!$B$10*Org!$B$12/12,0)</f>
        <v>14666.666666666666</v>
      </c>
      <c r="K131" s="44">
        <f>K$5*IF(K$4&gt;=Teams!$G$80,K118/1000*IF(K$4-Teams!$G$80&lt;6,Params!$E$37,Params!$E$38)*Org!$B$10*Org!$B$12/12,0)</f>
        <v>2933.3333333333335</v>
      </c>
      <c r="L131" s="44">
        <f>L$5*IF(L$4&gt;=Teams!$G$80,L118/1000*IF(L$4-Teams!$G$80&lt;6,Params!$E$37,Params!$E$38)*Org!$B$10*Org!$B$12/12,0)</f>
        <v>2933.3333333333335</v>
      </c>
      <c r="M131" s="44">
        <f>M$5*IF(M$4&gt;=Teams!$G$80,M118/1000*IF(M$4-Teams!$G$80&lt;6,Params!$E$37,Params!$E$38)*Org!$B$10*Org!$B$12/12,0)</f>
        <v>2933.3333333333335</v>
      </c>
      <c r="N131" s="44">
        <f>N$5*IF(N$4&gt;=Teams!$G$80,N118/1000*IF(N$4-Teams!$G$80&lt;6,Params!$E$37,Params!$E$38)*Org!$B$10*Org!$B$12/12,0)</f>
        <v>2933.3333333333335</v>
      </c>
      <c r="O131" s="44">
        <f>O$5*IF(O$4&gt;=Teams!$G$80,O118/1000*IF(O$4-Teams!$G$80&lt;6,Params!$E$37,Params!$E$38)*Org!$B$10*Org!$B$12/12,0)</f>
        <v>2933.3333333333335</v>
      </c>
      <c r="P131" s="44">
        <f>P$5*IF(P$4&gt;=Teams!$G$80,P118/1000*IF(P$4-Teams!$G$80&lt;6,Params!$E$37,Params!$E$38)*Org!$B$10*Org!$B$12/12,0)</f>
        <v>2933.3333333333335</v>
      </c>
      <c r="Q131" s="44">
        <f>Q$5*IF(Q$4&gt;=Teams!$G$80,Q118/1000*IF(Q$4-Teams!$G$80&lt;6,Params!$E$37,Params!$E$38)*Org!$B$10*Org!$B$12/12,0)</f>
        <v>2933.3333333333335</v>
      </c>
      <c r="R131" s="44">
        <f>R$5*IF(R$4&gt;=Teams!$G$80,R118/1000*IF(R$4-Teams!$G$80&lt;6,Params!$E$37,Params!$E$38)*Org!$B$10*Org!$B$12/12,0)</f>
        <v>2933.3333333333335</v>
      </c>
      <c r="S131" s="44">
        <f>S$5*IF(S$4&gt;=Teams!$G$80,S118/1000*IF(S$4-Teams!$G$80&lt;6,Params!$E$37,Params!$E$38)*Org!$B$10*Org!$B$12/12,0)</f>
        <v>2933.3333333333335</v>
      </c>
      <c r="T131" s="44">
        <f>T$5*IF(T$4&gt;=Teams!$G$80,T118/1000*IF(T$4-Teams!$G$80&lt;6,Params!$E$37,Params!$E$38)*Org!$B$10*Org!$B$12/12,0)</f>
        <v>2933.3333333333335</v>
      </c>
      <c r="U131" s="44">
        <f>U$5*IF(U$4&gt;=Teams!$G$80,U118/1000*IF(U$4-Teams!$G$80&lt;6,Params!$E$37,Params!$E$38)*Org!$B$10*Org!$B$12/12,0)</f>
        <v>2933.3333333333335</v>
      </c>
      <c r="V131" s="44">
        <f>V$5*IF(V$4&gt;=Teams!$G$80,V118/1000*IF(V$4-Teams!$G$80&lt;6,Params!$E$37,Params!$E$38)*Org!$B$10*Org!$B$12/12,0)</f>
        <v>2933.3333333333335</v>
      </c>
      <c r="W131" s="44">
        <f>W$5*IF(W$4&gt;=Teams!$G$80,W118/1000*IF(W$4-Teams!$G$80&lt;6,Params!$E$37,Params!$E$38)*Org!$B$10*Org!$B$12/12,0)</f>
        <v>2933.3333333333335</v>
      </c>
      <c r="X131" s="44">
        <f>X$5*IF(X$4&gt;=Teams!$G$80,X118/1000*IF(X$4-Teams!$G$80&lt;6,Params!$E$37,Params!$E$38)*Org!$B$10*Org!$B$12/12,0)</f>
        <v>2933.3333333333335</v>
      </c>
      <c r="Y131" s="44">
        <f>Y$5*IF(Y$4&gt;=Teams!$G$80,Y118/1000*IF(Y$4-Teams!$G$80&lt;6,Params!$E$37,Params!$E$38)*Org!$B$10*Org!$B$12/12,0)</f>
        <v>2933.3333333333335</v>
      </c>
      <c r="Z131" s="44">
        <f>Z$5*IF(Z$4&gt;=Teams!$G$80,Z118/1000*IF(Z$4-Teams!$G$80&lt;6,Params!$E$37,Params!$E$38)*Org!$B$10*Org!$B$12/12,0)</f>
        <v>2933.3333333333335</v>
      </c>
      <c r="AA131" s="44">
        <f>AA$5*IF(AA$4&gt;=Teams!$G$80,AA118/1000*IF(AA$4-Teams!$G$80&lt;6,Params!$E$37,Params!$E$38)*Org!$B$10*Org!$B$12/12,0)</f>
        <v>2933.3333333333335</v>
      </c>
      <c r="AB131" s="44">
        <f>AB$5*IF(AB$4&gt;=Teams!$G$80,AB118/1000*IF(AB$4-Teams!$G$80&lt;6,Params!$E$37,Params!$E$38)*Org!$B$10*Org!$B$12/12,0)</f>
        <v>2933.3333333333335</v>
      </c>
      <c r="AC131" s="44">
        <f>AC$5*IF(AC$4&gt;=Teams!$G$80,AC118/1000*IF(AC$4-Teams!$G$80&lt;6,Params!$E$37,Params!$E$38)*Org!$B$10*Org!$B$12/12,0)</f>
        <v>2933.3333333333335</v>
      </c>
      <c r="AD131" s="44">
        <f>AD$5*IF(AD$4&gt;=Teams!$G$80,AD118/1000*IF(AD$4-Teams!$G$80&lt;6,Params!$E$37,Params!$E$38)*Org!$B$10*Org!$B$12/12,0)</f>
        <v>2933.3333333333335</v>
      </c>
      <c r="AE131" s="44">
        <f>AE$5*IF(AE$4&gt;=Teams!$G$80,AE118/1000*IF(AE$4-Teams!$G$80&lt;6,Params!$E$37,Params!$E$38)*Org!$B$10*Org!$B$12/12,0)</f>
        <v>2933.3333333333335</v>
      </c>
      <c r="AF131" s="44">
        <f>AF$5*IF(AF$4&gt;=Teams!$G$80,AF118/1000*IF(AF$4-Teams!$G$80&lt;6,Params!$E$37,Params!$E$38)*Org!$B$10*Org!$B$12/12,0)</f>
        <v>2933.3333333333335</v>
      </c>
      <c r="AG131" s="44">
        <f>AG$5*IF(AG$4&gt;=Teams!$G$80,AG118/1000*IF(AG$4-Teams!$G$80&lt;6,Params!$E$37,Params!$E$38)*Org!$B$10*Org!$B$12/12,0)</f>
        <v>2933.3333333333335</v>
      </c>
      <c r="AH131" s="44">
        <f>AH$5*IF(AH$4&gt;=Teams!$G$80,AH118/1000*IF(AH$4-Teams!$G$80&lt;6,Params!$E$37,Params!$E$38)*Org!$B$10*Org!$B$12/12,0)</f>
        <v>2933.3333333333335</v>
      </c>
      <c r="AI131" s="44">
        <f>AI$5*IF(AI$4&gt;=Teams!$G$80,AI118/1000*IF(AI$4-Teams!$G$80&lt;6,Params!$E$37,Params!$E$38)*Org!$B$10*Org!$B$12/12,0)</f>
        <v>2933.3333333333335</v>
      </c>
      <c r="AJ131" s="44">
        <f>AJ$5*IF(AJ$4&gt;=Teams!$G$80,AJ118/1000*IF(AJ$4-Teams!$G$80&lt;6,Params!$E$37,Params!$E$38)*Org!$B$10*Org!$B$12/12,0)</f>
        <v>2933.3333333333335</v>
      </c>
      <c r="AK131" s="44">
        <f>AK$5*IF(AK$4&gt;=Teams!$G$80,AK118/1000*IF(AK$4-Teams!$G$80&lt;6,Params!$E$37,Params!$E$38)*Org!$B$10*Org!$B$12/12,0)</f>
        <v>2933.3333333333335</v>
      </c>
      <c r="AL131" s="44">
        <f>AL$5*IF(AL$4&gt;=Teams!$G$80,AL118/1000*IF(AL$4-Teams!$G$80&lt;6,Params!$E$37,Params!$E$38)*Org!$B$10*Org!$B$12/12,0)</f>
        <v>2933.3333333333335</v>
      </c>
      <c r="AM131" s="44">
        <f>AM$5*IF(AM$4&gt;=Teams!$G$80,AM118/1000*IF(AM$4-Teams!$G$80&lt;6,Params!$E$37,Params!$E$38)*Org!$B$10*Org!$B$12/12,0)</f>
        <v>2933.3333333333335</v>
      </c>
      <c r="AN131" s="44">
        <f>AN$5*IF(AN$4&gt;=Teams!$G$80,AN118/1000*IF(AN$4-Teams!$G$80&lt;6,Params!$E$37,Params!$E$38)*Org!$B$10*Org!$B$12/12,0)</f>
        <v>2933.3333333333335</v>
      </c>
      <c r="AO131" s="44">
        <f>AO$5*IF(AO$4&gt;=Teams!$G$80,AO118/1000*IF(AO$4-Teams!$G$80&lt;6,Params!$E$37,Params!$E$38)*Org!$B$10*Org!$B$12/12,0)</f>
        <v>0</v>
      </c>
      <c r="AP131" s="44">
        <f>AP$5*IF(AP$4&gt;=Teams!$G$80,AP118/1000*IF(AP$4-Teams!$G$80&lt;6,Params!$E$37,Params!$E$38)*Org!$B$10*Org!$B$12/12,0)</f>
        <v>0</v>
      </c>
      <c r="AQ131" s="44">
        <f>AQ$5*IF(AQ$4&gt;=Teams!$G$80,AQ118/1000*IF(AQ$4-Teams!$G$80&lt;6,Params!$E$37,Params!$E$38)*Org!$B$10*Org!$B$12/12,0)</f>
        <v>0</v>
      </c>
      <c r="AR131" s="44">
        <f>AR$5*IF(AR$4&gt;=Teams!$G$80,AR118/1000*IF(AR$4-Teams!$G$80&lt;6,Params!$E$37,Params!$E$38)*Org!$B$10*Org!$B$12/12,0)</f>
        <v>0</v>
      </c>
      <c r="AS131" s="44">
        <f>AS$5*IF(AS$4&gt;=Teams!$G$80,AS118/1000*IF(AS$4-Teams!$G$80&lt;6,Params!$E$37,Params!$E$38)*Org!$B$10*Org!$B$12/12,0)</f>
        <v>0</v>
      </c>
      <c r="AT131" s="44">
        <f>AT$5*IF(AT$4&gt;=Teams!$G$80,AT118/1000*IF(AT$4-Teams!$G$80&lt;6,Params!$E$37,Params!$E$38)*Org!$B$10*Org!$B$12/12,0)</f>
        <v>0</v>
      </c>
      <c r="AU131" s="44">
        <f>AU$5*IF(AU$4&gt;=Teams!$G$80,AU118/1000*IF(AU$4-Teams!$G$80&lt;6,Params!$E$37,Params!$E$38)*Org!$B$10*Org!$B$12/12,0)</f>
        <v>0</v>
      </c>
      <c r="AV131" s="44">
        <f>AV$5*IF(AV$4&gt;=Teams!$G$80,AV118/1000*IF(AV$4-Teams!$G$80&lt;6,Params!$E$37,Params!$E$38)*Org!$B$10*Org!$B$12/12,0)</f>
        <v>0</v>
      </c>
      <c r="AW131" s="44">
        <f>AW$5*IF(AW$4&gt;=Teams!$G$80,AW118/1000*IF(AW$4-Teams!$G$80&lt;6,Params!$E$37,Params!$E$38)*Org!$B$10*Org!$B$12/12,0)</f>
        <v>0</v>
      </c>
      <c r="AX131" s="44">
        <f>AX$5*IF(AX$4&gt;=Teams!$G$80,AX118/1000*IF(AX$4-Teams!$G$80&lt;6,Params!$E$37,Params!$E$38)*Org!$B$10*Org!$B$12/12,0)</f>
        <v>0</v>
      </c>
      <c r="AY131" s="44">
        <f>AY$5*IF(AY$4&gt;=Teams!$G$80,AY118/1000*IF(AY$4-Teams!$G$80&lt;6,Params!$E$37,Params!$E$38)*Org!$B$10*Org!$B$12/12,0)</f>
        <v>0</v>
      </c>
      <c r="AZ131" s="44">
        <f>AZ$5*IF(AZ$4&gt;=Teams!$G$80,AZ118/1000*IF(AZ$4-Teams!$G$80&lt;6,Params!$E$37,Params!$E$38)*Org!$B$10*Org!$B$12/12,0)</f>
        <v>0</v>
      </c>
      <c r="BA131" s="44">
        <f>BA$5*IF(BA$4&gt;=Teams!$G$80,BA118/1000*IF(BA$4-Teams!$G$80&lt;6,Params!$E$37,Params!$E$38)*Org!$B$10*Org!$B$12/12,0)</f>
        <v>0</v>
      </c>
      <c r="BB131" s="44">
        <f>BB$5*IF(BB$4&gt;=Teams!$G$80,BB118/1000*IF(BB$4-Teams!$G$80&lt;6,Params!$E$37,Params!$E$38)*Org!$B$10*Org!$B$12/12,0)</f>
        <v>0</v>
      </c>
      <c r="BC131" s="44">
        <f>BC$5*IF(BC$4&gt;=Teams!$G$80,BC118/1000*IF(BC$4-Teams!$G$80&lt;6,Params!$E$37,Params!$E$38)*Org!$B$10*Org!$B$12/12,0)</f>
        <v>0</v>
      </c>
      <c r="BD131" s="44">
        <f>BD$5*IF(BD$4&gt;=Teams!$G$80,BD118/1000*IF(BD$4-Teams!$G$80&lt;6,Params!$E$37,Params!$E$38)*Org!$B$10*Org!$B$12/12,0)</f>
        <v>0</v>
      </c>
      <c r="BE131" s="44">
        <f>BE$5*IF(BE$4&gt;=Teams!$G$80,BE118/1000*IF(BE$4-Teams!$G$80&lt;6,Params!$E$37,Params!$E$38)*Org!$B$10*Org!$B$12/12,0)</f>
        <v>0</v>
      </c>
      <c r="BF131" s="44">
        <f>BF$5*IF(BF$4&gt;=Teams!$G$80,BF118/1000*IF(BF$4-Teams!$G$80&lt;6,Params!$E$37,Params!$E$38)*Org!$B$10*Org!$B$12/12,0)</f>
        <v>0</v>
      </c>
      <c r="BG131" s="44">
        <f>BG$5*IF(BG$4&gt;=Teams!$G$80,BG118/1000*IF(BG$4-Teams!$G$80&lt;6,Params!$E$37,Params!$E$38)*Org!$B$10*Org!$B$12/12,0)</f>
        <v>0</v>
      </c>
      <c r="BH131" s="44">
        <f>BH$5*IF(BH$4&gt;=Teams!$G$80,BH118/1000*IF(BH$4-Teams!$G$80&lt;6,Params!$E$37,Params!$E$38)*Org!$B$10*Org!$B$12/12,0)</f>
        <v>0</v>
      </c>
      <c r="BI131" s="44">
        <f>BI$5*IF(BI$4&gt;=Teams!$G$80,BI118/1000*IF(BI$4-Teams!$G$80&lt;6,Params!$E$37,Params!$E$38)*Org!$B$10*Org!$B$12/12,0)</f>
        <v>0</v>
      </c>
      <c r="BJ131" s="44">
        <f>BJ$5*IF(BJ$4&gt;=Teams!$G$80,BJ118/1000*IF(BJ$4-Teams!$G$80&lt;6,Params!$E$37,Params!$E$38)*Org!$B$10*Org!$B$12/12,0)</f>
        <v>0</v>
      </c>
      <c r="BK131" s="44">
        <f>BK$5*IF(BK$4&gt;=Teams!$G$80,BK118/1000*IF(BK$4-Teams!$G$80&lt;6,Params!$E$37,Params!$E$38)*Org!$B$10*Org!$B$12/12,0)</f>
        <v>0</v>
      </c>
      <c r="BL131" s="44">
        <f>BL$5*IF(BL$4&gt;=Teams!$G$80,BL118/1000*IF(BL$4-Teams!$G$80&lt;6,Params!$E$37,Params!$E$38)*Org!$B$10*Org!$B$12/12,0)</f>
        <v>0</v>
      </c>
    </row>
    <row r="132" spans="1:64" x14ac:dyDescent="0.3">
      <c r="A132" s="8" t="s">
        <v>676</v>
      </c>
      <c r="B132" s="18" t="s">
        <v>169</v>
      </c>
      <c r="C132" s="44">
        <f t="shared" si="38"/>
        <v>22400</v>
      </c>
      <c r="D132" s="44">
        <f>Teams!$G$5*((Teams!$G$43*Params!$E$4+Teams!$G$44/100000*Params!$E$5+Teams!$G$43*Params!$E$6)*Org!$B$10)</f>
        <v>22400</v>
      </c>
    </row>
    <row r="133" spans="1:64" x14ac:dyDescent="0.3">
      <c r="A133" s="8" t="s">
        <v>677</v>
      </c>
      <c r="B133" s="18" t="s">
        <v>435</v>
      </c>
      <c r="C133" s="44">
        <f t="shared" si="38"/>
        <v>78.900000000000006</v>
      </c>
      <c r="D133" s="44">
        <f>Teams!$G$5*(Teams!$G$49*(Teams!$G$44*Teams!$G$45*Teams!$G$75+Teams!$G$44*Teams!$G$47*Teams!$G$76/1000000))</f>
        <v>78.900000000000006</v>
      </c>
    </row>
    <row r="134" spans="1:64" x14ac:dyDescent="0.3">
      <c r="A134" s="8" t="s">
        <v>678</v>
      </c>
      <c r="B134" s="18" t="s">
        <v>169</v>
      </c>
      <c r="C134" s="44">
        <f t="shared" si="38"/>
        <v>48000</v>
      </c>
      <c r="D134" s="44">
        <f>Teams!$G$5*((Params!$E$13+Params!$E$16)*Org!$B$10)</f>
        <v>48000</v>
      </c>
    </row>
    <row r="135" spans="1:64" x14ac:dyDescent="0.3">
      <c r="A135" s="8" t="s">
        <v>679</v>
      </c>
      <c r="B135" s="18" t="s">
        <v>169</v>
      </c>
      <c r="C135" s="44">
        <f t="shared" si="38"/>
        <v>480000</v>
      </c>
      <c r="D135" s="44">
        <f>Teams!$G$5*(Teams!$G$18*Teams!$G$19*Params!$E$34*(Org!$B$10/Org!$B$11))</f>
        <v>480000</v>
      </c>
    </row>
    <row r="136" spans="1:64" x14ac:dyDescent="0.3">
      <c r="A136" s="8" t="s">
        <v>11</v>
      </c>
      <c r="C136" s="44">
        <f t="shared" si="38"/>
        <v>5937680.7000000039</v>
      </c>
      <c r="E136" s="44">
        <f>E$5*E120*Teams!$G$55/60*Teams!$G$56*INDEX(Params!$D$41:$F$41,Org!$B$17)*Teams!$G$57</f>
        <v>13129.199999999999</v>
      </c>
      <c r="F136" s="44">
        <f>F$5*F120*Teams!$G$55/60*Teams!$G$56*INDEX(Params!$D$41:$F$41,Org!$B$17)*Teams!$G$57</f>
        <v>45952.200000000004</v>
      </c>
      <c r="G136" s="44">
        <f>G$5*G120*Teams!$G$55/60*Teams!$G$56*INDEX(Params!$D$41:$F$41,Org!$B$17)*Teams!$G$57</f>
        <v>88622.1</v>
      </c>
      <c r="H136" s="44">
        <f>H$5*H120*Teams!$G$55/60*Teams!$G$56*INDEX(Params!$D$41:$F$41,Org!$B$17)*Teams!$G$57</f>
        <v>131292</v>
      </c>
      <c r="I136" s="44">
        <f>I$5*I120*Teams!$G$55/60*Teams!$G$56*INDEX(Params!$D$41:$F$41,Org!$B$17)*Teams!$G$57</f>
        <v>164115.00000000006</v>
      </c>
      <c r="J136" s="44">
        <f>J$5*J120*Teams!$G$55/60*Teams!$G$56*INDEX(Params!$D$41:$F$41,Org!$B$17)*Teams!$G$57</f>
        <v>177244.2</v>
      </c>
      <c r="K136" s="44">
        <f>K$5*K120*Teams!$G$55/60*Teams!$G$56*INDEX(Params!$D$41:$F$41,Org!$B$17)*Teams!$G$57</f>
        <v>177244.2</v>
      </c>
      <c r="L136" s="44">
        <f>L$5*L120*Teams!$G$55/60*Teams!$G$56*INDEX(Params!$D$41:$F$41,Org!$B$17)*Teams!$G$57</f>
        <v>177244.2</v>
      </c>
      <c r="M136" s="44">
        <f>M$5*M120*Teams!$G$55/60*Teams!$G$56*INDEX(Params!$D$41:$F$41,Org!$B$17)*Teams!$G$57</f>
        <v>177244.2</v>
      </c>
      <c r="N136" s="44">
        <f>N$5*N120*Teams!$G$55/60*Teams!$G$56*INDEX(Params!$D$41:$F$41,Org!$B$17)*Teams!$G$57</f>
        <v>177244.2</v>
      </c>
      <c r="O136" s="44">
        <f>O$5*O120*Teams!$G$55/60*Teams!$G$56*INDEX(Params!$D$41:$F$41,Org!$B$17)*Teams!$G$57</f>
        <v>177244.2</v>
      </c>
      <c r="P136" s="44">
        <f>P$5*P120*Teams!$G$55/60*Teams!$G$56*INDEX(Params!$D$41:$F$41,Org!$B$17)*Teams!$G$57</f>
        <v>177244.2</v>
      </c>
      <c r="Q136" s="44">
        <f>Q$5*Q120*Teams!$G$55/60*Teams!$G$56*INDEX(Params!$D$41:$F$41,Org!$B$17)*Teams!$G$57</f>
        <v>177244.2</v>
      </c>
      <c r="R136" s="44">
        <f>R$5*R120*Teams!$G$55/60*Teams!$G$56*INDEX(Params!$D$41:$F$41,Org!$B$17)*Teams!$G$57</f>
        <v>177244.2</v>
      </c>
      <c r="S136" s="44">
        <f>S$5*S120*Teams!$G$55/60*Teams!$G$56*INDEX(Params!$D$41:$F$41,Org!$B$17)*Teams!$G$57</f>
        <v>177244.2</v>
      </c>
      <c r="T136" s="44">
        <f>T$5*T120*Teams!$G$55/60*Teams!$G$56*INDEX(Params!$D$41:$F$41,Org!$B$17)*Teams!$G$57</f>
        <v>177244.2</v>
      </c>
      <c r="U136" s="44">
        <f>U$5*U120*Teams!$G$55/60*Teams!$G$56*INDEX(Params!$D$41:$F$41,Org!$B$17)*Teams!$G$57</f>
        <v>177244.2</v>
      </c>
      <c r="V136" s="44">
        <f>V$5*V120*Teams!$G$55/60*Teams!$G$56*INDEX(Params!$D$41:$F$41,Org!$B$17)*Teams!$G$57</f>
        <v>177244.2</v>
      </c>
      <c r="W136" s="44">
        <f>W$5*W120*Teams!$G$55/60*Teams!$G$56*INDEX(Params!$D$41:$F$41,Org!$B$17)*Teams!$G$57</f>
        <v>177244.2</v>
      </c>
      <c r="X136" s="44">
        <f>X$5*X120*Teams!$G$55/60*Teams!$G$56*INDEX(Params!$D$41:$F$41,Org!$B$17)*Teams!$G$57</f>
        <v>177244.2</v>
      </c>
      <c r="Y136" s="44">
        <f>Y$5*Y120*Teams!$G$55/60*Teams!$G$56*INDEX(Params!$D$41:$F$41,Org!$B$17)*Teams!$G$57</f>
        <v>177244.2</v>
      </c>
      <c r="Z136" s="44">
        <f>Z$5*Z120*Teams!$G$55/60*Teams!$G$56*INDEX(Params!$D$41:$F$41,Org!$B$17)*Teams!$G$57</f>
        <v>177244.2</v>
      </c>
      <c r="AA136" s="44">
        <f>AA$5*AA120*Teams!$G$55/60*Teams!$G$56*INDEX(Params!$D$41:$F$41,Org!$B$17)*Teams!$G$57</f>
        <v>177244.2</v>
      </c>
      <c r="AB136" s="44">
        <f>AB$5*AB120*Teams!$G$55/60*Teams!$G$56*INDEX(Params!$D$41:$F$41,Org!$B$17)*Teams!$G$57</f>
        <v>177244.2</v>
      </c>
      <c r="AC136" s="44">
        <f>AC$5*AC120*Teams!$G$55/60*Teams!$G$56*INDEX(Params!$D$41:$F$41,Org!$B$17)*Teams!$G$57</f>
        <v>177244.2</v>
      </c>
      <c r="AD136" s="44">
        <f>AD$5*AD120*Teams!$G$55/60*Teams!$G$56*INDEX(Params!$D$41:$F$41,Org!$B$17)*Teams!$G$57</f>
        <v>177244.2</v>
      </c>
      <c r="AE136" s="44">
        <f>AE$5*AE120*Teams!$G$55/60*Teams!$G$56*INDEX(Params!$D$41:$F$41,Org!$B$17)*Teams!$G$57</f>
        <v>177244.2</v>
      </c>
      <c r="AF136" s="44">
        <f>AF$5*AF120*Teams!$G$55/60*Teams!$G$56*INDEX(Params!$D$41:$F$41,Org!$B$17)*Teams!$G$57</f>
        <v>177244.2</v>
      </c>
      <c r="AG136" s="44">
        <f>AG$5*AG120*Teams!$G$55/60*Teams!$G$56*INDEX(Params!$D$41:$F$41,Org!$B$17)*Teams!$G$57</f>
        <v>177244.2</v>
      </c>
      <c r="AH136" s="44">
        <f>AH$5*AH120*Teams!$G$55/60*Teams!$G$56*INDEX(Params!$D$41:$F$41,Org!$B$17)*Teams!$G$57</f>
        <v>177244.2</v>
      </c>
      <c r="AI136" s="44">
        <f>AI$5*AI120*Teams!$G$55/60*Teams!$G$56*INDEX(Params!$D$41:$F$41,Org!$B$17)*Teams!$G$57</f>
        <v>177244.2</v>
      </c>
      <c r="AJ136" s="44">
        <f>AJ$5*AJ120*Teams!$G$55/60*Teams!$G$56*INDEX(Params!$D$41:$F$41,Org!$B$17)*Teams!$G$57</f>
        <v>177244.2</v>
      </c>
      <c r="AK136" s="44">
        <f>AK$5*AK120*Teams!$G$55/60*Teams!$G$56*INDEX(Params!$D$41:$F$41,Org!$B$17)*Teams!$G$57</f>
        <v>177244.2</v>
      </c>
      <c r="AL136" s="44">
        <f>AL$5*AL120*Teams!$G$55/60*Teams!$G$56*INDEX(Params!$D$41:$F$41,Org!$B$17)*Teams!$G$57</f>
        <v>177244.2</v>
      </c>
      <c r="AM136" s="44">
        <f>AM$5*AM120*Teams!$G$55/60*Teams!$G$56*INDEX(Params!$D$41:$F$41,Org!$B$17)*Teams!$G$57</f>
        <v>177244.2</v>
      </c>
      <c r="AN136" s="44">
        <f>AN$5*AN120*Teams!$G$55/60*Teams!$G$56*INDEX(Params!$D$41:$F$41,Org!$B$17)*Teams!$G$57</f>
        <v>177244.2</v>
      </c>
      <c r="AO136" s="44">
        <f>AO$5*AO120*Teams!$G$55/60*Teams!$G$56*INDEX(Params!$D$41:$F$41,Org!$B$17)*Teams!$G$57</f>
        <v>0</v>
      </c>
      <c r="AP136" s="44">
        <f>AP$5*AP120*Teams!$G$55/60*Teams!$G$56*INDEX(Params!$D$41:$F$41,Org!$B$17)*Teams!$G$57</f>
        <v>0</v>
      </c>
      <c r="AQ136" s="44">
        <f>AQ$5*AQ120*Teams!$G$55/60*Teams!$G$56*INDEX(Params!$D$41:$F$41,Org!$B$17)*Teams!$G$57</f>
        <v>0</v>
      </c>
      <c r="AR136" s="44">
        <f>AR$5*AR120*Teams!$G$55/60*Teams!$G$56*INDEX(Params!$D$41:$F$41,Org!$B$17)*Teams!$G$57</f>
        <v>0</v>
      </c>
      <c r="AS136" s="44">
        <f>AS$5*AS120*Teams!$G$55/60*Teams!$G$56*INDEX(Params!$D$41:$F$41,Org!$B$17)*Teams!$G$57</f>
        <v>0</v>
      </c>
      <c r="AT136" s="44">
        <f>AT$5*AT120*Teams!$G$55/60*Teams!$G$56*INDEX(Params!$D$41:$F$41,Org!$B$17)*Teams!$G$57</f>
        <v>0</v>
      </c>
      <c r="AU136" s="44">
        <f>AU$5*AU120*Teams!$G$55/60*Teams!$G$56*INDEX(Params!$D$41:$F$41,Org!$B$17)*Teams!$G$57</f>
        <v>0</v>
      </c>
      <c r="AV136" s="44">
        <f>AV$5*AV120*Teams!$G$55/60*Teams!$G$56*INDEX(Params!$D$41:$F$41,Org!$B$17)*Teams!$G$57</f>
        <v>0</v>
      </c>
      <c r="AW136" s="44">
        <f>AW$5*AW120*Teams!$G$55/60*Teams!$G$56*INDEX(Params!$D$41:$F$41,Org!$B$17)*Teams!$G$57</f>
        <v>0</v>
      </c>
      <c r="AX136" s="44">
        <f>AX$5*AX120*Teams!$G$55/60*Teams!$G$56*INDEX(Params!$D$41:$F$41,Org!$B$17)*Teams!$G$57</f>
        <v>0</v>
      </c>
      <c r="AY136" s="44">
        <f>AY$5*AY120*Teams!$G$55/60*Teams!$G$56*INDEX(Params!$D$41:$F$41,Org!$B$17)*Teams!$G$57</f>
        <v>0</v>
      </c>
      <c r="AZ136" s="44">
        <f>AZ$5*AZ120*Teams!$G$55/60*Teams!$G$56*INDEX(Params!$D$41:$F$41,Org!$B$17)*Teams!$G$57</f>
        <v>0</v>
      </c>
      <c r="BA136" s="44">
        <f>BA$5*BA120*Teams!$G$55/60*Teams!$G$56*INDEX(Params!$D$41:$F$41,Org!$B$17)*Teams!$G$57</f>
        <v>0</v>
      </c>
      <c r="BB136" s="44">
        <f>BB$5*BB120*Teams!$G$55/60*Teams!$G$56*INDEX(Params!$D$41:$F$41,Org!$B$17)*Teams!$G$57</f>
        <v>0</v>
      </c>
      <c r="BC136" s="44">
        <f>BC$5*BC120*Teams!$G$55/60*Teams!$G$56*INDEX(Params!$D$41:$F$41,Org!$B$17)*Teams!$G$57</f>
        <v>0</v>
      </c>
      <c r="BD136" s="44">
        <f>BD$5*BD120*Teams!$G$55/60*Teams!$G$56*INDEX(Params!$D$41:$F$41,Org!$B$17)*Teams!$G$57</f>
        <v>0</v>
      </c>
      <c r="BE136" s="44">
        <f>BE$5*BE120*Teams!$G$55/60*Teams!$G$56*INDEX(Params!$D$41:$F$41,Org!$B$17)*Teams!$G$57</f>
        <v>0</v>
      </c>
      <c r="BF136" s="44">
        <f>BF$5*BF120*Teams!$G$55/60*Teams!$G$56*INDEX(Params!$D$41:$F$41,Org!$B$17)*Teams!$G$57</f>
        <v>0</v>
      </c>
      <c r="BG136" s="44">
        <f>BG$5*BG120*Teams!$G$55/60*Teams!$G$56*INDEX(Params!$D$41:$F$41,Org!$B$17)*Teams!$G$57</f>
        <v>0</v>
      </c>
      <c r="BH136" s="44">
        <f>BH$5*BH120*Teams!$G$55/60*Teams!$G$56*INDEX(Params!$D$41:$F$41,Org!$B$17)*Teams!$G$57</f>
        <v>0</v>
      </c>
      <c r="BI136" s="44">
        <f>BI$5*BI120*Teams!$G$55/60*Teams!$G$56*INDEX(Params!$D$41:$F$41,Org!$B$17)*Teams!$G$57</f>
        <v>0</v>
      </c>
      <c r="BJ136" s="44">
        <f>BJ$5*BJ120*Teams!$G$55/60*Teams!$G$56*INDEX(Params!$D$41:$F$41,Org!$B$17)*Teams!$G$57</f>
        <v>0</v>
      </c>
      <c r="BK136" s="44">
        <f>BK$5*BK120*Teams!$G$55/60*Teams!$G$56*INDEX(Params!$D$41:$F$41,Org!$B$17)*Teams!$G$57</f>
        <v>0</v>
      </c>
      <c r="BL136" s="44">
        <f>BL$5*BL120*Teams!$G$55/60*Teams!$G$56*INDEX(Params!$D$41:$F$41,Org!$B$17)*Teams!$G$57</f>
        <v>0</v>
      </c>
    </row>
    <row r="137" spans="1:64" x14ac:dyDescent="0.3">
      <c r="A137" s="8" t="s">
        <v>701</v>
      </c>
      <c r="C137" s="44">
        <f t="shared" si="38"/>
        <v>3257306.7959999968</v>
      </c>
      <c r="D137" s="44">
        <f t="shared" ref="D137:AI137" si="39">SUM(D121:D135)</f>
        <v>550478.9</v>
      </c>
      <c r="E137" s="44">
        <f t="shared" si="39"/>
        <v>75325.482111111109</v>
      </c>
      <c r="F137" s="44">
        <f t="shared" si="39"/>
        <v>77333.353222222227</v>
      </c>
      <c r="G137" s="44">
        <f t="shared" si="39"/>
        <v>79943.585666666666</v>
      </c>
      <c r="H137" s="44">
        <f t="shared" si="39"/>
        <v>82553.818111111119</v>
      </c>
      <c r="I137" s="44">
        <f t="shared" si="39"/>
        <v>84561.689222222223</v>
      </c>
      <c r="J137" s="44">
        <f t="shared" si="39"/>
        <v>85364.837666666674</v>
      </c>
      <c r="K137" s="44">
        <f t="shared" si="39"/>
        <v>73631.504333333331</v>
      </c>
      <c r="L137" s="44">
        <f t="shared" si="39"/>
        <v>73631.504333333331</v>
      </c>
      <c r="M137" s="44">
        <f t="shared" si="39"/>
        <v>73631.504333333331</v>
      </c>
      <c r="N137" s="44">
        <f t="shared" si="39"/>
        <v>73631.504333333331</v>
      </c>
      <c r="O137" s="44">
        <f t="shared" si="39"/>
        <v>73631.504333333331</v>
      </c>
      <c r="P137" s="44">
        <f t="shared" si="39"/>
        <v>73631.504333333331</v>
      </c>
      <c r="Q137" s="44">
        <f t="shared" si="39"/>
        <v>73631.504333333331</v>
      </c>
      <c r="R137" s="44">
        <f t="shared" si="39"/>
        <v>73631.504333333331</v>
      </c>
      <c r="S137" s="44">
        <f t="shared" si="39"/>
        <v>73631.504333333331</v>
      </c>
      <c r="T137" s="44">
        <f t="shared" si="39"/>
        <v>80031.504333333316</v>
      </c>
      <c r="U137" s="44">
        <f t="shared" si="39"/>
        <v>73631.504333333331</v>
      </c>
      <c r="V137" s="44">
        <f t="shared" si="39"/>
        <v>73631.504333333331</v>
      </c>
      <c r="W137" s="44">
        <f t="shared" si="39"/>
        <v>73631.504333333331</v>
      </c>
      <c r="X137" s="44">
        <f t="shared" si="39"/>
        <v>73631.504333333331</v>
      </c>
      <c r="Y137" s="44">
        <f t="shared" si="39"/>
        <v>73631.504333333331</v>
      </c>
      <c r="Z137" s="44">
        <f t="shared" si="39"/>
        <v>73631.504333333331</v>
      </c>
      <c r="AA137" s="44">
        <f t="shared" si="39"/>
        <v>73631.504333333331</v>
      </c>
      <c r="AB137" s="44">
        <f t="shared" si="39"/>
        <v>73631.504333333331</v>
      </c>
      <c r="AC137" s="44">
        <f t="shared" si="39"/>
        <v>73631.504333333331</v>
      </c>
      <c r="AD137" s="44">
        <f t="shared" si="39"/>
        <v>73631.504333333331</v>
      </c>
      <c r="AE137" s="44">
        <f t="shared" si="39"/>
        <v>73631.504333333331</v>
      </c>
      <c r="AF137" s="44">
        <f t="shared" si="39"/>
        <v>73631.504333333331</v>
      </c>
      <c r="AG137" s="44">
        <f t="shared" si="39"/>
        <v>73631.504333333331</v>
      </c>
      <c r="AH137" s="44">
        <f t="shared" si="39"/>
        <v>73631.504333333331</v>
      </c>
      <c r="AI137" s="44">
        <f t="shared" si="39"/>
        <v>80031.504333333316</v>
      </c>
      <c r="AJ137" s="44">
        <f t="shared" ref="AJ137:BL137" si="40">SUM(AJ121:AJ135)</f>
        <v>73631.504333333331</v>
      </c>
      <c r="AK137" s="44">
        <f t="shared" si="40"/>
        <v>73631.504333333331</v>
      </c>
      <c r="AL137" s="44">
        <f t="shared" si="40"/>
        <v>73631.504333333331</v>
      </c>
      <c r="AM137" s="44">
        <f t="shared" si="40"/>
        <v>73631.504333333331</v>
      </c>
      <c r="AN137" s="44">
        <f t="shared" si="40"/>
        <v>73631.504333333331</v>
      </c>
      <c r="AO137" s="44">
        <f t="shared" si="40"/>
        <v>0</v>
      </c>
      <c r="AP137" s="44">
        <f t="shared" si="40"/>
        <v>0</v>
      </c>
      <c r="AQ137" s="44">
        <f t="shared" si="40"/>
        <v>0</v>
      </c>
      <c r="AR137" s="44">
        <f t="shared" si="40"/>
        <v>0</v>
      </c>
      <c r="AS137" s="44">
        <f t="shared" si="40"/>
        <v>0</v>
      </c>
      <c r="AT137" s="44">
        <f t="shared" si="40"/>
        <v>0</v>
      </c>
      <c r="AU137" s="44">
        <f t="shared" si="40"/>
        <v>0</v>
      </c>
      <c r="AV137" s="44">
        <f t="shared" si="40"/>
        <v>0</v>
      </c>
      <c r="AW137" s="44">
        <f t="shared" si="40"/>
        <v>0</v>
      </c>
      <c r="AX137" s="44">
        <f t="shared" si="40"/>
        <v>0</v>
      </c>
      <c r="AY137" s="44">
        <f t="shared" si="40"/>
        <v>0</v>
      </c>
      <c r="AZ137" s="44">
        <f t="shared" si="40"/>
        <v>0</v>
      </c>
      <c r="BA137" s="44">
        <f t="shared" si="40"/>
        <v>0</v>
      </c>
      <c r="BB137" s="44">
        <f t="shared" si="40"/>
        <v>0</v>
      </c>
      <c r="BC137" s="44">
        <f t="shared" si="40"/>
        <v>0</v>
      </c>
      <c r="BD137" s="44">
        <f t="shared" si="40"/>
        <v>0</v>
      </c>
      <c r="BE137" s="44">
        <f t="shared" si="40"/>
        <v>0</v>
      </c>
      <c r="BF137" s="44">
        <f t="shared" si="40"/>
        <v>0</v>
      </c>
      <c r="BG137" s="44">
        <f t="shared" si="40"/>
        <v>0</v>
      </c>
      <c r="BH137" s="44">
        <f t="shared" si="40"/>
        <v>0</v>
      </c>
      <c r="BI137" s="44">
        <f t="shared" si="40"/>
        <v>0</v>
      </c>
      <c r="BJ137" s="44">
        <f t="shared" si="40"/>
        <v>0</v>
      </c>
      <c r="BK137" s="44">
        <f t="shared" si="40"/>
        <v>0</v>
      </c>
      <c r="BL137" s="44">
        <f t="shared" si="40"/>
        <v>0</v>
      </c>
    </row>
    <row r="138" spans="1:64" x14ac:dyDescent="0.3">
      <c r="A138" s="8" t="s">
        <v>702</v>
      </c>
      <c r="C138" s="44">
        <f t="shared" si="38"/>
        <v>701923.46328647155</v>
      </c>
      <c r="D138" s="44">
        <f t="shared" ref="D138:AI138" si="41">$F$169*D158</f>
        <v>47012.280643993021</v>
      </c>
      <c r="E138" s="44">
        <f t="shared" si="41"/>
        <v>18168.777335133178</v>
      </c>
      <c r="F138" s="44">
        <f t="shared" si="41"/>
        <v>18174.200924066332</v>
      </c>
      <c r="G138" s="44">
        <f t="shared" si="41"/>
        <v>18180.875646730099</v>
      </c>
      <c r="H138" s="44">
        <f t="shared" si="41"/>
        <v>18187.870928205972</v>
      </c>
      <c r="I138" s="44">
        <f t="shared" si="41"/>
        <v>18191.578907722869</v>
      </c>
      <c r="J138" s="44">
        <f t="shared" si="41"/>
        <v>18193.474133227977</v>
      </c>
      <c r="K138" s="44">
        <f t="shared" si="41"/>
        <v>18193.813492246401</v>
      </c>
      <c r="L138" s="44">
        <f t="shared" si="41"/>
        <v>18193.813492246401</v>
      </c>
      <c r="M138" s="44">
        <f t="shared" si="41"/>
        <v>18193.813492246401</v>
      </c>
      <c r="N138" s="44">
        <f t="shared" si="41"/>
        <v>18193.813492246401</v>
      </c>
      <c r="O138" s="44">
        <f t="shared" si="41"/>
        <v>18193.813492246401</v>
      </c>
      <c r="P138" s="44">
        <f t="shared" si="41"/>
        <v>18193.813492246401</v>
      </c>
      <c r="Q138" s="44">
        <f t="shared" si="41"/>
        <v>18193.813492246401</v>
      </c>
      <c r="R138" s="44">
        <f t="shared" si="41"/>
        <v>18193.813492246401</v>
      </c>
      <c r="S138" s="44">
        <f t="shared" si="41"/>
        <v>18193.813492246401</v>
      </c>
      <c r="T138" s="44">
        <f t="shared" si="41"/>
        <v>18193.813492246401</v>
      </c>
      <c r="U138" s="44">
        <f t="shared" si="41"/>
        <v>18193.813492246401</v>
      </c>
      <c r="V138" s="44">
        <f t="shared" si="41"/>
        <v>18193.813492246401</v>
      </c>
      <c r="W138" s="44">
        <f t="shared" si="41"/>
        <v>18193.813492246401</v>
      </c>
      <c r="X138" s="44">
        <f t="shared" si="41"/>
        <v>18193.813492246401</v>
      </c>
      <c r="Y138" s="44">
        <f t="shared" si="41"/>
        <v>18193.813492246401</v>
      </c>
      <c r="Z138" s="44">
        <f t="shared" si="41"/>
        <v>18193.813492246401</v>
      </c>
      <c r="AA138" s="44">
        <f t="shared" si="41"/>
        <v>18193.813492246401</v>
      </c>
      <c r="AB138" s="44">
        <f t="shared" si="41"/>
        <v>18193.813492246401</v>
      </c>
      <c r="AC138" s="44">
        <f t="shared" si="41"/>
        <v>18193.813492246401</v>
      </c>
      <c r="AD138" s="44">
        <f t="shared" si="41"/>
        <v>18193.813492246401</v>
      </c>
      <c r="AE138" s="44">
        <f t="shared" si="41"/>
        <v>18193.813492246401</v>
      </c>
      <c r="AF138" s="44">
        <f t="shared" si="41"/>
        <v>18193.813492246401</v>
      </c>
      <c r="AG138" s="44">
        <f t="shared" si="41"/>
        <v>18193.813492246401</v>
      </c>
      <c r="AH138" s="44">
        <f t="shared" si="41"/>
        <v>18193.813492246401</v>
      </c>
      <c r="AI138" s="44">
        <f t="shared" si="41"/>
        <v>18193.813492246401</v>
      </c>
      <c r="AJ138" s="44">
        <f t="shared" ref="AJ138:BL138" si="42">$F$169*AJ158</f>
        <v>18193.813492246401</v>
      </c>
      <c r="AK138" s="44">
        <f t="shared" si="42"/>
        <v>18193.813492246401</v>
      </c>
      <c r="AL138" s="44">
        <f t="shared" si="42"/>
        <v>18193.813492246401</v>
      </c>
      <c r="AM138" s="44">
        <f t="shared" si="42"/>
        <v>18193.813492246401</v>
      </c>
      <c r="AN138" s="44">
        <f t="shared" si="42"/>
        <v>18193.813492246401</v>
      </c>
      <c r="AO138" s="44">
        <f t="shared" si="42"/>
        <v>0</v>
      </c>
      <c r="AP138" s="44">
        <f t="shared" si="42"/>
        <v>0</v>
      </c>
      <c r="AQ138" s="44">
        <f t="shared" si="42"/>
        <v>0</v>
      </c>
      <c r="AR138" s="44">
        <f t="shared" si="42"/>
        <v>0</v>
      </c>
      <c r="AS138" s="44">
        <f t="shared" si="42"/>
        <v>0</v>
      </c>
      <c r="AT138" s="44">
        <f t="shared" si="42"/>
        <v>0</v>
      </c>
      <c r="AU138" s="44">
        <f t="shared" si="42"/>
        <v>0</v>
      </c>
      <c r="AV138" s="44">
        <f t="shared" si="42"/>
        <v>0</v>
      </c>
      <c r="AW138" s="44">
        <f t="shared" si="42"/>
        <v>0</v>
      </c>
      <c r="AX138" s="44">
        <f t="shared" si="42"/>
        <v>0</v>
      </c>
      <c r="AY138" s="44">
        <f t="shared" si="42"/>
        <v>0</v>
      </c>
      <c r="AZ138" s="44">
        <f t="shared" si="42"/>
        <v>0</v>
      </c>
      <c r="BA138" s="44">
        <f t="shared" si="42"/>
        <v>0</v>
      </c>
      <c r="BB138" s="44">
        <f t="shared" si="42"/>
        <v>0</v>
      </c>
      <c r="BC138" s="44">
        <f t="shared" si="42"/>
        <v>0</v>
      </c>
      <c r="BD138" s="44">
        <f t="shared" si="42"/>
        <v>0</v>
      </c>
      <c r="BE138" s="44">
        <f t="shared" si="42"/>
        <v>0</v>
      </c>
      <c r="BF138" s="44">
        <f t="shared" si="42"/>
        <v>0</v>
      </c>
      <c r="BG138" s="44">
        <f t="shared" si="42"/>
        <v>0</v>
      </c>
      <c r="BH138" s="44">
        <f t="shared" si="42"/>
        <v>0</v>
      </c>
      <c r="BI138" s="44">
        <f t="shared" si="42"/>
        <v>0</v>
      </c>
      <c r="BJ138" s="44">
        <f t="shared" si="42"/>
        <v>0</v>
      </c>
      <c r="BK138" s="44">
        <f t="shared" si="42"/>
        <v>0</v>
      </c>
      <c r="BL138" s="44">
        <f t="shared" si="42"/>
        <v>0</v>
      </c>
    </row>
    <row r="139" spans="1:64" x14ac:dyDescent="0.3">
      <c r="A139" s="8" t="s">
        <v>1012</v>
      </c>
      <c r="C139" s="44">
        <f t="shared" si="38"/>
        <v>1978450.4407135281</v>
      </c>
      <c r="D139" s="44">
        <f t="shared" ref="D139:AI139" si="43">D136-D137-D138</f>
        <v>-597491.18064399308</v>
      </c>
      <c r="E139" s="44">
        <f t="shared" si="43"/>
        <v>-80365.059446244297</v>
      </c>
      <c r="F139" s="44">
        <f t="shared" si="43"/>
        <v>-49555.354146288555</v>
      </c>
      <c r="G139" s="44">
        <f t="shared" si="43"/>
        <v>-9502.3613133967592</v>
      </c>
      <c r="H139" s="44">
        <f t="shared" si="43"/>
        <v>30550.310960682909</v>
      </c>
      <c r="I139" s="44">
        <f t="shared" si="43"/>
        <v>61361.731870054966</v>
      </c>
      <c r="J139" s="44">
        <f t="shared" si="43"/>
        <v>73685.888200105357</v>
      </c>
      <c r="K139" s="44">
        <f t="shared" si="43"/>
        <v>85418.882174420287</v>
      </c>
      <c r="L139" s="44">
        <f t="shared" si="43"/>
        <v>85418.882174420287</v>
      </c>
      <c r="M139" s="44">
        <f t="shared" si="43"/>
        <v>85418.882174420287</v>
      </c>
      <c r="N139" s="44">
        <f t="shared" si="43"/>
        <v>85418.882174420287</v>
      </c>
      <c r="O139" s="44">
        <f t="shared" si="43"/>
        <v>85418.882174420287</v>
      </c>
      <c r="P139" s="44">
        <f t="shared" si="43"/>
        <v>85418.882174420287</v>
      </c>
      <c r="Q139" s="44">
        <f t="shared" si="43"/>
        <v>85418.882174420287</v>
      </c>
      <c r="R139" s="44">
        <f t="shared" si="43"/>
        <v>85418.882174420287</v>
      </c>
      <c r="S139" s="44">
        <f t="shared" si="43"/>
        <v>85418.882174420287</v>
      </c>
      <c r="T139" s="44">
        <f t="shared" si="43"/>
        <v>79018.882174420287</v>
      </c>
      <c r="U139" s="44">
        <f t="shared" si="43"/>
        <v>85418.882174420287</v>
      </c>
      <c r="V139" s="44">
        <f t="shared" si="43"/>
        <v>85418.882174420287</v>
      </c>
      <c r="W139" s="44">
        <f t="shared" si="43"/>
        <v>85418.882174420287</v>
      </c>
      <c r="X139" s="44">
        <f t="shared" si="43"/>
        <v>85418.882174420287</v>
      </c>
      <c r="Y139" s="44">
        <f t="shared" si="43"/>
        <v>85418.882174420287</v>
      </c>
      <c r="Z139" s="44">
        <f t="shared" si="43"/>
        <v>85418.882174420287</v>
      </c>
      <c r="AA139" s="44">
        <f t="shared" si="43"/>
        <v>85418.882174420287</v>
      </c>
      <c r="AB139" s="44">
        <f t="shared" si="43"/>
        <v>85418.882174420287</v>
      </c>
      <c r="AC139" s="44">
        <f t="shared" si="43"/>
        <v>85418.882174420287</v>
      </c>
      <c r="AD139" s="44">
        <f t="shared" si="43"/>
        <v>85418.882174420287</v>
      </c>
      <c r="AE139" s="44">
        <f t="shared" si="43"/>
        <v>85418.882174420287</v>
      </c>
      <c r="AF139" s="44">
        <f t="shared" si="43"/>
        <v>85418.882174420287</v>
      </c>
      <c r="AG139" s="44">
        <f t="shared" si="43"/>
        <v>85418.882174420287</v>
      </c>
      <c r="AH139" s="44">
        <f t="shared" si="43"/>
        <v>85418.882174420287</v>
      </c>
      <c r="AI139" s="44">
        <f t="shared" si="43"/>
        <v>79018.882174420287</v>
      </c>
      <c r="AJ139" s="44">
        <f t="shared" ref="AJ139:BO139" si="44">AJ136-AJ137-AJ138</f>
        <v>85418.882174420287</v>
      </c>
      <c r="AK139" s="44">
        <f t="shared" si="44"/>
        <v>85418.882174420287</v>
      </c>
      <c r="AL139" s="44">
        <f t="shared" si="44"/>
        <v>85418.882174420287</v>
      </c>
      <c r="AM139" s="44">
        <f t="shared" si="44"/>
        <v>85418.882174420287</v>
      </c>
      <c r="AN139" s="44">
        <f t="shared" si="44"/>
        <v>85418.882174420287</v>
      </c>
      <c r="AO139" s="44">
        <f t="shared" si="44"/>
        <v>0</v>
      </c>
      <c r="AP139" s="44">
        <f t="shared" si="44"/>
        <v>0</v>
      </c>
      <c r="AQ139" s="44">
        <f t="shared" si="44"/>
        <v>0</v>
      </c>
      <c r="AR139" s="44">
        <f t="shared" si="44"/>
        <v>0</v>
      </c>
      <c r="AS139" s="44">
        <f t="shared" si="44"/>
        <v>0</v>
      </c>
      <c r="AT139" s="44">
        <f t="shared" si="44"/>
        <v>0</v>
      </c>
      <c r="AU139" s="44">
        <f t="shared" si="44"/>
        <v>0</v>
      </c>
      <c r="AV139" s="44">
        <f t="shared" si="44"/>
        <v>0</v>
      </c>
      <c r="AW139" s="44">
        <f t="shared" si="44"/>
        <v>0</v>
      </c>
      <c r="AX139" s="44">
        <f t="shared" si="44"/>
        <v>0</v>
      </c>
      <c r="AY139" s="44">
        <f t="shared" si="44"/>
        <v>0</v>
      </c>
      <c r="AZ139" s="44">
        <f t="shared" si="44"/>
        <v>0</v>
      </c>
      <c r="BA139" s="44">
        <f t="shared" si="44"/>
        <v>0</v>
      </c>
      <c r="BB139" s="44">
        <f t="shared" si="44"/>
        <v>0</v>
      </c>
      <c r="BC139" s="44">
        <f t="shared" si="44"/>
        <v>0</v>
      </c>
      <c r="BD139" s="44">
        <f t="shared" si="44"/>
        <v>0</v>
      </c>
      <c r="BE139" s="44">
        <f t="shared" si="44"/>
        <v>0</v>
      </c>
      <c r="BF139" s="44">
        <f t="shared" si="44"/>
        <v>0</v>
      </c>
      <c r="BG139" s="44">
        <f t="shared" si="44"/>
        <v>0</v>
      </c>
      <c r="BH139" s="44">
        <f t="shared" si="44"/>
        <v>0</v>
      </c>
      <c r="BI139" s="44">
        <f t="shared" si="44"/>
        <v>0</v>
      </c>
      <c r="BJ139" s="44">
        <f t="shared" si="44"/>
        <v>0</v>
      </c>
      <c r="BK139" s="44">
        <f t="shared" si="44"/>
        <v>0</v>
      </c>
      <c r="BL139" s="44">
        <f t="shared" si="44"/>
        <v>0</v>
      </c>
    </row>
    <row r="140" spans="1:64" x14ac:dyDescent="0.3">
      <c r="A140" s="8" t="s">
        <v>1013</v>
      </c>
      <c r="D140" s="44">
        <f>D139</f>
        <v>-597491.18064399308</v>
      </c>
      <c r="E140" s="44">
        <f t="shared" ref="E140:AJ140" si="45">D140+E139</f>
        <v>-677856.24009023735</v>
      </c>
      <c r="F140" s="44">
        <f t="shared" si="45"/>
        <v>-727411.59423652594</v>
      </c>
      <c r="G140" s="44">
        <f t="shared" si="45"/>
        <v>-736913.95554992266</v>
      </c>
      <c r="H140" s="44">
        <f t="shared" si="45"/>
        <v>-706363.64458923973</v>
      </c>
      <c r="I140" s="44">
        <f t="shared" si="45"/>
        <v>-645001.91271918477</v>
      </c>
      <c r="J140" s="44">
        <f t="shared" si="45"/>
        <v>-571316.02451907936</v>
      </c>
      <c r="K140" s="44">
        <f t="shared" si="45"/>
        <v>-485897.14234465908</v>
      </c>
      <c r="L140" s="44">
        <f t="shared" si="45"/>
        <v>-400478.26017023879</v>
      </c>
      <c r="M140" s="44">
        <f t="shared" si="45"/>
        <v>-315059.3779958185</v>
      </c>
      <c r="N140" s="44">
        <f t="shared" si="45"/>
        <v>-229640.49582139822</v>
      </c>
      <c r="O140" s="44">
        <f t="shared" si="45"/>
        <v>-144221.61364697793</v>
      </c>
      <c r="P140" s="44">
        <f t="shared" si="45"/>
        <v>-58802.731472557643</v>
      </c>
      <c r="Q140" s="44">
        <f t="shared" si="45"/>
        <v>26616.150701862643</v>
      </c>
      <c r="R140" s="44">
        <f t="shared" si="45"/>
        <v>112035.03287628293</v>
      </c>
      <c r="S140" s="44">
        <f t="shared" si="45"/>
        <v>197453.91505070322</v>
      </c>
      <c r="T140" s="44">
        <f t="shared" si="45"/>
        <v>276472.7972251235</v>
      </c>
      <c r="U140" s="44">
        <f t="shared" si="45"/>
        <v>361891.67939954379</v>
      </c>
      <c r="V140" s="44">
        <f t="shared" si="45"/>
        <v>447310.56157396408</v>
      </c>
      <c r="W140" s="44">
        <f t="shared" si="45"/>
        <v>532729.44374838436</v>
      </c>
      <c r="X140" s="44">
        <f t="shared" si="45"/>
        <v>618148.32592280465</v>
      </c>
      <c r="Y140" s="44">
        <f t="shared" si="45"/>
        <v>703567.20809722494</v>
      </c>
      <c r="Z140" s="44">
        <f t="shared" si="45"/>
        <v>788986.09027164523</v>
      </c>
      <c r="AA140" s="44">
        <f t="shared" si="45"/>
        <v>874404.97244606551</v>
      </c>
      <c r="AB140" s="44">
        <f t="shared" si="45"/>
        <v>959823.8546204858</v>
      </c>
      <c r="AC140" s="44">
        <f t="shared" si="45"/>
        <v>1045242.7367949061</v>
      </c>
      <c r="AD140" s="44">
        <f t="shared" si="45"/>
        <v>1130661.6189693264</v>
      </c>
      <c r="AE140" s="44">
        <f t="shared" si="45"/>
        <v>1216080.5011437465</v>
      </c>
      <c r="AF140" s="44">
        <f t="shared" si="45"/>
        <v>1301499.3833181667</v>
      </c>
      <c r="AG140" s="44">
        <f t="shared" si="45"/>
        <v>1386918.2654925869</v>
      </c>
      <c r="AH140" s="44">
        <f t="shared" si="45"/>
        <v>1472337.1476670071</v>
      </c>
      <c r="AI140" s="44">
        <f t="shared" si="45"/>
        <v>1551356.0298414272</v>
      </c>
      <c r="AJ140" s="44">
        <f t="shared" si="45"/>
        <v>1636774.9120158474</v>
      </c>
      <c r="AK140" s="44">
        <f t="shared" ref="AK140:BP140" si="46">AJ140+AK139</f>
        <v>1722193.7941902676</v>
      </c>
      <c r="AL140" s="44">
        <f t="shared" si="46"/>
        <v>1807612.6763646877</v>
      </c>
      <c r="AM140" s="44">
        <f t="shared" si="46"/>
        <v>1893031.5585391079</v>
      </c>
      <c r="AN140" s="44">
        <f t="shared" si="46"/>
        <v>1978450.4407135281</v>
      </c>
      <c r="AO140" s="44">
        <f t="shared" si="46"/>
        <v>1978450.4407135281</v>
      </c>
      <c r="AP140" s="44">
        <f t="shared" si="46"/>
        <v>1978450.4407135281</v>
      </c>
      <c r="AQ140" s="44">
        <f t="shared" si="46"/>
        <v>1978450.4407135281</v>
      </c>
      <c r="AR140" s="44">
        <f t="shared" si="46"/>
        <v>1978450.4407135281</v>
      </c>
      <c r="AS140" s="44">
        <f t="shared" si="46"/>
        <v>1978450.4407135281</v>
      </c>
      <c r="AT140" s="44">
        <f t="shared" si="46"/>
        <v>1978450.4407135281</v>
      </c>
      <c r="AU140" s="44">
        <f t="shared" si="46"/>
        <v>1978450.4407135281</v>
      </c>
      <c r="AV140" s="44">
        <f t="shared" si="46"/>
        <v>1978450.4407135281</v>
      </c>
      <c r="AW140" s="44">
        <f t="shared" si="46"/>
        <v>1978450.4407135281</v>
      </c>
      <c r="AX140" s="44">
        <f t="shared" si="46"/>
        <v>1978450.4407135281</v>
      </c>
      <c r="AY140" s="44">
        <f t="shared" si="46"/>
        <v>1978450.4407135281</v>
      </c>
      <c r="AZ140" s="44">
        <f t="shared" si="46"/>
        <v>1978450.4407135281</v>
      </c>
      <c r="BA140" s="44">
        <f t="shared" si="46"/>
        <v>1978450.4407135281</v>
      </c>
      <c r="BB140" s="44">
        <f t="shared" si="46"/>
        <v>1978450.4407135281</v>
      </c>
      <c r="BC140" s="44">
        <f t="shared" si="46"/>
        <v>1978450.4407135281</v>
      </c>
      <c r="BD140" s="44">
        <f t="shared" si="46"/>
        <v>1978450.4407135281</v>
      </c>
      <c r="BE140" s="44">
        <f t="shared" si="46"/>
        <v>1978450.4407135281</v>
      </c>
      <c r="BF140" s="44">
        <f t="shared" si="46"/>
        <v>1978450.4407135281</v>
      </c>
      <c r="BG140" s="44">
        <f t="shared" si="46"/>
        <v>1978450.4407135281</v>
      </c>
      <c r="BH140" s="44">
        <f t="shared" si="46"/>
        <v>1978450.4407135281</v>
      </c>
      <c r="BI140" s="44">
        <f t="shared" si="46"/>
        <v>1978450.4407135281</v>
      </c>
      <c r="BJ140" s="44">
        <f t="shared" si="46"/>
        <v>1978450.4407135281</v>
      </c>
      <c r="BK140" s="44">
        <f t="shared" si="46"/>
        <v>1978450.4407135281</v>
      </c>
      <c r="BL140" s="44">
        <f t="shared" si="46"/>
        <v>1978450.4407135281</v>
      </c>
    </row>
    <row r="141" spans="1:64" x14ac:dyDescent="0.3">
      <c r="A141" s="8" t="s">
        <v>1014</v>
      </c>
      <c r="C141" s="22">
        <f>IF(COUNT(E141:BL141)=0,"None",MIN(E141:BL141))</f>
        <v>13</v>
      </c>
      <c r="E141" s="22" t="str">
        <f>IF(AND(E$4&lt;=Org!$B$5,E140&gt;=0),E$4,"")</f>
        <v/>
      </c>
      <c r="F141" s="22" t="str">
        <f>IF(AND(F$4&lt;=Org!$B$5,F140&gt;=0),F$4,"")</f>
        <v/>
      </c>
      <c r="G141" s="22" t="str">
        <f>IF(AND(G$4&lt;=Org!$B$5,G140&gt;=0),G$4,"")</f>
        <v/>
      </c>
      <c r="H141" s="22" t="str">
        <f>IF(AND(H$4&lt;=Org!$B$5,H140&gt;=0),H$4,"")</f>
        <v/>
      </c>
      <c r="I141" s="22" t="str">
        <f>IF(AND(I$4&lt;=Org!$B$5,I140&gt;=0),I$4,"")</f>
        <v/>
      </c>
      <c r="J141" s="22" t="str">
        <f>IF(AND(J$4&lt;=Org!$B$5,J140&gt;=0),J$4,"")</f>
        <v/>
      </c>
      <c r="K141" s="22" t="str">
        <f>IF(AND(K$4&lt;=Org!$B$5,K140&gt;=0),K$4,"")</f>
        <v/>
      </c>
      <c r="L141" s="22" t="str">
        <f>IF(AND(L$4&lt;=Org!$B$5,L140&gt;=0),L$4,"")</f>
        <v/>
      </c>
      <c r="M141" s="22" t="str">
        <f>IF(AND(M$4&lt;=Org!$B$5,M140&gt;=0),M$4,"")</f>
        <v/>
      </c>
      <c r="N141" s="22" t="str">
        <f>IF(AND(N$4&lt;=Org!$B$5,N140&gt;=0),N$4,"")</f>
        <v/>
      </c>
      <c r="O141" s="22" t="str">
        <f>IF(AND(O$4&lt;=Org!$B$5,O140&gt;=0),O$4,"")</f>
        <v/>
      </c>
      <c r="P141" s="22" t="str">
        <f>IF(AND(P$4&lt;=Org!$B$5,P140&gt;=0),P$4,"")</f>
        <v/>
      </c>
      <c r="Q141" s="22">
        <f>IF(AND(Q$4&lt;=Org!$B$5,Q140&gt;=0),Q$4,"")</f>
        <v>13</v>
      </c>
      <c r="R141" s="22">
        <f>IF(AND(R$4&lt;=Org!$B$5,R140&gt;=0),R$4,"")</f>
        <v>14</v>
      </c>
      <c r="S141" s="22">
        <f>IF(AND(S$4&lt;=Org!$B$5,S140&gt;=0),S$4,"")</f>
        <v>15</v>
      </c>
      <c r="T141" s="22">
        <f>IF(AND(T$4&lt;=Org!$B$5,T140&gt;=0),T$4,"")</f>
        <v>16</v>
      </c>
      <c r="U141" s="22">
        <f>IF(AND(U$4&lt;=Org!$B$5,U140&gt;=0),U$4,"")</f>
        <v>17</v>
      </c>
      <c r="V141" s="22">
        <f>IF(AND(V$4&lt;=Org!$B$5,V140&gt;=0),V$4,"")</f>
        <v>18</v>
      </c>
      <c r="W141" s="22">
        <f>IF(AND(W$4&lt;=Org!$B$5,W140&gt;=0),W$4,"")</f>
        <v>19</v>
      </c>
      <c r="X141" s="22">
        <f>IF(AND(X$4&lt;=Org!$B$5,X140&gt;=0),X$4,"")</f>
        <v>20</v>
      </c>
      <c r="Y141" s="22">
        <f>IF(AND(Y$4&lt;=Org!$B$5,Y140&gt;=0),Y$4,"")</f>
        <v>21</v>
      </c>
      <c r="Z141" s="22">
        <f>IF(AND(Z$4&lt;=Org!$B$5,Z140&gt;=0),Z$4,"")</f>
        <v>22</v>
      </c>
      <c r="AA141" s="22">
        <f>IF(AND(AA$4&lt;=Org!$B$5,AA140&gt;=0),AA$4,"")</f>
        <v>23</v>
      </c>
      <c r="AB141" s="22">
        <f>IF(AND(AB$4&lt;=Org!$B$5,AB140&gt;=0),AB$4,"")</f>
        <v>24</v>
      </c>
      <c r="AC141" s="22">
        <f>IF(AND(AC$4&lt;=Org!$B$5,AC140&gt;=0),AC$4,"")</f>
        <v>25</v>
      </c>
      <c r="AD141" s="22">
        <f>IF(AND(AD$4&lt;=Org!$B$5,AD140&gt;=0),AD$4,"")</f>
        <v>26</v>
      </c>
      <c r="AE141" s="22">
        <f>IF(AND(AE$4&lt;=Org!$B$5,AE140&gt;=0),AE$4,"")</f>
        <v>27</v>
      </c>
      <c r="AF141" s="22">
        <f>IF(AND(AF$4&lt;=Org!$B$5,AF140&gt;=0),AF$4,"")</f>
        <v>28</v>
      </c>
      <c r="AG141" s="22">
        <f>IF(AND(AG$4&lt;=Org!$B$5,AG140&gt;=0),AG$4,"")</f>
        <v>29</v>
      </c>
      <c r="AH141" s="22">
        <f>IF(AND(AH$4&lt;=Org!$B$5,AH140&gt;=0),AH$4,"")</f>
        <v>30</v>
      </c>
      <c r="AI141" s="22">
        <f>IF(AND(AI$4&lt;=Org!$B$5,AI140&gt;=0),AI$4,"")</f>
        <v>31</v>
      </c>
      <c r="AJ141" s="22">
        <f>IF(AND(AJ$4&lt;=Org!$B$5,AJ140&gt;=0),AJ$4,"")</f>
        <v>32</v>
      </c>
      <c r="AK141" s="22">
        <f>IF(AND(AK$4&lt;=Org!$B$5,AK140&gt;=0),AK$4,"")</f>
        <v>33</v>
      </c>
      <c r="AL141" s="22">
        <f>IF(AND(AL$4&lt;=Org!$B$5,AL140&gt;=0),AL$4,"")</f>
        <v>34</v>
      </c>
      <c r="AM141" s="22">
        <f>IF(AND(AM$4&lt;=Org!$B$5,AM140&gt;=0),AM$4,"")</f>
        <v>35</v>
      </c>
      <c r="AN141" s="22">
        <f>IF(AND(AN$4&lt;=Org!$B$5,AN140&gt;=0),AN$4,"")</f>
        <v>36</v>
      </c>
      <c r="AO141" s="22" t="str">
        <f>IF(AND(AO$4&lt;=Org!$B$5,AO140&gt;=0),AO$4,"")</f>
        <v/>
      </c>
      <c r="AP141" s="22" t="str">
        <f>IF(AND(AP$4&lt;=Org!$B$5,AP140&gt;=0),AP$4,"")</f>
        <v/>
      </c>
      <c r="AQ141" s="22" t="str">
        <f>IF(AND(AQ$4&lt;=Org!$B$5,AQ140&gt;=0),AQ$4,"")</f>
        <v/>
      </c>
      <c r="AR141" s="22" t="str">
        <f>IF(AND(AR$4&lt;=Org!$B$5,AR140&gt;=0),AR$4,"")</f>
        <v/>
      </c>
      <c r="AS141" s="22" t="str">
        <f>IF(AND(AS$4&lt;=Org!$B$5,AS140&gt;=0),AS$4,"")</f>
        <v/>
      </c>
      <c r="AT141" s="22" t="str">
        <f>IF(AND(AT$4&lt;=Org!$B$5,AT140&gt;=0),AT$4,"")</f>
        <v/>
      </c>
      <c r="AU141" s="22" t="str">
        <f>IF(AND(AU$4&lt;=Org!$B$5,AU140&gt;=0),AU$4,"")</f>
        <v/>
      </c>
      <c r="AV141" s="22" t="str">
        <f>IF(AND(AV$4&lt;=Org!$B$5,AV140&gt;=0),AV$4,"")</f>
        <v/>
      </c>
      <c r="AW141" s="22" t="str">
        <f>IF(AND(AW$4&lt;=Org!$B$5,AW140&gt;=0),AW$4,"")</f>
        <v/>
      </c>
      <c r="AX141" s="22" t="str">
        <f>IF(AND(AX$4&lt;=Org!$B$5,AX140&gt;=0),AX$4,"")</f>
        <v/>
      </c>
      <c r="AY141" s="22" t="str">
        <f>IF(AND(AY$4&lt;=Org!$B$5,AY140&gt;=0),AY$4,"")</f>
        <v/>
      </c>
      <c r="AZ141" s="22" t="str">
        <f>IF(AND(AZ$4&lt;=Org!$B$5,AZ140&gt;=0),AZ$4,"")</f>
        <v/>
      </c>
      <c r="BA141" s="22" t="str">
        <f>IF(AND(BA$4&lt;=Org!$B$5,BA140&gt;=0),BA$4,"")</f>
        <v/>
      </c>
      <c r="BB141" s="22" t="str">
        <f>IF(AND(BB$4&lt;=Org!$B$5,BB140&gt;=0),BB$4,"")</f>
        <v/>
      </c>
      <c r="BC141" s="22" t="str">
        <f>IF(AND(BC$4&lt;=Org!$B$5,BC140&gt;=0),BC$4,"")</f>
        <v/>
      </c>
      <c r="BD141" s="22" t="str">
        <f>IF(AND(BD$4&lt;=Org!$B$5,BD140&gt;=0),BD$4,"")</f>
        <v/>
      </c>
      <c r="BE141" s="22" t="str">
        <f>IF(AND(BE$4&lt;=Org!$B$5,BE140&gt;=0),BE$4,"")</f>
        <v/>
      </c>
      <c r="BF141" s="22" t="str">
        <f>IF(AND(BF$4&lt;=Org!$B$5,BF140&gt;=0),BF$4,"")</f>
        <v/>
      </c>
      <c r="BG141" s="22" t="str">
        <f>IF(AND(BG$4&lt;=Org!$B$5,BG140&gt;=0),BG$4,"")</f>
        <v/>
      </c>
      <c r="BH141" s="22" t="str">
        <f>IF(AND(BH$4&lt;=Org!$B$5,BH140&gt;=0),BH$4,"")</f>
        <v/>
      </c>
      <c r="BI141" s="22" t="str">
        <f>IF(AND(BI$4&lt;=Org!$B$5,BI140&gt;=0),BI$4,"")</f>
        <v/>
      </c>
      <c r="BJ141" s="22" t="str">
        <f>IF(AND(BJ$4&lt;=Org!$B$5,BJ140&gt;=0),BJ$4,"")</f>
        <v/>
      </c>
      <c r="BK141" s="22" t="str">
        <f>IF(AND(BK$4&lt;=Org!$B$5,BK140&gt;=0),BK$4,"")</f>
        <v/>
      </c>
      <c r="BL141" s="22" t="str">
        <f>IF(AND(BL$4&lt;=Org!$B$5,BL140&gt;=0),BL$4,"")</f>
        <v/>
      </c>
    </row>
    <row r="143" spans="1:64" x14ac:dyDescent="0.3">
      <c r="A143" s="7" t="s">
        <v>1015</v>
      </c>
    </row>
    <row r="144" spans="1:64" x14ac:dyDescent="0.3">
      <c r="A144" s="8" t="s">
        <v>1016</v>
      </c>
      <c r="C144" s="22">
        <f>SUMPRODUCT(E144:BL144,E$5:BL$5)</f>
        <v>12149200</v>
      </c>
      <c r="E144" s="22">
        <f t="shared" ref="E144:AJ144" si="47">E12+E39+E66+E93+E120</f>
        <v>45333.333333333336</v>
      </c>
      <c r="F144" s="22">
        <f t="shared" si="47"/>
        <v>113629.62962962964</v>
      </c>
      <c r="G144" s="22">
        <f t="shared" si="47"/>
        <v>197680.77037037036</v>
      </c>
      <c r="H144" s="22">
        <f t="shared" si="47"/>
        <v>285768.53333333333</v>
      </c>
      <c r="I144" s="22">
        <f t="shared" si="47"/>
        <v>332461.09629629634</v>
      </c>
      <c r="J144" s="22">
        <f t="shared" si="47"/>
        <v>356326.637037037</v>
      </c>
      <c r="K144" s="22">
        <f t="shared" si="47"/>
        <v>360600</v>
      </c>
      <c r="L144" s="22">
        <f t="shared" si="47"/>
        <v>360600</v>
      </c>
      <c r="M144" s="22">
        <f t="shared" si="47"/>
        <v>360600</v>
      </c>
      <c r="N144" s="22">
        <f t="shared" si="47"/>
        <v>360600</v>
      </c>
      <c r="O144" s="22">
        <f t="shared" si="47"/>
        <v>360600</v>
      </c>
      <c r="P144" s="22">
        <f t="shared" si="47"/>
        <v>360600</v>
      </c>
      <c r="Q144" s="22">
        <f t="shared" si="47"/>
        <v>360600</v>
      </c>
      <c r="R144" s="22">
        <f t="shared" si="47"/>
        <v>360600</v>
      </c>
      <c r="S144" s="22">
        <f t="shared" si="47"/>
        <v>360600</v>
      </c>
      <c r="T144" s="22">
        <f t="shared" si="47"/>
        <v>360600</v>
      </c>
      <c r="U144" s="22">
        <f t="shared" si="47"/>
        <v>360600</v>
      </c>
      <c r="V144" s="22">
        <f t="shared" si="47"/>
        <v>360600</v>
      </c>
      <c r="W144" s="22">
        <f t="shared" si="47"/>
        <v>360600</v>
      </c>
      <c r="X144" s="22">
        <f t="shared" si="47"/>
        <v>360600</v>
      </c>
      <c r="Y144" s="22">
        <f t="shared" si="47"/>
        <v>360600</v>
      </c>
      <c r="Z144" s="22">
        <f t="shared" si="47"/>
        <v>360600</v>
      </c>
      <c r="AA144" s="22">
        <f t="shared" si="47"/>
        <v>360600</v>
      </c>
      <c r="AB144" s="22">
        <f t="shared" si="47"/>
        <v>360600</v>
      </c>
      <c r="AC144" s="22">
        <f t="shared" si="47"/>
        <v>360600</v>
      </c>
      <c r="AD144" s="22">
        <f t="shared" si="47"/>
        <v>360600</v>
      </c>
      <c r="AE144" s="22">
        <f t="shared" si="47"/>
        <v>360600</v>
      </c>
      <c r="AF144" s="22">
        <f t="shared" si="47"/>
        <v>360600</v>
      </c>
      <c r="AG144" s="22">
        <f t="shared" si="47"/>
        <v>360600</v>
      </c>
      <c r="AH144" s="22">
        <f t="shared" si="47"/>
        <v>360600</v>
      </c>
      <c r="AI144" s="22">
        <f t="shared" si="47"/>
        <v>360600</v>
      </c>
      <c r="AJ144" s="22">
        <f t="shared" si="47"/>
        <v>360600</v>
      </c>
      <c r="AK144" s="22">
        <f t="shared" ref="AK144:BL144" si="48">AK12+AK39+AK66+AK93+AK120</f>
        <v>360600</v>
      </c>
      <c r="AL144" s="22">
        <f t="shared" si="48"/>
        <v>360600</v>
      </c>
      <c r="AM144" s="22">
        <f t="shared" si="48"/>
        <v>360600</v>
      </c>
      <c r="AN144" s="22">
        <f t="shared" si="48"/>
        <v>360600</v>
      </c>
      <c r="AO144" s="22">
        <f t="shared" si="48"/>
        <v>360600</v>
      </c>
      <c r="AP144" s="22">
        <f t="shared" si="48"/>
        <v>360600</v>
      </c>
      <c r="AQ144" s="22">
        <f t="shared" si="48"/>
        <v>360600</v>
      </c>
      <c r="AR144" s="22">
        <f t="shared" si="48"/>
        <v>360600</v>
      </c>
      <c r="AS144" s="22">
        <f t="shared" si="48"/>
        <v>360600</v>
      </c>
      <c r="AT144" s="22">
        <f t="shared" si="48"/>
        <v>360600</v>
      </c>
      <c r="AU144" s="22">
        <f t="shared" si="48"/>
        <v>360600</v>
      </c>
      <c r="AV144" s="22">
        <f t="shared" si="48"/>
        <v>360600</v>
      </c>
      <c r="AW144" s="22">
        <f t="shared" si="48"/>
        <v>360600</v>
      </c>
      <c r="AX144" s="22">
        <f t="shared" si="48"/>
        <v>360600</v>
      </c>
      <c r="AY144" s="22">
        <f t="shared" si="48"/>
        <v>360600</v>
      </c>
      <c r="AZ144" s="22">
        <f t="shared" si="48"/>
        <v>360600</v>
      </c>
      <c r="BA144" s="22">
        <f t="shared" si="48"/>
        <v>360600</v>
      </c>
      <c r="BB144" s="22">
        <f t="shared" si="48"/>
        <v>360600</v>
      </c>
      <c r="BC144" s="22">
        <f t="shared" si="48"/>
        <v>360600</v>
      </c>
      <c r="BD144" s="22">
        <f t="shared" si="48"/>
        <v>360600</v>
      </c>
      <c r="BE144" s="22">
        <f t="shared" si="48"/>
        <v>360600</v>
      </c>
      <c r="BF144" s="22">
        <f t="shared" si="48"/>
        <v>360600</v>
      </c>
      <c r="BG144" s="22">
        <f t="shared" si="48"/>
        <v>360600</v>
      </c>
      <c r="BH144" s="22">
        <f t="shared" si="48"/>
        <v>360600</v>
      </c>
      <c r="BI144" s="22">
        <f t="shared" si="48"/>
        <v>360600</v>
      </c>
      <c r="BJ144" s="22">
        <f t="shared" si="48"/>
        <v>360600</v>
      </c>
      <c r="BK144" s="22">
        <f t="shared" si="48"/>
        <v>360600</v>
      </c>
      <c r="BL144" s="22">
        <f t="shared" si="48"/>
        <v>360600</v>
      </c>
    </row>
    <row r="145" spans="1:64" x14ac:dyDescent="0.3">
      <c r="A145" s="8" t="s">
        <v>1017</v>
      </c>
      <c r="B145" s="18" t="s">
        <v>169</v>
      </c>
      <c r="C145" s="44">
        <f t="shared" ref="C145:C158" si="49">SUM(D145:BL145)</f>
        <v>96000</v>
      </c>
      <c r="D145" s="44">
        <f>Params!$E$11*Org!$B$10</f>
        <v>96000</v>
      </c>
    </row>
    <row r="146" spans="1:64" x14ac:dyDescent="0.3">
      <c r="A146" s="8" t="s">
        <v>1018</v>
      </c>
      <c r="B146" s="18" t="s">
        <v>169</v>
      </c>
      <c r="C146" s="44">
        <f t="shared" si="49"/>
        <v>44800</v>
      </c>
      <c r="D146" s="44">
        <f>SUMPRODUCT(Teams!$C$5:$G$5,Teams!$C$43:$G$43)*Params!$E$8*Org!$B$10</f>
        <v>44800</v>
      </c>
    </row>
    <row r="147" spans="1:64" x14ac:dyDescent="0.3">
      <c r="A147" s="8" t="s">
        <v>1019</v>
      </c>
      <c r="B147" s="18" t="s">
        <v>169</v>
      </c>
      <c r="C147" s="44">
        <f t="shared" si="49"/>
        <v>64000</v>
      </c>
      <c r="D147" s="44">
        <f>(Org!$B$18*Params!$E$14+Params!$E$15)*Org!$B$10</f>
        <v>64000</v>
      </c>
    </row>
    <row r="148" spans="1:64" x14ac:dyDescent="0.3">
      <c r="A148" s="8" t="s">
        <v>1020</v>
      </c>
      <c r="B148" s="18" t="s">
        <v>169</v>
      </c>
      <c r="C148" s="44">
        <f t="shared" si="49"/>
        <v>32000</v>
      </c>
      <c r="D148" s="44">
        <f>Org!$B$18*Params!$E$18*Org!$B$10</f>
        <v>32000</v>
      </c>
    </row>
    <row r="149" spans="1:64" x14ac:dyDescent="0.3">
      <c r="A149" s="8" t="s">
        <v>1021</v>
      </c>
      <c r="B149" s="18" t="s">
        <v>169</v>
      </c>
      <c r="C149" s="44">
        <f t="shared" si="49"/>
        <v>57600</v>
      </c>
      <c r="E149" s="44">
        <f>E$5*$D$145*Params!$E$12/12</f>
        <v>1600</v>
      </c>
      <c r="F149" s="44">
        <f>F$5*$D$145*Params!$E$12/12</f>
        <v>1600</v>
      </c>
      <c r="G149" s="44">
        <f>G$5*$D$145*Params!$E$12/12</f>
        <v>1600</v>
      </c>
      <c r="H149" s="44">
        <f>H$5*$D$145*Params!$E$12/12</f>
        <v>1600</v>
      </c>
      <c r="I149" s="44">
        <f>I$5*$D$145*Params!$E$12/12</f>
        <v>1600</v>
      </c>
      <c r="J149" s="44">
        <f>J$5*$D$145*Params!$E$12/12</f>
        <v>1600</v>
      </c>
      <c r="K149" s="44">
        <f>K$5*$D$145*Params!$E$12/12</f>
        <v>1600</v>
      </c>
      <c r="L149" s="44">
        <f>L$5*$D$145*Params!$E$12/12</f>
        <v>1600</v>
      </c>
      <c r="M149" s="44">
        <f>M$5*$D$145*Params!$E$12/12</f>
        <v>1600</v>
      </c>
      <c r="N149" s="44">
        <f>N$5*$D$145*Params!$E$12/12</f>
        <v>1600</v>
      </c>
      <c r="O149" s="44">
        <f>O$5*$D$145*Params!$E$12/12</f>
        <v>1600</v>
      </c>
      <c r="P149" s="44">
        <f>P$5*$D$145*Params!$E$12/12</f>
        <v>1600</v>
      </c>
      <c r="Q149" s="44">
        <f>Q$5*$D$145*Params!$E$12/12</f>
        <v>1600</v>
      </c>
      <c r="R149" s="44">
        <f>R$5*$D$145*Params!$E$12/12</f>
        <v>1600</v>
      </c>
      <c r="S149" s="44">
        <f>S$5*$D$145*Params!$E$12/12</f>
        <v>1600</v>
      </c>
      <c r="T149" s="44">
        <f>T$5*$D$145*Params!$E$12/12</f>
        <v>1600</v>
      </c>
      <c r="U149" s="44">
        <f>U$5*$D$145*Params!$E$12/12</f>
        <v>1600</v>
      </c>
      <c r="V149" s="44">
        <f>V$5*$D$145*Params!$E$12/12</f>
        <v>1600</v>
      </c>
      <c r="W149" s="44">
        <f>W$5*$D$145*Params!$E$12/12</f>
        <v>1600</v>
      </c>
      <c r="X149" s="44">
        <f>X$5*$D$145*Params!$E$12/12</f>
        <v>1600</v>
      </c>
      <c r="Y149" s="44">
        <f>Y$5*$D$145*Params!$E$12/12</f>
        <v>1600</v>
      </c>
      <c r="Z149" s="44">
        <f>Z$5*$D$145*Params!$E$12/12</f>
        <v>1600</v>
      </c>
      <c r="AA149" s="44">
        <f>AA$5*$D$145*Params!$E$12/12</f>
        <v>1600</v>
      </c>
      <c r="AB149" s="44">
        <f>AB$5*$D$145*Params!$E$12/12</f>
        <v>1600</v>
      </c>
      <c r="AC149" s="44">
        <f>AC$5*$D$145*Params!$E$12/12</f>
        <v>1600</v>
      </c>
      <c r="AD149" s="44">
        <f>AD$5*$D$145*Params!$E$12/12</f>
        <v>1600</v>
      </c>
      <c r="AE149" s="44">
        <f>AE$5*$D$145*Params!$E$12/12</f>
        <v>1600</v>
      </c>
      <c r="AF149" s="44">
        <f>AF$5*$D$145*Params!$E$12/12</f>
        <v>1600</v>
      </c>
      <c r="AG149" s="44">
        <f>AG$5*$D$145*Params!$E$12/12</f>
        <v>1600</v>
      </c>
      <c r="AH149" s="44">
        <f>AH$5*$D$145*Params!$E$12/12</f>
        <v>1600</v>
      </c>
      <c r="AI149" s="44">
        <f>AI$5*$D$145*Params!$E$12/12</f>
        <v>1600</v>
      </c>
      <c r="AJ149" s="44">
        <f>AJ$5*$D$145*Params!$E$12/12</f>
        <v>1600</v>
      </c>
      <c r="AK149" s="44">
        <f>AK$5*$D$145*Params!$E$12/12</f>
        <v>1600</v>
      </c>
      <c r="AL149" s="44">
        <f>AL$5*$D$145*Params!$E$12/12</f>
        <v>1600</v>
      </c>
      <c r="AM149" s="44">
        <f>AM$5*$D$145*Params!$E$12/12</f>
        <v>1600</v>
      </c>
      <c r="AN149" s="44">
        <f>AN$5*$D$145*Params!$E$12/12</f>
        <v>1600</v>
      </c>
      <c r="AO149" s="44">
        <f>AO$5*$D$145*Params!$E$12/12</f>
        <v>0</v>
      </c>
      <c r="AP149" s="44">
        <f>AP$5*$D$145*Params!$E$12/12</f>
        <v>0</v>
      </c>
      <c r="AQ149" s="44">
        <f>AQ$5*$D$145*Params!$E$12/12</f>
        <v>0</v>
      </c>
      <c r="AR149" s="44">
        <f>AR$5*$D$145*Params!$E$12/12</f>
        <v>0</v>
      </c>
      <c r="AS149" s="44">
        <f>AS$5*$D$145*Params!$E$12/12</f>
        <v>0</v>
      </c>
      <c r="AT149" s="44">
        <f>AT$5*$D$145*Params!$E$12/12</f>
        <v>0</v>
      </c>
      <c r="AU149" s="44">
        <f>AU$5*$D$145*Params!$E$12/12</f>
        <v>0</v>
      </c>
      <c r="AV149" s="44">
        <f>AV$5*$D$145*Params!$E$12/12</f>
        <v>0</v>
      </c>
      <c r="AW149" s="44">
        <f>AW$5*$D$145*Params!$E$12/12</f>
        <v>0</v>
      </c>
      <c r="AX149" s="44">
        <f>AX$5*$D$145*Params!$E$12/12</f>
        <v>0</v>
      </c>
      <c r="AY149" s="44">
        <f>AY$5*$D$145*Params!$E$12/12</f>
        <v>0</v>
      </c>
      <c r="AZ149" s="44">
        <f>AZ$5*$D$145*Params!$E$12/12</f>
        <v>0</v>
      </c>
      <c r="BA149" s="44">
        <f>BA$5*$D$145*Params!$E$12/12</f>
        <v>0</v>
      </c>
      <c r="BB149" s="44">
        <f>BB$5*$D$145*Params!$E$12/12</f>
        <v>0</v>
      </c>
      <c r="BC149" s="44">
        <f>BC$5*$D$145*Params!$E$12/12</f>
        <v>0</v>
      </c>
      <c r="BD149" s="44">
        <f>BD$5*$D$145*Params!$E$12/12</f>
        <v>0</v>
      </c>
      <c r="BE149" s="44">
        <f>BE$5*$D$145*Params!$E$12/12</f>
        <v>0</v>
      </c>
      <c r="BF149" s="44">
        <f>BF$5*$D$145*Params!$E$12/12</f>
        <v>0</v>
      </c>
      <c r="BG149" s="44">
        <f>BG$5*$D$145*Params!$E$12/12</f>
        <v>0</v>
      </c>
      <c r="BH149" s="44">
        <f>BH$5*$D$145*Params!$E$12/12</f>
        <v>0</v>
      </c>
      <c r="BI149" s="44">
        <f>BI$5*$D$145*Params!$E$12/12</f>
        <v>0</v>
      </c>
      <c r="BJ149" s="44">
        <f>BJ$5*$D$145*Params!$E$12/12</f>
        <v>0</v>
      </c>
      <c r="BK149" s="44">
        <f>BK$5*$D$145*Params!$E$12/12</f>
        <v>0</v>
      </c>
      <c r="BL149" s="44">
        <f>BL$5*$D$145*Params!$E$12/12</f>
        <v>0</v>
      </c>
    </row>
    <row r="150" spans="1:64" x14ac:dyDescent="0.3">
      <c r="A150" s="8" t="s">
        <v>1022</v>
      </c>
      <c r="B150" s="18" t="s">
        <v>169</v>
      </c>
      <c r="C150" s="44">
        <f t="shared" si="49"/>
        <v>13440.000000000005</v>
      </c>
      <c r="E150" s="44">
        <f>E$5*$D$146*Params!$E$9/12</f>
        <v>373.33333333333331</v>
      </c>
      <c r="F150" s="44">
        <f>F$5*$D$146*Params!$E$9/12</f>
        <v>373.33333333333331</v>
      </c>
      <c r="G150" s="44">
        <f>G$5*$D$146*Params!$E$9/12</f>
        <v>373.33333333333331</v>
      </c>
      <c r="H150" s="44">
        <f>H$5*$D$146*Params!$E$9/12</f>
        <v>373.33333333333331</v>
      </c>
      <c r="I150" s="44">
        <f>I$5*$D$146*Params!$E$9/12</f>
        <v>373.33333333333331</v>
      </c>
      <c r="J150" s="44">
        <f>J$5*$D$146*Params!$E$9/12</f>
        <v>373.33333333333331</v>
      </c>
      <c r="K150" s="44">
        <f>K$5*$D$146*Params!$E$9/12</f>
        <v>373.33333333333331</v>
      </c>
      <c r="L150" s="44">
        <f>L$5*$D$146*Params!$E$9/12</f>
        <v>373.33333333333331</v>
      </c>
      <c r="M150" s="44">
        <f>M$5*$D$146*Params!$E$9/12</f>
        <v>373.33333333333331</v>
      </c>
      <c r="N150" s="44">
        <f>N$5*$D$146*Params!$E$9/12</f>
        <v>373.33333333333331</v>
      </c>
      <c r="O150" s="44">
        <f>O$5*$D$146*Params!$E$9/12</f>
        <v>373.33333333333331</v>
      </c>
      <c r="P150" s="44">
        <f>P$5*$D$146*Params!$E$9/12</f>
        <v>373.33333333333331</v>
      </c>
      <c r="Q150" s="44">
        <f>Q$5*$D$146*Params!$E$9/12</f>
        <v>373.33333333333331</v>
      </c>
      <c r="R150" s="44">
        <f>R$5*$D$146*Params!$E$9/12</f>
        <v>373.33333333333331</v>
      </c>
      <c r="S150" s="44">
        <f>S$5*$D$146*Params!$E$9/12</f>
        <v>373.33333333333331</v>
      </c>
      <c r="T150" s="44">
        <f>T$5*$D$146*Params!$E$9/12</f>
        <v>373.33333333333331</v>
      </c>
      <c r="U150" s="44">
        <f>U$5*$D$146*Params!$E$9/12</f>
        <v>373.33333333333331</v>
      </c>
      <c r="V150" s="44">
        <f>V$5*$D$146*Params!$E$9/12</f>
        <v>373.33333333333331</v>
      </c>
      <c r="W150" s="44">
        <f>W$5*$D$146*Params!$E$9/12</f>
        <v>373.33333333333331</v>
      </c>
      <c r="X150" s="44">
        <f>X$5*$D$146*Params!$E$9/12</f>
        <v>373.33333333333331</v>
      </c>
      <c r="Y150" s="44">
        <f>Y$5*$D$146*Params!$E$9/12</f>
        <v>373.33333333333331</v>
      </c>
      <c r="Z150" s="44">
        <f>Z$5*$D$146*Params!$E$9/12</f>
        <v>373.33333333333331</v>
      </c>
      <c r="AA150" s="44">
        <f>AA$5*$D$146*Params!$E$9/12</f>
        <v>373.33333333333331</v>
      </c>
      <c r="AB150" s="44">
        <f>AB$5*$D$146*Params!$E$9/12</f>
        <v>373.33333333333331</v>
      </c>
      <c r="AC150" s="44">
        <f>AC$5*$D$146*Params!$E$9/12</f>
        <v>373.33333333333331</v>
      </c>
      <c r="AD150" s="44">
        <f>AD$5*$D$146*Params!$E$9/12</f>
        <v>373.33333333333331</v>
      </c>
      <c r="AE150" s="44">
        <f>AE$5*$D$146*Params!$E$9/12</f>
        <v>373.33333333333331</v>
      </c>
      <c r="AF150" s="44">
        <f>AF$5*$D$146*Params!$E$9/12</f>
        <v>373.33333333333331</v>
      </c>
      <c r="AG150" s="44">
        <f>AG$5*$D$146*Params!$E$9/12</f>
        <v>373.33333333333331</v>
      </c>
      <c r="AH150" s="44">
        <f>AH$5*$D$146*Params!$E$9/12</f>
        <v>373.33333333333331</v>
      </c>
      <c r="AI150" s="44">
        <f>AI$5*$D$146*Params!$E$9/12</f>
        <v>373.33333333333331</v>
      </c>
      <c r="AJ150" s="44">
        <f>AJ$5*$D$146*Params!$E$9/12</f>
        <v>373.33333333333331</v>
      </c>
      <c r="AK150" s="44">
        <f>AK$5*$D$146*Params!$E$9/12</f>
        <v>373.33333333333331</v>
      </c>
      <c r="AL150" s="44">
        <f>AL$5*$D$146*Params!$E$9/12</f>
        <v>373.33333333333331</v>
      </c>
      <c r="AM150" s="44">
        <f>AM$5*$D$146*Params!$E$9/12</f>
        <v>373.33333333333331</v>
      </c>
      <c r="AN150" s="44">
        <f>AN$5*$D$146*Params!$E$9/12</f>
        <v>373.33333333333331</v>
      </c>
      <c r="AO150" s="44">
        <f>AO$5*$D$146*Params!$E$9/12</f>
        <v>0</v>
      </c>
      <c r="AP150" s="44">
        <f>AP$5*$D$146*Params!$E$9/12</f>
        <v>0</v>
      </c>
      <c r="AQ150" s="44">
        <f>AQ$5*$D$146*Params!$E$9/12</f>
        <v>0</v>
      </c>
      <c r="AR150" s="44">
        <f>AR$5*$D$146*Params!$E$9/12</f>
        <v>0</v>
      </c>
      <c r="AS150" s="44">
        <f>AS$5*$D$146*Params!$E$9/12</f>
        <v>0</v>
      </c>
      <c r="AT150" s="44">
        <f>AT$5*$D$146*Params!$E$9/12</f>
        <v>0</v>
      </c>
      <c r="AU150" s="44">
        <f>AU$5*$D$146*Params!$E$9/12</f>
        <v>0</v>
      </c>
      <c r="AV150" s="44">
        <f>AV$5*$D$146*Params!$E$9/12</f>
        <v>0</v>
      </c>
      <c r="AW150" s="44">
        <f>AW$5*$D$146*Params!$E$9/12</f>
        <v>0</v>
      </c>
      <c r="AX150" s="44">
        <f>AX$5*$D$146*Params!$E$9/12</f>
        <v>0</v>
      </c>
      <c r="AY150" s="44">
        <f>AY$5*$D$146*Params!$E$9/12</f>
        <v>0</v>
      </c>
      <c r="AZ150" s="44">
        <f>AZ$5*$D$146*Params!$E$9/12</f>
        <v>0</v>
      </c>
      <c r="BA150" s="44">
        <f>BA$5*$D$146*Params!$E$9/12</f>
        <v>0</v>
      </c>
      <c r="BB150" s="44">
        <f>BB$5*$D$146*Params!$E$9/12</f>
        <v>0</v>
      </c>
      <c r="BC150" s="44">
        <f>BC$5*$D$146*Params!$E$9/12</f>
        <v>0</v>
      </c>
      <c r="BD150" s="44">
        <f>BD$5*$D$146*Params!$E$9/12</f>
        <v>0</v>
      </c>
      <c r="BE150" s="44">
        <f>BE$5*$D$146*Params!$E$9/12</f>
        <v>0</v>
      </c>
      <c r="BF150" s="44">
        <f>BF$5*$D$146*Params!$E$9/12</f>
        <v>0</v>
      </c>
      <c r="BG150" s="44">
        <f>BG$5*$D$146*Params!$E$9/12</f>
        <v>0</v>
      </c>
      <c r="BH150" s="44">
        <f>BH$5*$D$146*Params!$E$9/12</f>
        <v>0</v>
      </c>
      <c r="BI150" s="44">
        <f>BI$5*$D$146*Params!$E$9/12</f>
        <v>0</v>
      </c>
      <c r="BJ150" s="44">
        <f>BJ$5*$D$146*Params!$E$9/12</f>
        <v>0</v>
      </c>
      <c r="BK150" s="44">
        <f>BK$5*$D$146*Params!$E$9/12</f>
        <v>0</v>
      </c>
      <c r="BL150" s="44">
        <f>BL$5*$D$146*Params!$E$9/12</f>
        <v>0</v>
      </c>
    </row>
    <row r="151" spans="1:64" x14ac:dyDescent="0.3">
      <c r="A151" s="8" t="s">
        <v>1023</v>
      </c>
      <c r="B151" s="18" t="s">
        <v>169</v>
      </c>
      <c r="C151" s="44">
        <f t="shared" si="49"/>
        <v>48000.000000000015</v>
      </c>
      <c r="E151" s="44">
        <f>E$5*$D$148*Params!$E$19/12</f>
        <v>1333.3333333333333</v>
      </c>
      <c r="F151" s="44">
        <f>F$5*$D$148*Params!$E$19/12</f>
        <v>1333.3333333333333</v>
      </c>
      <c r="G151" s="44">
        <f>G$5*$D$148*Params!$E$19/12</f>
        <v>1333.3333333333333</v>
      </c>
      <c r="H151" s="44">
        <f>H$5*$D$148*Params!$E$19/12</f>
        <v>1333.3333333333333</v>
      </c>
      <c r="I151" s="44">
        <f>I$5*$D$148*Params!$E$19/12</f>
        <v>1333.3333333333333</v>
      </c>
      <c r="J151" s="44">
        <f>J$5*$D$148*Params!$E$19/12</f>
        <v>1333.3333333333333</v>
      </c>
      <c r="K151" s="44">
        <f>K$5*$D$148*Params!$E$19/12</f>
        <v>1333.3333333333333</v>
      </c>
      <c r="L151" s="44">
        <f>L$5*$D$148*Params!$E$19/12</f>
        <v>1333.3333333333333</v>
      </c>
      <c r="M151" s="44">
        <f>M$5*$D$148*Params!$E$19/12</f>
        <v>1333.3333333333333</v>
      </c>
      <c r="N151" s="44">
        <f>N$5*$D$148*Params!$E$19/12</f>
        <v>1333.3333333333333</v>
      </c>
      <c r="O151" s="44">
        <f>O$5*$D$148*Params!$E$19/12</f>
        <v>1333.3333333333333</v>
      </c>
      <c r="P151" s="44">
        <f>P$5*$D$148*Params!$E$19/12</f>
        <v>1333.3333333333333</v>
      </c>
      <c r="Q151" s="44">
        <f>Q$5*$D$148*Params!$E$19/12</f>
        <v>1333.3333333333333</v>
      </c>
      <c r="R151" s="44">
        <f>R$5*$D$148*Params!$E$19/12</f>
        <v>1333.3333333333333</v>
      </c>
      <c r="S151" s="44">
        <f>S$5*$D$148*Params!$E$19/12</f>
        <v>1333.3333333333333</v>
      </c>
      <c r="T151" s="44">
        <f>T$5*$D$148*Params!$E$19/12</f>
        <v>1333.3333333333333</v>
      </c>
      <c r="U151" s="44">
        <f>U$5*$D$148*Params!$E$19/12</f>
        <v>1333.3333333333333</v>
      </c>
      <c r="V151" s="44">
        <f>V$5*$D$148*Params!$E$19/12</f>
        <v>1333.3333333333333</v>
      </c>
      <c r="W151" s="44">
        <f>W$5*$D$148*Params!$E$19/12</f>
        <v>1333.3333333333333</v>
      </c>
      <c r="X151" s="44">
        <f>X$5*$D$148*Params!$E$19/12</f>
        <v>1333.3333333333333</v>
      </c>
      <c r="Y151" s="44">
        <f>Y$5*$D$148*Params!$E$19/12</f>
        <v>1333.3333333333333</v>
      </c>
      <c r="Z151" s="44">
        <f>Z$5*$D$148*Params!$E$19/12</f>
        <v>1333.3333333333333</v>
      </c>
      <c r="AA151" s="44">
        <f>AA$5*$D$148*Params!$E$19/12</f>
        <v>1333.3333333333333</v>
      </c>
      <c r="AB151" s="44">
        <f>AB$5*$D$148*Params!$E$19/12</f>
        <v>1333.3333333333333</v>
      </c>
      <c r="AC151" s="44">
        <f>AC$5*$D$148*Params!$E$19/12</f>
        <v>1333.3333333333333</v>
      </c>
      <c r="AD151" s="44">
        <f>AD$5*$D$148*Params!$E$19/12</f>
        <v>1333.3333333333333</v>
      </c>
      <c r="AE151" s="44">
        <f>AE$5*$D$148*Params!$E$19/12</f>
        <v>1333.3333333333333</v>
      </c>
      <c r="AF151" s="44">
        <f>AF$5*$D$148*Params!$E$19/12</f>
        <v>1333.3333333333333</v>
      </c>
      <c r="AG151" s="44">
        <f>AG$5*$D$148*Params!$E$19/12</f>
        <v>1333.3333333333333</v>
      </c>
      <c r="AH151" s="44">
        <f>AH$5*$D$148*Params!$E$19/12</f>
        <v>1333.3333333333333</v>
      </c>
      <c r="AI151" s="44">
        <f>AI$5*$D$148*Params!$E$19/12</f>
        <v>1333.3333333333333</v>
      </c>
      <c r="AJ151" s="44">
        <f>AJ$5*$D$148*Params!$E$19/12</f>
        <v>1333.3333333333333</v>
      </c>
      <c r="AK151" s="44">
        <f>AK$5*$D$148*Params!$E$19/12</f>
        <v>1333.3333333333333</v>
      </c>
      <c r="AL151" s="44">
        <f>AL$5*$D$148*Params!$E$19/12</f>
        <v>1333.3333333333333</v>
      </c>
      <c r="AM151" s="44">
        <f>AM$5*$D$148*Params!$E$19/12</f>
        <v>1333.3333333333333</v>
      </c>
      <c r="AN151" s="44">
        <f>AN$5*$D$148*Params!$E$19/12</f>
        <v>1333.3333333333333</v>
      </c>
      <c r="AO151" s="44">
        <f>AO$5*$D$148*Params!$E$19/12</f>
        <v>0</v>
      </c>
      <c r="AP151" s="44">
        <f>AP$5*$D$148*Params!$E$19/12</f>
        <v>0</v>
      </c>
      <c r="AQ151" s="44">
        <f>AQ$5*$D$148*Params!$E$19/12</f>
        <v>0</v>
      </c>
      <c r="AR151" s="44">
        <f>AR$5*$D$148*Params!$E$19/12</f>
        <v>0</v>
      </c>
      <c r="AS151" s="44">
        <f>AS$5*$D$148*Params!$E$19/12</f>
        <v>0</v>
      </c>
      <c r="AT151" s="44">
        <f>AT$5*$D$148*Params!$E$19/12</f>
        <v>0</v>
      </c>
      <c r="AU151" s="44">
        <f>AU$5*$D$148*Params!$E$19/12</f>
        <v>0</v>
      </c>
      <c r="AV151" s="44">
        <f>AV$5*$D$148*Params!$E$19/12</f>
        <v>0</v>
      </c>
      <c r="AW151" s="44">
        <f>AW$5*$D$148*Params!$E$19/12</f>
        <v>0</v>
      </c>
      <c r="AX151" s="44">
        <f>AX$5*$D$148*Params!$E$19/12</f>
        <v>0</v>
      </c>
      <c r="AY151" s="44">
        <f>AY$5*$D$148*Params!$E$19/12</f>
        <v>0</v>
      </c>
      <c r="AZ151" s="44">
        <f>AZ$5*$D$148*Params!$E$19/12</f>
        <v>0</v>
      </c>
      <c r="BA151" s="44">
        <f>BA$5*$D$148*Params!$E$19/12</f>
        <v>0</v>
      </c>
      <c r="BB151" s="44">
        <f>BB$5*$D$148*Params!$E$19/12</f>
        <v>0</v>
      </c>
      <c r="BC151" s="44">
        <f>BC$5*$D$148*Params!$E$19/12</f>
        <v>0</v>
      </c>
      <c r="BD151" s="44">
        <f>BD$5*$D$148*Params!$E$19/12</f>
        <v>0</v>
      </c>
      <c r="BE151" s="44">
        <f>BE$5*$D$148*Params!$E$19/12</f>
        <v>0</v>
      </c>
      <c r="BF151" s="44">
        <f>BF$5*$D$148*Params!$E$19/12</f>
        <v>0</v>
      </c>
      <c r="BG151" s="44">
        <f>BG$5*$D$148*Params!$E$19/12</f>
        <v>0</v>
      </c>
      <c r="BH151" s="44">
        <f>BH$5*$D$148*Params!$E$19/12</f>
        <v>0</v>
      </c>
      <c r="BI151" s="44">
        <f>BI$5*$D$148*Params!$E$19/12</f>
        <v>0</v>
      </c>
      <c r="BJ151" s="44">
        <f>BJ$5*$D$148*Params!$E$19/12</f>
        <v>0</v>
      </c>
      <c r="BK151" s="44">
        <f>BK$5*$D$148*Params!$E$19/12</f>
        <v>0</v>
      </c>
      <c r="BL151" s="44">
        <f>BL$5*$D$148*Params!$E$19/12</f>
        <v>0</v>
      </c>
    </row>
    <row r="152" spans="1:64" x14ac:dyDescent="0.3">
      <c r="A152" s="8" t="s">
        <v>1024</v>
      </c>
      <c r="B152" s="18" t="s">
        <v>505</v>
      </c>
      <c r="C152" s="44">
        <f t="shared" si="49"/>
        <v>0</v>
      </c>
      <c r="E152" s="44">
        <f>E$5*Params!$E$20</f>
        <v>0</v>
      </c>
      <c r="F152" s="44">
        <f>F$5*Params!$E$20</f>
        <v>0</v>
      </c>
      <c r="G152" s="44">
        <f>G$5*Params!$E$20</f>
        <v>0</v>
      </c>
      <c r="H152" s="44">
        <f>H$5*Params!$E$20</f>
        <v>0</v>
      </c>
      <c r="I152" s="44">
        <f>I$5*Params!$E$20</f>
        <v>0</v>
      </c>
      <c r="J152" s="44">
        <f>J$5*Params!$E$20</f>
        <v>0</v>
      </c>
      <c r="K152" s="44">
        <f>K$5*Params!$E$20</f>
        <v>0</v>
      </c>
      <c r="L152" s="44">
        <f>L$5*Params!$E$20</f>
        <v>0</v>
      </c>
      <c r="M152" s="44">
        <f>M$5*Params!$E$20</f>
        <v>0</v>
      </c>
      <c r="N152" s="44">
        <f>N$5*Params!$E$20</f>
        <v>0</v>
      </c>
      <c r="O152" s="44">
        <f>O$5*Params!$E$20</f>
        <v>0</v>
      </c>
      <c r="P152" s="44">
        <f>P$5*Params!$E$20</f>
        <v>0</v>
      </c>
      <c r="Q152" s="44">
        <f>Q$5*Params!$E$20</f>
        <v>0</v>
      </c>
      <c r="R152" s="44">
        <f>R$5*Params!$E$20</f>
        <v>0</v>
      </c>
      <c r="S152" s="44">
        <f>S$5*Params!$E$20</f>
        <v>0</v>
      </c>
      <c r="T152" s="44">
        <f>T$5*Params!$E$20</f>
        <v>0</v>
      </c>
      <c r="U152" s="44">
        <f>U$5*Params!$E$20</f>
        <v>0</v>
      </c>
      <c r="V152" s="44">
        <f>V$5*Params!$E$20</f>
        <v>0</v>
      </c>
      <c r="W152" s="44">
        <f>W$5*Params!$E$20</f>
        <v>0</v>
      </c>
      <c r="X152" s="44">
        <f>X$5*Params!$E$20</f>
        <v>0</v>
      </c>
      <c r="Y152" s="44">
        <f>Y$5*Params!$E$20</f>
        <v>0</v>
      </c>
      <c r="Z152" s="44">
        <f>Z$5*Params!$E$20</f>
        <v>0</v>
      </c>
      <c r="AA152" s="44">
        <f>AA$5*Params!$E$20</f>
        <v>0</v>
      </c>
      <c r="AB152" s="44">
        <f>AB$5*Params!$E$20</f>
        <v>0</v>
      </c>
      <c r="AC152" s="44">
        <f>AC$5*Params!$E$20</f>
        <v>0</v>
      </c>
      <c r="AD152" s="44">
        <f>AD$5*Params!$E$20</f>
        <v>0</v>
      </c>
      <c r="AE152" s="44">
        <f>AE$5*Params!$E$20</f>
        <v>0</v>
      </c>
      <c r="AF152" s="44">
        <f>AF$5*Params!$E$20</f>
        <v>0</v>
      </c>
      <c r="AG152" s="44">
        <f>AG$5*Params!$E$20</f>
        <v>0</v>
      </c>
      <c r="AH152" s="44">
        <f>AH$5*Params!$E$20</f>
        <v>0</v>
      </c>
      <c r="AI152" s="44">
        <f>AI$5*Params!$E$20</f>
        <v>0</v>
      </c>
      <c r="AJ152" s="44">
        <f>AJ$5*Params!$E$20</f>
        <v>0</v>
      </c>
      <c r="AK152" s="44">
        <f>AK$5*Params!$E$20</f>
        <v>0</v>
      </c>
      <c r="AL152" s="44">
        <f>AL$5*Params!$E$20</f>
        <v>0</v>
      </c>
      <c r="AM152" s="44">
        <f>AM$5*Params!$E$20</f>
        <v>0</v>
      </c>
      <c r="AN152" s="44">
        <f>AN$5*Params!$E$20</f>
        <v>0</v>
      </c>
      <c r="AO152" s="44">
        <f>AO$5*Params!$E$20</f>
        <v>0</v>
      </c>
      <c r="AP152" s="44">
        <f>AP$5*Params!$E$20</f>
        <v>0</v>
      </c>
      <c r="AQ152" s="44">
        <f>AQ$5*Params!$E$20</f>
        <v>0</v>
      </c>
      <c r="AR152" s="44">
        <f>AR$5*Params!$E$20</f>
        <v>0</v>
      </c>
      <c r="AS152" s="44">
        <f>AS$5*Params!$E$20</f>
        <v>0</v>
      </c>
      <c r="AT152" s="44">
        <f>AT$5*Params!$E$20</f>
        <v>0</v>
      </c>
      <c r="AU152" s="44">
        <f>AU$5*Params!$E$20</f>
        <v>0</v>
      </c>
      <c r="AV152" s="44">
        <f>AV$5*Params!$E$20</f>
        <v>0</v>
      </c>
      <c r="AW152" s="44">
        <f>AW$5*Params!$E$20</f>
        <v>0</v>
      </c>
      <c r="AX152" s="44">
        <f>AX$5*Params!$E$20</f>
        <v>0</v>
      </c>
      <c r="AY152" s="44">
        <f>AY$5*Params!$E$20</f>
        <v>0</v>
      </c>
      <c r="AZ152" s="44">
        <f>AZ$5*Params!$E$20</f>
        <v>0</v>
      </c>
      <c r="BA152" s="44">
        <f>BA$5*Params!$E$20</f>
        <v>0</v>
      </c>
      <c r="BB152" s="44">
        <f>BB$5*Params!$E$20</f>
        <v>0</v>
      </c>
      <c r="BC152" s="44">
        <f>BC$5*Params!$E$20</f>
        <v>0</v>
      </c>
      <c r="BD152" s="44">
        <f>BD$5*Params!$E$20</f>
        <v>0</v>
      </c>
      <c r="BE152" s="44">
        <f>BE$5*Params!$E$20</f>
        <v>0</v>
      </c>
      <c r="BF152" s="44">
        <f>BF$5*Params!$E$20</f>
        <v>0</v>
      </c>
      <c r="BG152" s="44">
        <f>BG$5*Params!$E$20</f>
        <v>0</v>
      </c>
      <c r="BH152" s="44">
        <f>BH$5*Params!$E$20</f>
        <v>0</v>
      </c>
      <c r="BI152" s="44">
        <f>BI$5*Params!$E$20</f>
        <v>0</v>
      </c>
      <c r="BJ152" s="44">
        <f>BJ$5*Params!$E$20</f>
        <v>0</v>
      </c>
      <c r="BK152" s="44">
        <f>BK$5*Params!$E$20</f>
        <v>0</v>
      </c>
      <c r="BL152" s="44">
        <f>BL$5*Params!$E$20</f>
        <v>0</v>
      </c>
    </row>
    <row r="153" spans="1:64" x14ac:dyDescent="0.3">
      <c r="A153" s="8" t="s">
        <v>1025</v>
      </c>
      <c r="B153" s="18" t="s">
        <v>435</v>
      </c>
      <c r="C153" s="44">
        <f t="shared" si="49"/>
        <v>11735.679999999995</v>
      </c>
      <c r="E153" s="44">
        <f>E$5*(IFERROR(INDEX(PriceBook!$E$4:$E$203,MATCH("PL_LANGFUSE_PRO",PriceBook!$A$4:$A$203,0)),0)+MAX(0,E144*Org!$B$13-IFERROR(INDEX(PriceBook!$R$4:$R$203,MATCH("PL_LANGFUSE_PRO",PriceBook!$A$4:$A$203,0)),0))/100000*IFERROR(INDEX(PriceBook!$E$4:$E$203,MATCH("U_LANGFUSE_OVER",PriceBook!$A$4:$A$203,0)),0))</f>
        <v>209.13333333333333</v>
      </c>
      <c r="F153" s="44">
        <f>F$5*(IFERROR(INDEX(PriceBook!$E$4:$E$203,MATCH("PL_LANGFUSE_PRO",PriceBook!$A$4:$A$203,0)),0)+MAX(0,F144*Org!$B$13-IFERROR(INDEX(PriceBook!$R$4:$R$203,MATCH("PL_LANGFUSE_PRO",PriceBook!$A$4:$A$203,0)),0))/100000*IFERROR(INDEX(PriceBook!$E$4:$E$203,MATCH("U_LANGFUSE_OVER",PriceBook!$A$4:$A$203,0)),0))</f>
        <v>236.45185185185187</v>
      </c>
      <c r="G153" s="44">
        <f>G$5*(IFERROR(INDEX(PriceBook!$E$4:$E$203,MATCH("PL_LANGFUSE_PRO",PriceBook!$A$4:$A$203,0)),0)+MAX(0,G144*Org!$B$13-IFERROR(INDEX(PriceBook!$R$4:$R$203,MATCH("PL_LANGFUSE_PRO",PriceBook!$A$4:$A$203,0)),0))/100000*IFERROR(INDEX(PriceBook!$E$4:$E$203,MATCH("U_LANGFUSE_OVER",PriceBook!$A$4:$A$203,0)),0))</f>
        <v>270.07230814814812</v>
      </c>
      <c r="H153" s="44">
        <f>H$5*(IFERROR(INDEX(PriceBook!$E$4:$E$203,MATCH("PL_LANGFUSE_PRO",PriceBook!$A$4:$A$203,0)),0)+MAX(0,H144*Org!$B$13-IFERROR(INDEX(PriceBook!$R$4:$R$203,MATCH("PL_LANGFUSE_PRO",PriceBook!$A$4:$A$203,0)),0))/100000*IFERROR(INDEX(PriceBook!$E$4:$E$203,MATCH("U_LANGFUSE_OVER",PriceBook!$A$4:$A$203,0)),0))</f>
        <v>305.30741333333333</v>
      </c>
      <c r="I153" s="44">
        <f>I$5*(IFERROR(INDEX(PriceBook!$E$4:$E$203,MATCH("PL_LANGFUSE_PRO",PriceBook!$A$4:$A$203,0)),0)+MAX(0,I144*Org!$B$13-IFERROR(INDEX(PriceBook!$R$4:$R$203,MATCH("PL_LANGFUSE_PRO",PriceBook!$A$4:$A$203,0)),0))/100000*IFERROR(INDEX(PriceBook!$E$4:$E$203,MATCH("U_LANGFUSE_OVER",PriceBook!$A$4:$A$203,0)),0))</f>
        <v>323.98443851851857</v>
      </c>
      <c r="J153" s="44">
        <f>J$5*(IFERROR(INDEX(PriceBook!$E$4:$E$203,MATCH("PL_LANGFUSE_PRO",PriceBook!$A$4:$A$203,0)),0)+MAX(0,J144*Org!$B$13-IFERROR(INDEX(PriceBook!$R$4:$R$203,MATCH("PL_LANGFUSE_PRO",PriceBook!$A$4:$A$203,0)),0))/100000*IFERROR(INDEX(PriceBook!$E$4:$E$203,MATCH("U_LANGFUSE_OVER",PriceBook!$A$4:$A$203,0)),0))</f>
        <v>333.5306548148148</v>
      </c>
      <c r="K153" s="44">
        <f>K$5*(IFERROR(INDEX(PriceBook!$E$4:$E$203,MATCH("PL_LANGFUSE_PRO",PriceBook!$A$4:$A$203,0)),0)+MAX(0,K144*Org!$B$13-IFERROR(INDEX(PriceBook!$R$4:$R$203,MATCH("PL_LANGFUSE_PRO",PriceBook!$A$4:$A$203,0)),0))/100000*IFERROR(INDEX(PriceBook!$E$4:$E$203,MATCH("U_LANGFUSE_OVER",PriceBook!$A$4:$A$203,0)),0))</f>
        <v>335.24</v>
      </c>
      <c r="L153" s="44">
        <f>L$5*(IFERROR(INDEX(PriceBook!$E$4:$E$203,MATCH("PL_LANGFUSE_PRO",PriceBook!$A$4:$A$203,0)),0)+MAX(0,L144*Org!$B$13-IFERROR(INDEX(PriceBook!$R$4:$R$203,MATCH("PL_LANGFUSE_PRO",PriceBook!$A$4:$A$203,0)),0))/100000*IFERROR(INDEX(PriceBook!$E$4:$E$203,MATCH("U_LANGFUSE_OVER",PriceBook!$A$4:$A$203,0)),0))</f>
        <v>335.24</v>
      </c>
      <c r="M153" s="44">
        <f>M$5*(IFERROR(INDEX(PriceBook!$E$4:$E$203,MATCH("PL_LANGFUSE_PRO",PriceBook!$A$4:$A$203,0)),0)+MAX(0,M144*Org!$B$13-IFERROR(INDEX(PriceBook!$R$4:$R$203,MATCH("PL_LANGFUSE_PRO",PriceBook!$A$4:$A$203,0)),0))/100000*IFERROR(INDEX(PriceBook!$E$4:$E$203,MATCH("U_LANGFUSE_OVER",PriceBook!$A$4:$A$203,0)),0))</f>
        <v>335.24</v>
      </c>
      <c r="N153" s="44">
        <f>N$5*(IFERROR(INDEX(PriceBook!$E$4:$E$203,MATCH("PL_LANGFUSE_PRO",PriceBook!$A$4:$A$203,0)),0)+MAX(0,N144*Org!$B$13-IFERROR(INDEX(PriceBook!$R$4:$R$203,MATCH("PL_LANGFUSE_PRO",PriceBook!$A$4:$A$203,0)),0))/100000*IFERROR(INDEX(PriceBook!$E$4:$E$203,MATCH("U_LANGFUSE_OVER",PriceBook!$A$4:$A$203,0)),0))</f>
        <v>335.24</v>
      </c>
      <c r="O153" s="44">
        <f>O$5*(IFERROR(INDEX(PriceBook!$E$4:$E$203,MATCH("PL_LANGFUSE_PRO",PriceBook!$A$4:$A$203,0)),0)+MAX(0,O144*Org!$B$13-IFERROR(INDEX(PriceBook!$R$4:$R$203,MATCH("PL_LANGFUSE_PRO",PriceBook!$A$4:$A$203,0)),0))/100000*IFERROR(INDEX(PriceBook!$E$4:$E$203,MATCH("U_LANGFUSE_OVER",PriceBook!$A$4:$A$203,0)),0))</f>
        <v>335.24</v>
      </c>
      <c r="P153" s="44">
        <f>P$5*(IFERROR(INDEX(PriceBook!$E$4:$E$203,MATCH("PL_LANGFUSE_PRO",PriceBook!$A$4:$A$203,0)),0)+MAX(0,P144*Org!$B$13-IFERROR(INDEX(PriceBook!$R$4:$R$203,MATCH("PL_LANGFUSE_PRO",PriceBook!$A$4:$A$203,0)),0))/100000*IFERROR(INDEX(PriceBook!$E$4:$E$203,MATCH("U_LANGFUSE_OVER",PriceBook!$A$4:$A$203,0)),0))</f>
        <v>335.24</v>
      </c>
      <c r="Q153" s="44">
        <f>Q$5*(IFERROR(INDEX(PriceBook!$E$4:$E$203,MATCH("PL_LANGFUSE_PRO",PriceBook!$A$4:$A$203,0)),0)+MAX(0,Q144*Org!$B$13-IFERROR(INDEX(PriceBook!$R$4:$R$203,MATCH("PL_LANGFUSE_PRO",PriceBook!$A$4:$A$203,0)),0))/100000*IFERROR(INDEX(PriceBook!$E$4:$E$203,MATCH("U_LANGFUSE_OVER",PriceBook!$A$4:$A$203,0)),0))</f>
        <v>335.24</v>
      </c>
      <c r="R153" s="44">
        <f>R$5*(IFERROR(INDEX(PriceBook!$E$4:$E$203,MATCH("PL_LANGFUSE_PRO",PriceBook!$A$4:$A$203,0)),0)+MAX(0,R144*Org!$B$13-IFERROR(INDEX(PriceBook!$R$4:$R$203,MATCH("PL_LANGFUSE_PRO",PriceBook!$A$4:$A$203,0)),0))/100000*IFERROR(INDEX(PriceBook!$E$4:$E$203,MATCH("U_LANGFUSE_OVER",PriceBook!$A$4:$A$203,0)),0))</f>
        <v>335.24</v>
      </c>
      <c r="S153" s="44">
        <f>S$5*(IFERROR(INDEX(PriceBook!$E$4:$E$203,MATCH("PL_LANGFUSE_PRO",PriceBook!$A$4:$A$203,0)),0)+MAX(0,S144*Org!$B$13-IFERROR(INDEX(PriceBook!$R$4:$R$203,MATCH("PL_LANGFUSE_PRO",PriceBook!$A$4:$A$203,0)),0))/100000*IFERROR(INDEX(PriceBook!$E$4:$E$203,MATCH("U_LANGFUSE_OVER",PriceBook!$A$4:$A$203,0)),0))</f>
        <v>335.24</v>
      </c>
      <c r="T153" s="44">
        <f>T$5*(IFERROR(INDEX(PriceBook!$E$4:$E$203,MATCH("PL_LANGFUSE_PRO",PriceBook!$A$4:$A$203,0)),0)+MAX(0,T144*Org!$B$13-IFERROR(INDEX(PriceBook!$R$4:$R$203,MATCH("PL_LANGFUSE_PRO",PriceBook!$A$4:$A$203,0)),0))/100000*IFERROR(INDEX(PriceBook!$E$4:$E$203,MATCH("U_LANGFUSE_OVER",PriceBook!$A$4:$A$203,0)),0))</f>
        <v>335.24</v>
      </c>
      <c r="U153" s="44">
        <f>U$5*(IFERROR(INDEX(PriceBook!$E$4:$E$203,MATCH("PL_LANGFUSE_PRO",PriceBook!$A$4:$A$203,0)),0)+MAX(0,U144*Org!$B$13-IFERROR(INDEX(PriceBook!$R$4:$R$203,MATCH("PL_LANGFUSE_PRO",PriceBook!$A$4:$A$203,0)),0))/100000*IFERROR(INDEX(PriceBook!$E$4:$E$203,MATCH("U_LANGFUSE_OVER",PriceBook!$A$4:$A$203,0)),0))</f>
        <v>335.24</v>
      </c>
      <c r="V153" s="44">
        <f>V$5*(IFERROR(INDEX(PriceBook!$E$4:$E$203,MATCH("PL_LANGFUSE_PRO",PriceBook!$A$4:$A$203,0)),0)+MAX(0,V144*Org!$B$13-IFERROR(INDEX(PriceBook!$R$4:$R$203,MATCH("PL_LANGFUSE_PRO",PriceBook!$A$4:$A$203,0)),0))/100000*IFERROR(INDEX(PriceBook!$E$4:$E$203,MATCH("U_LANGFUSE_OVER",PriceBook!$A$4:$A$203,0)),0))</f>
        <v>335.24</v>
      </c>
      <c r="W153" s="44">
        <f>W$5*(IFERROR(INDEX(PriceBook!$E$4:$E$203,MATCH("PL_LANGFUSE_PRO",PriceBook!$A$4:$A$203,0)),0)+MAX(0,W144*Org!$B$13-IFERROR(INDEX(PriceBook!$R$4:$R$203,MATCH("PL_LANGFUSE_PRO",PriceBook!$A$4:$A$203,0)),0))/100000*IFERROR(INDEX(PriceBook!$E$4:$E$203,MATCH("U_LANGFUSE_OVER",PriceBook!$A$4:$A$203,0)),0))</f>
        <v>335.24</v>
      </c>
      <c r="X153" s="44">
        <f>X$5*(IFERROR(INDEX(PriceBook!$E$4:$E$203,MATCH("PL_LANGFUSE_PRO",PriceBook!$A$4:$A$203,0)),0)+MAX(0,X144*Org!$B$13-IFERROR(INDEX(PriceBook!$R$4:$R$203,MATCH("PL_LANGFUSE_PRO",PriceBook!$A$4:$A$203,0)),0))/100000*IFERROR(INDEX(PriceBook!$E$4:$E$203,MATCH("U_LANGFUSE_OVER",PriceBook!$A$4:$A$203,0)),0))</f>
        <v>335.24</v>
      </c>
      <c r="Y153" s="44">
        <f>Y$5*(IFERROR(INDEX(PriceBook!$E$4:$E$203,MATCH("PL_LANGFUSE_PRO",PriceBook!$A$4:$A$203,0)),0)+MAX(0,Y144*Org!$B$13-IFERROR(INDEX(PriceBook!$R$4:$R$203,MATCH("PL_LANGFUSE_PRO",PriceBook!$A$4:$A$203,0)),0))/100000*IFERROR(INDEX(PriceBook!$E$4:$E$203,MATCH("U_LANGFUSE_OVER",PriceBook!$A$4:$A$203,0)),0))</f>
        <v>335.24</v>
      </c>
      <c r="Z153" s="44">
        <f>Z$5*(IFERROR(INDEX(PriceBook!$E$4:$E$203,MATCH("PL_LANGFUSE_PRO",PriceBook!$A$4:$A$203,0)),0)+MAX(0,Z144*Org!$B$13-IFERROR(INDEX(PriceBook!$R$4:$R$203,MATCH("PL_LANGFUSE_PRO",PriceBook!$A$4:$A$203,0)),0))/100000*IFERROR(INDEX(PriceBook!$E$4:$E$203,MATCH("U_LANGFUSE_OVER",PriceBook!$A$4:$A$203,0)),0))</f>
        <v>335.24</v>
      </c>
      <c r="AA153" s="44">
        <f>AA$5*(IFERROR(INDEX(PriceBook!$E$4:$E$203,MATCH("PL_LANGFUSE_PRO",PriceBook!$A$4:$A$203,0)),0)+MAX(0,AA144*Org!$B$13-IFERROR(INDEX(PriceBook!$R$4:$R$203,MATCH("PL_LANGFUSE_PRO",PriceBook!$A$4:$A$203,0)),0))/100000*IFERROR(INDEX(PriceBook!$E$4:$E$203,MATCH("U_LANGFUSE_OVER",PriceBook!$A$4:$A$203,0)),0))</f>
        <v>335.24</v>
      </c>
      <c r="AB153" s="44">
        <f>AB$5*(IFERROR(INDEX(PriceBook!$E$4:$E$203,MATCH("PL_LANGFUSE_PRO",PriceBook!$A$4:$A$203,0)),0)+MAX(0,AB144*Org!$B$13-IFERROR(INDEX(PriceBook!$R$4:$R$203,MATCH("PL_LANGFUSE_PRO",PriceBook!$A$4:$A$203,0)),0))/100000*IFERROR(INDEX(PriceBook!$E$4:$E$203,MATCH("U_LANGFUSE_OVER",PriceBook!$A$4:$A$203,0)),0))</f>
        <v>335.24</v>
      </c>
      <c r="AC153" s="44">
        <f>AC$5*(IFERROR(INDEX(PriceBook!$E$4:$E$203,MATCH("PL_LANGFUSE_PRO",PriceBook!$A$4:$A$203,0)),0)+MAX(0,AC144*Org!$B$13-IFERROR(INDEX(PriceBook!$R$4:$R$203,MATCH("PL_LANGFUSE_PRO",PriceBook!$A$4:$A$203,0)),0))/100000*IFERROR(INDEX(PriceBook!$E$4:$E$203,MATCH("U_LANGFUSE_OVER",PriceBook!$A$4:$A$203,0)),0))</f>
        <v>335.24</v>
      </c>
      <c r="AD153" s="44">
        <f>AD$5*(IFERROR(INDEX(PriceBook!$E$4:$E$203,MATCH("PL_LANGFUSE_PRO",PriceBook!$A$4:$A$203,0)),0)+MAX(0,AD144*Org!$B$13-IFERROR(INDEX(PriceBook!$R$4:$R$203,MATCH("PL_LANGFUSE_PRO",PriceBook!$A$4:$A$203,0)),0))/100000*IFERROR(INDEX(PriceBook!$E$4:$E$203,MATCH("U_LANGFUSE_OVER",PriceBook!$A$4:$A$203,0)),0))</f>
        <v>335.24</v>
      </c>
      <c r="AE153" s="44">
        <f>AE$5*(IFERROR(INDEX(PriceBook!$E$4:$E$203,MATCH("PL_LANGFUSE_PRO",PriceBook!$A$4:$A$203,0)),0)+MAX(0,AE144*Org!$B$13-IFERROR(INDEX(PriceBook!$R$4:$R$203,MATCH("PL_LANGFUSE_PRO",PriceBook!$A$4:$A$203,0)),0))/100000*IFERROR(INDEX(PriceBook!$E$4:$E$203,MATCH("U_LANGFUSE_OVER",PriceBook!$A$4:$A$203,0)),0))</f>
        <v>335.24</v>
      </c>
      <c r="AF153" s="44">
        <f>AF$5*(IFERROR(INDEX(PriceBook!$E$4:$E$203,MATCH("PL_LANGFUSE_PRO",PriceBook!$A$4:$A$203,0)),0)+MAX(0,AF144*Org!$B$13-IFERROR(INDEX(PriceBook!$R$4:$R$203,MATCH("PL_LANGFUSE_PRO",PriceBook!$A$4:$A$203,0)),0))/100000*IFERROR(INDEX(PriceBook!$E$4:$E$203,MATCH("U_LANGFUSE_OVER",PriceBook!$A$4:$A$203,0)),0))</f>
        <v>335.24</v>
      </c>
      <c r="AG153" s="44">
        <f>AG$5*(IFERROR(INDEX(PriceBook!$E$4:$E$203,MATCH("PL_LANGFUSE_PRO",PriceBook!$A$4:$A$203,0)),0)+MAX(0,AG144*Org!$B$13-IFERROR(INDEX(PriceBook!$R$4:$R$203,MATCH("PL_LANGFUSE_PRO",PriceBook!$A$4:$A$203,0)),0))/100000*IFERROR(INDEX(PriceBook!$E$4:$E$203,MATCH("U_LANGFUSE_OVER",PriceBook!$A$4:$A$203,0)),0))</f>
        <v>335.24</v>
      </c>
      <c r="AH153" s="44">
        <f>AH$5*(IFERROR(INDEX(PriceBook!$E$4:$E$203,MATCH("PL_LANGFUSE_PRO",PriceBook!$A$4:$A$203,0)),0)+MAX(0,AH144*Org!$B$13-IFERROR(INDEX(PriceBook!$R$4:$R$203,MATCH("PL_LANGFUSE_PRO",PriceBook!$A$4:$A$203,0)),0))/100000*IFERROR(INDEX(PriceBook!$E$4:$E$203,MATCH("U_LANGFUSE_OVER",PriceBook!$A$4:$A$203,0)),0))</f>
        <v>335.24</v>
      </c>
      <c r="AI153" s="44">
        <f>AI$5*(IFERROR(INDEX(PriceBook!$E$4:$E$203,MATCH("PL_LANGFUSE_PRO",PriceBook!$A$4:$A$203,0)),0)+MAX(0,AI144*Org!$B$13-IFERROR(INDEX(PriceBook!$R$4:$R$203,MATCH("PL_LANGFUSE_PRO",PriceBook!$A$4:$A$203,0)),0))/100000*IFERROR(INDEX(PriceBook!$E$4:$E$203,MATCH("U_LANGFUSE_OVER",PriceBook!$A$4:$A$203,0)),0))</f>
        <v>335.24</v>
      </c>
      <c r="AJ153" s="44">
        <f>AJ$5*(IFERROR(INDEX(PriceBook!$E$4:$E$203,MATCH("PL_LANGFUSE_PRO",PriceBook!$A$4:$A$203,0)),0)+MAX(0,AJ144*Org!$B$13-IFERROR(INDEX(PriceBook!$R$4:$R$203,MATCH("PL_LANGFUSE_PRO",PriceBook!$A$4:$A$203,0)),0))/100000*IFERROR(INDEX(PriceBook!$E$4:$E$203,MATCH("U_LANGFUSE_OVER",PriceBook!$A$4:$A$203,0)),0))</f>
        <v>335.24</v>
      </c>
      <c r="AK153" s="44">
        <f>AK$5*(IFERROR(INDEX(PriceBook!$E$4:$E$203,MATCH("PL_LANGFUSE_PRO",PriceBook!$A$4:$A$203,0)),0)+MAX(0,AK144*Org!$B$13-IFERROR(INDEX(PriceBook!$R$4:$R$203,MATCH("PL_LANGFUSE_PRO",PriceBook!$A$4:$A$203,0)),0))/100000*IFERROR(INDEX(PriceBook!$E$4:$E$203,MATCH("U_LANGFUSE_OVER",PriceBook!$A$4:$A$203,0)),0))</f>
        <v>335.24</v>
      </c>
      <c r="AL153" s="44">
        <f>AL$5*(IFERROR(INDEX(PriceBook!$E$4:$E$203,MATCH("PL_LANGFUSE_PRO",PriceBook!$A$4:$A$203,0)),0)+MAX(0,AL144*Org!$B$13-IFERROR(INDEX(PriceBook!$R$4:$R$203,MATCH("PL_LANGFUSE_PRO",PriceBook!$A$4:$A$203,0)),0))/100000*IFERROR(INDEX(PriceBook!$E$4:$E$203,MATCH("U_LANGFUSE_OVER",PriceBook!$A$4:$A$203,0)),0))</f>
        <v>335.24</v>
      </c>
      <c r="AM153" s="44">
        <f>AM$5*(IFERROR(INDEX(PriceBook!$E$4:$E$203,MATCH("PL_LANGFUSE_PRO",PriceBook!$A$4:$A$203,0)),0)+MAX(0,AM144*Org!$B$13-IFERROR(INDEX(PriceBook!$R$4:$R$203,MATCH("PL_LANGFUSE_PRO",PriceBook!$A$4:$A$203,0)),0))/100000*IFERROR(INDEX(PriceBook!$E$4:$E$203,MATCH("U_LANGFUSE_OVER",PriceBook!$A$4:$A$203,0)),0))</f>
        <v>335.24</v>
      </c>
      <c r="AN153" s="44">
        <f>AN$5*(IFERROR(INDEX(PriceBook!$E$4:$E$203,MATCH("PL_LANGFUSE_PRO",PriceBook!$A$4:$A$203,0)),0)+MAX(0,AN144*Org!$B$13-IFERROR(INDEX(PriceBook!$R$4:$R$203,MATCH("PL_LANGFUSE_PRO",PriceBook!$A$4:$A$203,0)),0))/100000*IFERROR(INDEX(PriceBook!$E$4:$E$203,MATCH("U_LANGFUSE_OVER",PriceBook!$A$4:$A$203,0)),0))</f>
        <v>335.24</v>
      </c>
      <c r="AO153" s="44">
        <f>AO$5*(IFERROR(INDEX(PriceBook!$E$4:$E$203,MATCH("PL_LANGFUSE_PRO",PriceBook!$A$4:$A$203,0)),0)+MAX(0,AO144*Org!$B$13-IFERROR(INDEX(PriceBook!$R$4:$R$203,MATCH("PL_LANGFUSE_PRO",PriceBook!$A$4:$A$203,0)),0))/100000*IFERROR(INDEX(PriceBook!$E$4:$E$203,MATCH("U_LANGFUSE_OVER",PriceBook!$A$4:$A$203,0)),0))</f>
        <v>0</v>
      </c>
      <c r="AP153" s="44">
        <f>AP$5*(IFERROR(INDEX(PriceBook!$E$4:$E$203,MATCH("PL_LANGFUSE_PRO",PriceBook!$A$4:$A$203,0)),0)+MAX(0,AP144*Org!$B$13-IFERROR(INDEX(PriceBook!$R$4:$R$203,MATCH("PL_LANGFUSE_PRO",PriceBook!$A$4:$A$203,0)),0))/100000*IFERROR(INDEX(PriceBook!$E$4:$E$203,MATCH("U_LANGFUSE_OVER",PriceBook!$A$4:$A$203,0)),0))</f>
        <v>0</v>
      </c>
      <c r="AQ153" s="44">
        <f>AQ$5*(IFERROR(INDEX(PriceBook!$E$4:$E$203,MATCH("PL_LANGFUSE_PRO",PriceBook!$A$4:$A$203,0)),0)+MAX(0,AQ144*Org!$B$13-IFERROR(INDEX(PriceBook!$R$4:$R$203,MATCH("PL_LANGFUSE_PRO",PriceBook!$A$4:$A$203,0)),0))/100000*IFERROR(INDEX(PriceBook!$E$4:$E$203,MATCH("U_LANGFUSE_OVER",PriceBook!$A$4:$A$203,0)),0))</f>
        <v>0</v>
      </c>
      <c r="AR153" s="44">
        <f>AR$5*(IFERROR(INDEX(PriceBook!$E$4:$E$203,MATCH("PL_LANGFUSE_PRO",PriceBook!$A$4:$A$203,0)),0)+MAX(0,AR144*Org!$B$13-IFERROR(INDEX(PriceBook!$R$4:$R$203,MATCH("PL_LANGFUSE_PRO",PriceBook!$A$4:$A$203,0)),0))/100000*IFERROR(INDEX(PriceBook!$E$4:$E$203,MATCH("U_LANGFUSE_OVER",PriceBook!$A$4:$A$203,0)),0))</f>
        <v>0</v>
      </c>
      <c r="AS153" s="44">
        <f>AS$5*(IFERROR(INDEX(PriceBook!$E$4:$E$203,MATCH("PL_LANGFUSE_PRO",PriceBook!$A$4:$A$203,0)),0)+MAX(0,AS144*Org!$B$13-IFERROR(INDEX(PriceBook!$R$4:$R$203,MATCH("PL_LANGFUSE_PRO",PriceBook!$A$4:$A$203,0)),0))/100000*IFERROR(INDEX(PriceBook!$E$4:$E$203,MATCH("U_LANGFUSE_OVER",PriceBook!$A$4:$A$203,0)),0))</f>
        <v>0</v>
      </c>
      <c r="AT153" s="44">
        <f>AT$5*(IFERROR(INDEX(PriceBook!$E$4:$E$203,MATCH("PL_LANGFUSE_PRO",PriceBook!$A$4:$A$203,0)),0)+MAX(0,AT144*Org!$B$13-IFERROR(INDEX(PriceBook!$R$4:$R$203,MATCH("PL_LANGFUSE_PRO",PriceBook!$A$4:$A$203,0)),0))/100000*IFERROR(INDEX(PriceBook!$E$4:$E$203,MATCH("U_LANGFUSE_OVER",PriceBook!$A$4:$A$203,0)),0))</f>
        <v>0</v>
      </c>
      <c r="AU153" s="44">
        <f>AU$5*(IFERROR(INDEX(PriceBook!$E$4:$E$203,MATCH("PL_LANGFUSE_PRO",PriceBook!$A$4:$A$203,0)),0)+MAX(0,AU144*Org!$B$13-IFERROR(INDEX(PriceBook!$R$4:$R$203,MATCH("PL_LANGFUSE_PRO",PriceBook!$A$4:$A$203,0)),0))/100000*IFERROR(INDEX(PriceBook!$E$4:$E$203,MATCH("U_LANGFUSE_OVER",PriceBook!$A$4:$A$203,0)),0))</f>
        <v>0</v>
      </c>
      <c r="AV153" s="44">
        <f>AV$5*(IFERROR(INDEX(PriceBook!$E$4:$E$203,MATCH("PL_LANGFUSE_PRO",PriceBook!$A$4:$A$203,0)),0)+MAX(0,AV144*Org!$B$13-IFERROR(INDEX(PriceBook!$R$4:$R$203,MATCH("PL_LANGFUSE_PRO",PriceBook!$A$4:$A$203,0)),0))/100000*IFERROR(INDEX(PriceBook!$E$4:$E$203,MATCH("U_LANGFUSE_OVER",PriceBook!$A$4:$A$203,0)),0))</f>
        <v>0</v>
      </c>
      <c r="AW153" s="44">
        <f>AW$5*(IFERROR(INDEX(PriceBook!$E$4:$E$203,MATCH("PL_LANGFUSE_PRO",PriceBook!$A$4:$A$203,0)),0)+MAX(0,AW144*Org!$B$13-IFERROR(INDEX(PriceBook!$R$4:$R$203,MATCH("PL_LANGFUSE_PRO",PriceBook!$A$4:$A$203,0)),0))/100000*IFERROR(INDEX(PriceBook!$E$4:$E$203,MATCH("U_LANGFUSE_OVER",PriceBook!$A$4:$A$203,0)),0))</f>
        <v>0</v>
      </c>
      <c r="AX153" s="44">
        <f>AX$5*(IFERROR(INDEX(PriceBook!$E$4:$E$203,MATCH("PL_LANGFUSE_PRO",PriceBook!$A$4:$A$203,0)),0)+MAX(0,AX144*Org!$B$13-IFERROR(INDEX(PriceBook!$R$4:$R$203,MATCH("PL_LANGFUSE_PRO",PriceBook!$A$4:$A$203,0)),0))/100000*IFERROR(INDEX(PriceBook!$E$4:$E$203,MATCH("U_LANGFUSE_OVER",PriceBook!$A$4:$A$203,0)),0))</f>
        <v>0</v>
      </c>
      <c r="AY153" s="44">
        <f>AY$5*(IFERROR(INDEX(PriceBook!$E$4:$E$203,MATCH("PL_LANGFUSE_PRO",PriceBook!$A$4:$A$203,0)),0)+MAX(0,AY144*Org!$B$13-IFERROR(INDEX(PriceBook!$R$4:$R$203,MATCH("PL_LANGFUSE_PRO",PriceBook!$A$4:$A$203,0)),0))/100000*IFERROR(INDEX(PriceBook!$E$4:$E$203,MATCH("U_LANGFUSE_OVER",PriceBook!$A$4:$A$203,0)),0))</f>
        <v>0</v>
      </c>
      <c r="AZ153" s="44">
        <f>AZ$5*(IFERROR(INDEX(PriceBook!$E$4:$E$203,MATCH("PL_LANGFUSE_PRO",PriceBook!$A$4:$A$203,0)),0)+MAX(0,AZ144*Org!$B$13-IFERROR(INDEX(PriceBook!$R$4:$R$203,MATCH("PL_LANGFUSE_PRO",PriceBook!$A$4:$A$203,0)),0))/100000*IFERROR(INDEX(PriceBook!$E$4:$E$203,MATCH("U_LANGFUSE_OVER",PriceBook!$A$4:$A$203,0)),0))</f>
        <v>0</v>
      </c>
      <c r="BA153" s="44">
        <f>BA$5*(IFERROR(INDEX(PriceBook!$E$4:$E$203,MATCH("PL_LANGFUSE_PRO",PriceBook!$A$4:$A$203,0)),0)+MAX(0,BA144*Org!$B$13-IFERROR(INDEX(PriceBook!$R$4:$R$203,MATCH("PL_LANGFUSE_PRO",PriceBook!$A$4:$A$203,0)),0))/100000*IFERROR(INDEX(PriceBook!$E$4:$E$203,MATCH("U_LANGFUSE_OVER",PriceBook!$A$4:$A$203,0)),0))</f>
        <v>0</v>
      </c>
      <c r="BB153" s="44">
        <f>BB$5*(IFERROR(INDEX(PriceBook!$E$4:$E$203,MATCH("PL_LANGFUSE_PRO",PriceBook!$A$4:$A$203,0)),0)+MAX(0,BB144*Org!$B$13-IFERROR(INDEX(PriceBook!$R$4:$R$203,MATCH("PL_LANGFUSE_PRO",PriceBook!$A$4:$A$203,0)),0))/100000*IFERROR(INDEX(PriceBook!$E$4:$E$203,MATCH("U_LANGFUSE_OVER",PriceBook!$A$4:$A$203,0)),0))</f>
        <v>0</v>
      </c>
      <c r="BC153" s="44">
        <f>BC$5*(IFERROR(INDEX(PriceBook!$E$4:$E$203,MATCH("PL_LANGFUSE_PRO",PriceBook!$A$4:$A$203,0)),0)+MAX(0,BC144*Org!$B$13-IFERROR(INDEX(PriceBook!$R$4:$R$203,MATCH("PL_LANGFUSE_PRO",PriceBook!$A$4:$A$203,0)),0))/100000*IFERROR(INDEX(PriceBook!$E$4:$E$203,MATCH("U_LANGFUSE_OVER",PriceBook!$A$4:$A$203,0)),0))</f>
        <v>0</v>
      </c>
      <c r="BD153" s="44">
        <f>BD$5*(IFERROR(INDEX(PriceBook!$E$4:$E$203,MATCH("PL_LANGFUSE_PRO",PriceBook!$A$4:$A$203,0)),0)+MAX(0,BD144*Org!$B$13-IFERROR(INDEX(PriceBook!$R$4:$R$203,MATCH("PL_LANGFUSE_PRO",PriceBook!$A$4:$A$203,0)),0))/100000*IFERROR(INDEX(PriceBook!$E$4:$E$203,MATCH("U_LANGFUSE_OVER",PriceBook!$A$4:$A$203,0)),0))</f>
        <v>0</v>
      </c>
      <c r="BE153" s="44">
        <f>BE$5*(IFERROR(INDEX(PriceBook!$E$4:$E$203,MATCH("PL_LANGFUSE_PRO",PriceBook!$A$4:$A$203,0)),0)+MAX(0,BE144*Org!$B$13-IFERROR(INDEX(PriceBook!$R$4:$R$203,MATCH("PL_LANGFUSE_PRO",PriceBook!$A$4:$A$203,0)),0))/100000*IFERROR(INDEX(PriceBook!$E$4:$E$203,MATCH("U_LANGFUSE_OVER",PriceBook!$A$4:$A$203,0)),0))</f>
        <v>0</v>
      </c>
      <c r="BF153" s="44">
        <f>BF$5*(IFERROR(INDEX(PriceBook!$E$4:$E$203,MATCH("PL_LANGFUSE_PRO",PriceBook!$A$4:$A$203,0)),0)+MAX(0,BF144*Org!$B$13-IFERROR(INDEX(PriceBook!$R$4:$R$203,MATCH("PL_LANGFUSE_PRO",PriceBook!$A$4:$A$203,0)),0))/100000*IFERROR(INDEX(PriceBook!$E$4:$E$203,MATCH("U_LANGFUSE_OVER",PriceBook!$A$4:$A$203,0)),0))</f>
        <v>0</v>
      </c>
      <c r="BG153" s="44">
        <f>BG$5*(IFERROR(INDEX(PriceBook!$E$4:$E$203,MATCH("PL_LANGFUSE_PRO",PriceBook!$A$4:$A$203,0)),0)+MAX(0,BG144*Org!$B$13-IFERROR(INDEX(PriceBook!$R$4:$R$203,MATCH("PL_LANGFUSE_PRO",PriceBook!$A$4:$A$203,0)),0))/100000*IFERROR(INDEX(PriceBook!$E$4:$E$203,MATCH("U_LANGFUSE_OVER",PriceBook!$A$4:$A$203,0)),0))</f>
        <v>0</v>
      </c>
      <c r="BH153" s="44">
        <f>BH$5*(IFERROR(INDEX(PriceBook!$E$4:$E$203,MATCH("PL_LANGFUSE_PRO",PriceBook!$A$4:$A$203,0)),0)+MAX(0,BH144*Org!$B$13-IFERROR(INDEX(PriceBook!$R$4:$R$203,MATCH("PL_LANGFUSE_PRO",PriceBook!$A$4:$A$203,0)),0))/100000*IFERROR(INDEX(PriceBook!$E$4:$E$203,MATCH("U_LANGFUSE_OVER",PriceBook!$A$4:$A$203,0)),0))</f>
        <v>0</v>
      </c>
      <c r="BI153" s="44">
        <f>BI$5*(IFERROR(INDEX(PriceBook!$E$4:$E$203,MATCH("PL_LANGFUSE_PRO",PriceBook!$A$4:$A$203,0)),0)+MAX(0,BI144*Org!$B$13-IFERROR(INDEX(PriceBook!$R$4:$R$203,MATCH("PL_LANGFUSE_PRO",PriceBook!$A$4:$A$203,0)),0))/100000*IFERROR(INDEX(PriceBook!$E$4:$E$203,MATCH("U_LANGFUSE_OVER",PriceBook!$A$4:$A$203,0)),0))</f>
        <v>0</v>
      </c>
      <c r="BJ153" s="44">
        <f>BJ$5*(IFERROR(INDEX(PriceBook!$E$4:$E$203,MATCH("PL_LANGFUSE_PRO",PriceBook!$A$4:$A$203,0)),0)+MAX(0,BJ144*Org!$B$13-IFERROR(INDEX(PriceBook!$R$4:$R$203,MATCH("PL_LANGFUSE_PRO",PriceBook!$A$4:$A$203,0)),0))/100000*IFERROR(INDEX(PriceBook!$E$4:$E$203,MATCH("U_LANGFUSE_OVER",PriceBook!$A$4:$A$203,0)),0))</f>
        <v>0</v>
      </c>
      <c r="BK153" s="44">
        <f>BK$5*(IFERROR(INDEX(PriceBook!$E$4:$E$203,MATCH("PL_LANGFUSE_PRO",PriceBook!$A$4:$A$203,0)),0)+MAX(0,BK144*Org!$B$13-IFERROR(INDEX(PriceBook!$R$4:$R$203,MATCH("PL_LANGFUSE_PRO",PriceBook!$A$4:$A$203,0)),0))/100000*IFERROR(INDEX(PriceBook!$E$4:$E$203,MATCH("U_LANGFUSE_OVER",PriceBook!$A$4:$A$203,0)),0))</f>
        <v>0</v>
      </c>
      <c r="BL153" s="44">
        <f>BL$5*(IFERROR(INDEX(PriceBook!$E$4:$E$203,MATCH("PL_LANGFUSE_PRO",PriceBook!$A$4:$A$203,0)),0)+MAX(0,BL144*Org!$B$13-IFERROR(INDEX(PriceBook!$R$4:$R$203,MATCH("PL_LANGFUSE_PRO",PriceBook!$A$4:$A$203,0)),0))/100000*IFERROR(INDEX(PriceBook!$E$4:$E$203,MATCH("U_LANGFUSE_OVER",PriceBook!$A$4:$A$203,0)),0))</f>
        <v>0</v>
      </c>
    </row>
    <row r="154" spans="1:64" x14ac:dyDescent="0.3">
      <c r="A154" s="8" t="s">
        <v>1026</v>
      </c>
      <c r="B154" s="18" t="s">
        <v>169</v>
      </c>
      <c r="C154" s="44">
        <f t="shared" si="49"/>
        <v>2640000.0000000005</v>
      </c>
      <c r="E154" s="44">
        <f>E$5*Params!$E$30*Org!$B$10*Org!$B$12/12</f>
        <v>73333.333333333328</v>
      </c>
      <c r="F154" s="44">
        <f>F$5*Params!$E$30*Org!$B$10*Org!$B$12/12</f>
        <v>73333.333333333328</v>
      </c>
      <c r="G154" s="44">
        <f>G$5*Params!$E$30*Org!$B$10*Org!$B$12/12</f>
        <v>73333.333333333328</v>
      </c>
      <c r="H154" s="44">
        <f>H$5*Params!$E$30*Org!$B$10*Org!$B$12/12</f>
        <v>73333.333333333328</v>
      </c>
      <c r="I154" s="44">
        <f>I$5*Params!$E$30*Org!$B$10*Org!$B$12/12</f>
        <v>73333.333333333328</v>
      </c>
      <c r="J154" s="44">
        <f>J$5*Params!$E$30*Org!$B$10*Org!$B$12/12</f>
        <v>73333.333333333328</v>
      </c>
      <c r="K154" s="44">
        <f>K$5*Params!$E$30*Org!$B$10*Org!$B$12/12</f>
        <v>73333.333333333328</v>
      </c>
      <c r="L154" s="44">
        <f>L$5*Params!$E$30*Org!$B$10*Org!$B$12/12</f>
        <v>73333.333333333328</v>
      </c>
      <c r="M154" s="44">
        <f>M$5*Params!$E$30*Org!$B$10*Org!$B$12/12</f>
        <v>73333.333333333328</v>
      </c>
      <c r="N154" s="44">
        <f>N$5*Params!$E$30*Org!$B$10*Org!$B$12/12</f>
        <v>73333.333333333328</v>
      </c>
      <c r="O154" s="44">
        <f>O$5*Params!$E$30*Org!$B$10*Org!$B$12/12</f>
        <v>73333.333333333328</v>
      </c>
      <c r="P154" s="44">
        <f>P$5*Params!$E$30*Org!$B$10*Org!$B$12/12</f>
        <v>73333.333333333328</v>
      </c>
      <c r="Q154" s="44">
        <f>Q$5*Params!$E$30*Org!$B$10*Org!$B$12/12</f>
        <v>73333.333333333328</v>
      </c>
      <c r="R154" s="44">
        <f>R$5*Params!$E$30*Org!$B$10*Org!$B$12/12</f>
        <v>73333.333333333328</v>
      </c>
      <c r="S154" s="44">
        <f>S$5*Params!$E$30*Org!$B$10*Org!$B$12/12</f>
        <v>73333.333333333328</v>
      </c>
      <c r="T154" s="44">
        <f>T$5*Params!$E$30*Org!$B$10*Org!$B$12/12</f>
        <v>73333.333333333328</v>
      </c>
      <c r="U154" s="44">
        <f>U$5*Params!$E$30*Org!$B$10*Org!$B$12/12</f>
        <v>73333.333333333328</v>
      </c>
      <c r="V154" s="44">
        <f>V$5*Params!$E$30*Org!$B$10*Org!$B$12/12</f>
        <v>73333.333333333328</v>
      </c>
      <c r="W154" s="44">
        <f>W$5*Params!$E$30*Org!$B$10*Org!$B$12/12</f>
        <v>73333.333333333328</v>
      </c>
      <c r="X154" s="44">
        <f>X$5*Params!$E$30*Org!$B$10*Org!$B$12/12</f>
        <v>73333.333333333328</v>
      </c>
      <c r="Y154" s="44">
        <f>Y$5*Params!$E$30*Org!$B$10*Org!$B$12/12</f>
        <v>73333.333333333328</v>
      </c>
      <c r="Z154" s="44">
        <f>Z$5*Params!$E$30*Org!$B$10*Org!$B$12/12</f>
        <v>73333.333333333328</v>
      </c>
      <c r="AA154" s="44">
        <f>AA$5*Params!$E$30*Org!$B$10*Org!$B$12/12</f>
        <v>73333.333333333328</v>
      </c>
      <c r="AB154" s="44">
        <f>AB$5*Params!$E$30*Org!$B$10*Org!$B$12/12</f>
        <v>73333.333333333328</v>
      </c>
      <c r="AC154" s="44">
        <f>AC$5*Params!$E$30*Org!$B$10*Org!$B$12/12</f>
        <v>73333.333333333328</v>
      </c>
      <c r="AD154" s="44">
        <f>AD$5*Params!$E$30*Org!$B$10*Org!$B$12/12</f>
        <v>73333.333333333328</v>
      </c>
      <c r="AE154" s="44">
        <f>AE$5*Params!$E$30*Org!$B$10*Org!$B$12/12</f>
        <v>73333.333333333328</v>
      </c>
      <c r="AF154" s="44">
        <f>AF$5*Params!$E$30*Org!$B$10*Org!$B$12/12</f>
        <v>73333.333333333328</v>
      </c>
      <c r="AG154" s="44">
        <f>AG$5*Params!$E$30*Org!$B$10*Org!$B$12/12</f>
        <v>73333.333333333328</v>
      </c>
      <c r="AH154" s="44">
        <f>AH$5*Params!$E$30*Org!$B$10*Org!$B$12/12</f>
        <v>73333.333333333328</v>
      </c>
      <c r="AI154" s="44">
        <f>AI$5*Params!$E$30*Org!$B$10*Org!$B$12/12</f>
        <v>73333.333333333328</v>
      </c>
      <c r="AJ154" s="44">
        <f>AJ$5*Params!$E$30*Org!$B$10*Org!$B$12/12</f>
        <v>73333.333333333328</v>
      </c>
      <c r="AK154" s="44">
        <f>AK$5*Params!$E$30*Org!$B$10*Org!$B$12/12</f>
        <v>73333.333333333328</v>
      </c>
      <c r="AL154" s="44">
        <f>AL$5*Params!$E$30*Org!$B$10*Org!$B$12/12</f>
        <v>73333.333333333328</v>
      </c>
      <c r="AM154" s="44">
        <f>AM$5*Params!$E$30*Org!$B$10*Org!$B$12/12</f>
        <v>73333.333333333328</v>
      </c>
      <c r="AN154" s="44">
        <f>AN$5*Params!$E$30*Org!$B$10*Org!$B$12/12</f>
        <v>73333.333333333328</v>
      </c>
      <c r="AO154" s="44">
        <f>AO$5*Params!$E$30*Org!$B$10*Org!$B$12/12</f>
        <v>0</v>
      </c>
      <c r="AP154" s="44">
        <f>AP$5*Params!$E$30*Org!$B$10*Org!$B$12/12</f>
        <v>0</v>
      </c>
      <c r="AQ154" s="44">
        <f>AQ$5*Params!$E$30*Org!$B$10*Org!$B$12/12</f>
        <v>0</v>
      </c>
      <c r="AR154" s="44">
        <f>AR$5*Params!$E$30*Org!$B$10*Org!$B$12/12</f>
        <v>0</v>
      </c>
      <c r="AS154" s="44">
        <f>AS$5*Params!$E$30*Org!$B$10*Org!$B$12/12</f>
        <v>0</v>
      </c>
      <c r="AT154" s="44">
        <f>AT$5*Params!$E$30*Org!$B$10*Org!$B$12/12</f>
        <v>0</v>
      </c>
      <c r="AU154" s="44">
        <f>AU$5*Params!$E$30*Org!$B$10*Org!$B$12/12</f>
        <v>0</v>
      </c>
      <c r="AV154" s="44">
        <f>AV$5*Params!$E$30*Org!$B$10*Org!$B$12/12</f>
        <v>0</v>
      </c>
      <c r="AW154" s="44">
        <f>AW$5*Params!$E$30*Org!$B$10*Org!$B$12/12</f>
        <v>0</v>
      </c>
      <c r="AX154" s="44">
        <f>AX$5*Params!$E$30*Org!$B$10*Org!$B$12/12</f>
        <v>0</v>
      </c>
      <c r="AY154" s="44">
        <f>AY$5*Params!$E$30*Org!$B$10*Org!$B$12/12</f>
        <v>0</v>
      </c>
      <c r="AZ154" s="44">
        <f>AZ$5*Params!$E$30*Org!$B$10*Org!$B$12/12</f>
        <v>0</v>
      </c>
      <c r="BA154" s="44">
        <f>BA$5*Params!$E$30*Org!$B$10*Org!$B$12/12</f>
        <v>0</v>
      </c>
      <c r="BB154" s="44">
        <f>BB$5*Params!$E$30*Org!$B$10*Org!$B$12/12</f>
        <v>0</v>
      </c>
      <c r="BC154" s="44">
        <f>BC$5*Params!$E$30*Org!$B$10*Org!$B$12/12</f>
        <v>0</v>
      </c>
      <c r="BD154" s="44">
        <f>BD$5*Params!$E$30*Org!$B$10*Org!$B$12/12</f>
        <v>0</v>
      </c>
      <c r="BE154" s="44">
        <f>BE$5*Params!$E$30*Org!$B$10*Org!$B$12/12</f>
        <v>0</v>
      </c>
      <c r="BF154" s="44">
        <f>BF$5*Params!$E$30*Org!$B$10*Org!$B$12/12</f>
        <v>0</v>
      </c>
      <c r="BG154" s="44">
        <f>BG$5*Params!$E$30*Org!$B$10*Org!$B$12/12</f>
        <v>0</v>
      </c>
      <c r="BH154" s="44">
        <f>BH$5*Params!$E$30*Org!$B$10*Org!$B$12/12</f>
        <v>0</v>
      </c>
      <c r="BI154" s="44">
        <f>BI$5*Params!$E$30*Org!$B$10*Org!$B$12/12</f>
        <v>0</v>
      </c>
      <c r="BJ154" s="44">
        <f>BJ$5*Params!$E$30*Org!$B$10*Org!$B$12/12</f>
        <v>0</v>
      </c>
      <c r="BK154" s="44">
        <f>BK$5*Params!$E$30*Org!$B$10*Org!$B$12/12</f>
        <v>0</v>
      </c>
      <c r="BL154" s="44">
        <f>BL$5*Params!$E$30*Org!$B$10*Org!$B$12/12</f>
        <v>0</v>
      </c>
    </row>
    <row r="155" spans="1:64" x14ac:dyDescent="0.3">
      <c r="A155" s="8" t="s">
        <v>1027</v>
      </c>
      <c r="B155" s="18" t="s">
        <v>604</v>
      </c>
      <c r="C155" s="44">
        <f t="shared" si="49"/>
        <v>528000.00000000023</v>
      </c>
      <c r="E155" s="44">
        <f>E$5*Params!$E$31*Org!$B$10*Org!$B$12/12</f>
        <v>14666.666666666666</v>
      </c>
      <c r="F155" s="44">
        <f>F$5*Params!$E$31*Org!$B$10*Org!$B$12/12</f>
        <v>14666.666666666666</v>
      </c>
      <c r="G155" s="44">
        <f>G$5*Params!$E$31*Org!$B$10*Org!$B$12/12</f>
        <v>14666.666666666666</v>
      </c>
      <c r="H155" s="44">
        <f>H$5*Params!$E$31*Org!$B$10*Org!$B$12/12</f>
        <v>14666.666666666666</v>
      </c>
      <c r="I155" s="44">
        <f>I$5*Params!$E$31*Org!$B$10*Org!$B$12/12</f>
        <v>14666.666666666666</v>
      </c>
      <c r="J155" s="44">
        <f>J$5*Params!$E$31*Org!$B$10*Org!$B$12/12</f>
        <v>14666.666666666666</v>
      </c>
      <c r="K155" s="44">
        <f>K$5*Params!$E$31*Org!$B$10*Org!$B$12/12</f>
        <v>14666.666666666666</v>
      </c>
      <c r="L155" s="44">
        <f>L$5*Params!$E$31*Org!$B$10*Org!$B$12/12</f>
        <v>14666.666666666666</v>
      </c>
      <c r="M155" s="44">
        <f>M$5*Params!$E$31*Org!$B$10*Org!$B$12/12</f>
        <v>14666.666666666666</v>
      </c>
      <c r="N155" s="44">
        <f>N$5*Params!$E$31*Org!$B$10*Org!$B$12/12</f>
        <v>14666.666666666666</v>
      </c>
      <c r="O155" s="44">
        <f>O$5*Params!$E$31*Org!$B$10*Org!$B$12/12</f>
        <v>14666.666666666666</v>
      </c>
      <c r="P155" s="44">
        <f>P$5*Params!$E$31*Org!$B$10*Org!$B$12/12</f>
        <v>14666.666666666666</v>
      </c>
      <c r="Q155" s="44">
        <f>Q$5*Params!$E$31*Org!$B$10*Org!$B$12/12</f>
        <v>14666.666666666666</v>
      </c>
      <c r="R155" s="44">
        <f>R$5*Params!$E$31*Org!$B$10*Org!$B$12/12</f>
        <v>14666.666666666666</v>
      </c>
      <c r="S155" s="44">
        <f>S$5*Params!$E$31*Org!$B$10*Org!$B$12/12</f>
        <v>14666.666666666666</v>
      </c>
      <c r="T155" s="44">
        <f>T$5*Params!$E$31*Org!$B$10*Org!$B$12/12</f>
        <v>14666.666666666666</v>
      </c>
      <c r="U155" s="44">
        <f>U$5*Params!$E$31*Org!$B$10*Org!$B$12/12</f>
        <v>14666.666666666666</v>
      </c>
      <c r="V155" s="44">
        <f>V$5*Params!$E$31*Org!$B$10*Org!$B$12/12</f>
        <v>14666.666666666666</v>
      </c>
      <c r="W155" s="44">
        <f>W$5*Params!$E$31*Org!$B$10*Org!$B$12/12</f>
        <v>14666.666666666666</v>
      </c>
      <c r="X155" s="44">
        <f>X$5*Params!$E$31*Org!$B$10*Org!$B$12/12</f>
        <v>14666.666666666666</v>
      </c>
      <c r="Y155" s="44">
        <f>Y$5*Params!$E$31*Org!$B$10*Org!$B$12/12</f>
        <v>14666.666666666666</v>
      </c>
      <c r="Z155" s="44">
        <f>Z$5*Params!$E$31*Org!$B$10*Org!$B$12/12</f>
        <v>14666.666666666666</v>
      </c>
      <c r="AA155" s="44">
        <f>AA$5*Params!$E$31*Org!$B$10*Org!$B$12/12</f>
        <v>14666.666666666666</v>
      </c>
      <c r="AB155" s="44">
        <f>AB$5*Params!$E$31*Org!$B$10*Org!$B$12/12</f>
        <v>14666.666666666666</v>
      </c>
      <c r="AC155" s="44">
        <f>AC$5*Params!$E$31*Org!$B$10*Org!$B$12/12</f>
        <v>14666.666666666666</v>
      </c>
      <c r="AD155" s="44">
        <f>AD$5*Params!$E$31*Org!$B$10*Org!$B$12/12</f>
        <v>14666.666666666666</v>
      </c>
      <c r="AE155" s="44">
        <f>AE$5*Params!$E$31*Org!$B$10*Org!$B$12/12</f>
        <v>14666.666666666666</v>
      </c>
      <c r="AF155" s="44">
        <f>AF$5*Params!$E$31*Org!$B$10*Org!$B$12/12</f>
        <v>14666.666666666666</v>
      </c>
      <c r="AG155" s="44">
        <f>AG$5*Params!$E$31*Org!$B$10*Org!$B$12/12</f>
        <v>14666.666666666666</v>
      </c>
      <c r="AH155" s="44">
        <f>AH$5*Params!$E$31*Org!$B$10*Org!$B$12/12</f>
        <v>14666.666666666666</v>
      </c>
      <c r="AI155" s="44">
        <f>AI$5*Params!$E$31*Org!$B$10*Org!$B$12/12</f>
        <v>14666.666666666666</v>
      </c>
      <c r="AJ155" s="44">
        <f>AJ$5*Params!$E$31*Org!$B$10*Org!$B$12/12</f>
        <v>14666.666666666666</v>
      </c>
      <c r="AK155" s="44">
        <f>AK$5*Params!$E$31*Org!$B$10*Org!$B$12/12</f>
        <v>14666.666666666666</v>
      </c>
      <c r="AL155" s="44">
        <f>AL$5*Params!$E$31*Org!$B$10*Org!$B$12/12</f>
        <v>14666.666666666666</v>
      </c>
      <c r="AM155" s="44">
        <f>AM$5*Params!$E$31*Org!$B$10*Org!$B$12/12</f>
        <v>14666.666666666666</v>
      </c>
      <c r="AN155" s="44">
        <f>AN$5*Params!$E$31*Org!$B$10*Org!$B$12/12</f>
        <v>14666.666666666666</v>
      </c>
      <c r="AO155" s="44">
        <f>AO$5*Params!$E$31*Org!$B$10*Org!$B$12/12</f>
        <v>0</v>
      </c>
      <c r="AP155" s="44">
        <f>AP$5*Params!$E$31*Org!$B$10*Org!$B$12/12</f>
        <v>0</v>
      </c>
      <c r="AQ155" s="44">
        <f>AQ$5*Params!$E$31*Org!$B$10*Org!$B$12/12</f>
        <v>0</v>
      </c>
      <c r="AR155" s="44">
        <f>AR$5*Params!$E$31*Org!$B$10*Org!$B$12/12</f>
        <v>0</v>
      </c>
      <c r="AS155" s="44">
        <f>AS$5*Params!$E$31*Org!$B$10*Org!$B$12/12</f>
        <v>0</v>
      </c>
      <c r="AT155" s="44">
        <f>AT$5*Params!$E$31*Org!$B$10*Org!$B$12/12</f>
        <v>0</v>
      </c>
      <c r="AU155" s="44">
        <f>AU$5*Params!$E$31*Org!$B$10*Org!$B$12/12</f>
        <v>0</v>
      </c>
      <c r="AV155" s="44">
        <f>AV$5*Params!$E$31*Org!$B$10*Org!$B$12/12</f>
        <v>0</v>
      </c>
      <c r="AW155" s="44">
        <f>AW$5*Params!$E$31*Org!$B$10*Org!$B$12/12</f>
        <v>0</v>
      </c>
      <c r="AX155" s="44">
        <f>AX$5*Params!$E$31*Org!$B$10*Org!$B$12/12</f>
        <v>0</v>
      </c>
      <c r="AY155" s="44">
        <f>AY$5*Params!$E$31*Org!$B$10*Org!$B$12/12</f>
        <v>0</v>
      </c>
      <c r="AZ155" s="44">
        <f>AZ$5*Params!$E$31*Org!$B$10*Org!$B$12/12</f>
        <v>0</v>
      </c>
      <c r="BA155" s="44">
        <f>BA$5*Params!$E$31*Org!$B$10*Org!$B$12/12</f>
        <v>0</v>
      </c>
      <c r="BB155" s="44">
        <f>BB$5*Params!$E$31*Org!$B$10*Org!$B$12/12</f>
        <v>0</v>
      </c>
      <c r="BC155" s="44">
        <f>BC$5*Params!$E$31*Org!$B$10*Org!$B$12/12</f>
        <v>0</v>
      </c>
      <c r="BD155" s="44">
        <f>BD$5*Params!$E$31*Org!$B$10*Org!$B$12/12</f>
        <v>0</v>
      </c>
      <c r="BE155" s="44">
        <f>BE$5*Params!$E$31*Org!$B$10*Org!$B$12/12</f>
        <v>0</v>
      </c>
      <c r="BF155" s="44">
        <f>BF$5*Params!$E$31*Org!$B$10*Org!$B$12/12</f>
        <v>0</v>
      </c>
      <c r="BG155" s="44">
        <f>BG$5*Params!$E$31*Org!$B$10*Org!$B$12/12</f>
        <v>0</v>
      </c>
      <c r="BH155" s="44">
        <f>BH$5*Params!$E$31*Org!$B$10*Org!$B$12/12</f>
        <v>0</v>
      </c>
      <c r="BI155" s="44">
        <f>BI$5*Params!$E$31*Org!$B$10*Org!$B$12/12</f>
        <v>0</v>
      </c>
      <c r="BJ155" s="44">
        <f>BJ$5*Params!$E$31*Org!$B$10*Org!$B$12/12</f>
        <v>0</v>
      </c>
      <c r="BK155" s="44">
        <f>BK$5*Params!$E$31*Org!$B$10*Org!$B$12/12</f>
        <v>0</v>
      </c>
      <c r="BL155" s="44">
        <f>BL$5*Params!$E$31*Org!$B$10*Org!$B$12/12</f>
        <v>0</v>
      </c>
    </row>
    <row r="156" spans="1:64" x14ac:dyDescent="0.3">
      <c r="A156" s="8" t="s">
        <v>1028</v>
      </c>
      <c r="B156" s="18" t="s">
        <v>505</v>
      </c>
      <c r="C156" s="44">
        <f t="shared" si="49"/>
        <v>0</v>
      </c>
      <c r="E156" s="44">
        <f>E$5*Params!$E$32/12</f>
        <v>0</v>
      </c>
      <c r="F156" s="44">
        <f>F$5*Params!$E$32/12</f>
        <v>0</v>
      </c>
      <c r="G156" s="44">
        <f>G$5*Params!$E$32/12</f>
        <v>0</v>
      </c>
      <c r="H156" s="44">
        <f>H$5*Params!$E$32/12</f>
        <v>0</v>
      </c>
      <c r="I156" s="44">
        <f>I$5*Params!$E$32/12</f>
        <v>0</v>
      </c>
      <c r="J156" s="44">
        <f>J$5*Params!$E$32/12</f>
        <v>0</v>
      </c>
      <c r="K156" s="44">
        <f>K$5*Params!$E$32/12</f>
        <v>0</v>
      </c>
      <c r="L156" s="44">
        <f>L$5*Params!$E$32/12</f>
        <v>0</v>
      </c>
      <c r="M156" s="44">
        <f>M$5*Params!$E$32/12</f>
        <v>0</v>
      </c>
      <c r="N156" s="44">
        <f>N$5*Params!$E$32/12</f>
        <v>0</v>
      </c>
      <c r="O156" s="44">
        <f>O$5*Params!$E$32/12</f>
        <v>0</v>
      </c>
      <c r="P156" s="44">
        <f>P$5*Params!$E$32/12</f>
        <v>0</v>
      </c>
      <c r="Q156" s="44">
        <f>Q$5*Params!$E$32/12</f>
        <v>0</v>
      </c>
      <c r="R156" s="44">
        <f>R$5*Params!$E$32/12</f>
        <v>0</v>
      </c>
      <c r="S156" s="44">
        <f>S$5*Params!$E$32/12</f>
        <v>0</v>
      </c>
      <c r="T156" s="44">
        <f>T$5*Params!$E$32/12</f>
        <v>0</v>
      </c>
      <c r="U156" s="44">
        <f>U$5*Params!$E$32/12</f>
        <v>0</v>
      </c>
      <c r="V156" s="44">
        <f>V$5*Params!$E$32/12</f>
        <v>0</v>
      </c>
      <c r="W156" s="44">
        <f>W$5*Params!$E$32/12</f>
        <v>0</v>
      </c>
      <c r="X156" s="44">
        <f>X$5*Params!$E$32/12</f>
        <v>0</v>
      </c>
      <c r="Y156" s="44">
        <f>Y$5*Params!$E$32/12</f>
        <v>0</v>
      </c>
      <c r="Z156" s="44">
        <f>Z$5*Params!$E$32/12</f>
        <v>0</v>
      </c>
      <c r="AA156" s="44">
        <f>AA$5*Params!$E$32/12</f>
        <v>0</v>
      </c>
      <c r="AB156" s="44">
        <f>AB$5*Params!$E$32/12</f>
        <v>0</v>
      </c>
      <c r="AC156" s="44">
        <f>AC$5*Params!$E$32/12</f>
        <v>0</v>
      </c>
      <c r="AD156" s="44">
        <f>AD$5*Params!$E$32/12</f>
        <v>0</v>
      </c>
      <c r="AE156" s="44">
        <f>AE$5*Params!$E$32/12</f>
        <v>0</v>
      </c>
      <c r="AF156" s="44">
        <f>AF$5*Params!$E$32/12</f>
        <v>0</v>
      </c>
      <c r="AG156" s="44">
        <f>AG$5*Params!$E$32/12</f>
        <v>0</v>
      </c>
      <c r="AH156" s="44">
        <f>AH$5*Params!$E$32/12</f>
        <v>0</v>
      </c>
      <c r="AI156" s="44">
        <f>AI$5*Params!$E$32/12</f>
        <v>0</v>
      </c>
      <c r="AJ156" s="44">
        <f>AJ$5*Params!$E$32/12</f>
        <v>0</v>
      </c>
      <c r="AK156" s="44">
        <f>AK$5*Params!$E$32/12</f>
        <v>0</v>
      </c>
      <c r="AL156" s="44">
        <f>AL$5*Params!$E$32/12</f>
        <v>0</v>
      </c>
      <c r="AM156" s="44">
        <f>AM$5*Params!$E$32/12</f>
        <v>0</v>
      </c>
      <c r="AN156" s="44">
        <f>AN$5*Params!$E$32/12</f>
        <v>0</v>
      </c>
      <c r="AO156" s="44">
        <f>AO$5*Params!$E$32/12</f>
        <v>0</v>
      </c>
      <c r="AP156" s="44">
        <f>AP$5*Params!$E$32/12</f>
        <v>0</v>
      </c>
      <c r="AQ156" s="44">
        <f>AQ$5*Params!$E$32/12</f>
        <v>0</v>
      </c>
      <c r="AR156" s="44">
        <f>AR$5*Params!$E$32/12</f>
        <v>0</v>
      </c>
      <c r="AS156" s="44">
        <f>AS$5*Params!$E$32/12</f>
        <v>0</v>
      </c>
      <c r="AT156" s="44">
        <f>AT$5*Params!$E$32/12</f>
        <v>0</v>
      </c>
      <c r="AU156" s="44">
        <f>AU$5*Params!$E$32/12</f>
        <v>0</v>
      </c>
      <c r="AV156" s="44">
        <f>AV$5*Params!$E$32/12</f>
        <v>0</v>
      </c>
      <c r="AW156" s="44">
        <f>AW$5*Params!$E$32/12</f>
        <v>0</v>
      </c>
      <c r="AX156" s="44">
        <f>AX$5*Params!$E$32/12</f>
        <v>0</v>
      </c>
      <c r="AY156" s="44">
        <f>AY$5*Params!$E$32/12</f>
        <v>0</v>
      </c>
      <c r="AZ156" s="44">
        <f>AZ$5*Params!$E$32/12</f>
        <v>0</v>
      </c>
      <c r="BA156" s="44">
        <f>BA$5*Params!$E$32/12</f>
        <v>0</v>
      </c>
      <c r="BB156" s="44">
        <f>BB$5*Params!$E$32/12</f>
        <v>0</v>
      </c>
      <c r="BC156" s="44">
        <f>BC$5*Params!$E$32/12</f>
        <v>0</v>
      </c>
      <c r="BD156" s="44">
        <f>BD$5*Params!$E$32/12</f>
        <v>0</v>
      </c>
      <c r="BE156" s="44">
        <f>BE$5*Params!$E$32/12</f>
        <v>0</v>
      </c>
      <c r="BF156" s="44">
        <f>BF$5*Params!$E$32/12</f>
        <v>0</v>
      </c>
      <c r="BG156" s="44">
        <f>BG$5*Params!$E$32/12</f>
        <v>0</v>
      </c>
      <c r="BH156" s="44">
        <f>BH$5*Params!$E$32/12</f>
        <v>0</v>
      </c>
      <c r="BI156" s="44">
        <f>BI$5*Params!$E$32/12</f>
        <v>0</v>
      </c>
      <c r="BJ156" s="44">
        <f>BJ$5*Params!$E$32/12</f>
        <v>0</v>
      </c>
      <c r="BK156" s="44">
        <f>BK$5*Params!$E$32/12</f>
        <v>0</v>
      </c>
      <c r="BL156" s="44">
        <f>BL$5*Params!$E$32/12</f>
        <v>0</v>
      </c>
    </row>
    <row r="157" spans="1:64" x14ac:dyDescent="0.3">
      <c r="A157" s="8" t="s">
        <v>1029</v>
      </c>
      <c r="B157" s="18" t="s">
        <v>505</v>
      </c>
      <c r="C157" s="44">
        <f t="shared" si="49"/>
        <v>0</v>
      </c>
      <c r="E157" s="44">
        <f>E$5*Params!$E$33/12</f>
        <v>0</v>
      </c>
      <c r="F157" s="44">
        <f>F$5*Params!$E$33/12</f>
        <v>0</v>
      </c>
      <c r="G157" s="44">
        <f>G$5*Params!$E$33/12</f>
        <v>0</v>
      </c>
      <c r="H157" s="44">
        <f>H$5*Params!$E$33/12</f>
        <v>0</v>
      </c>
      <c r="I157" s="44">
        <f>I$5*Params!$E$33/12</f>
        <v>0</v>
      </c>
      <c r="J157" s="44">
        <f>J$5*Params!$E$33/12</f>
        <v>0</v>
      </c>
      <c r="K157" s="44">
        <f>K$5*Params!$E$33/12</f>
        <v>0</v>
      </c>
      <c r="L157" s="44">
        <f>L$5*Params!$E$33/12</f>
        <v>0</v>
      </c>
      <c r="M157" s="44">
        <f>M$5*Params!$E$33/12</f>
        <v>0</v>
      </c>
      <c r="N157" s="44">
        <f>N$5*Params!$E$33/12</f>
        <v>0</v>
      </c>
      <c r="O157" s="44">
        <f>O$5*Params!$E$33/12</f>
        <v>0</v>
      </c>
      <c r="P157" s="44">
        <f>P$5*Params!$E$33/12</f>
        <v>0</v>
      </c>
      <c r="Q157" s="44">
        <f>Q$5*Params!$E$33/12</f>
        <v>0</v>
      </c>
      <c r="R157" s="44">
        <f>R$5*Params!$E$33/12</f>
        <v>0</v>
      </c>
      <c r="S157" s="44">
        <f>S$5*Params!$E$33/12</f>
        <v>0</v>
      </c>
      <c r="T157" s="44">
        <f>T$5*Params!$E$33/12</f>
        <v>0</v>
      </c>
      <c r="U157" s="44">
        <f>U$5*Params!$E$33/12</f>
        <v>0</v>
      </c>
      <c r="V157" s="44">
        <f>V$5*Params!$E$33/12</f>
        <v>0</v>
      </c>
      <c r="W157" s="44">
        <f>W$5*Params!$E$33/12</f>
        <v>0</v>
      </c>
      <c r="X157" s="44">
        <f>X$5*Params!$E$33/12</f>
        <v>0</v>
      </c>
      <c r="Y157" s="44">
        <f>Y$5*Params!$E$33/12</f>
        <v>0</v>
      </c>
      <c r="Z157" s="44">
        <f>Z$5*Params!$E$33/12</f>
        <v>0</v>
      </c>
      <c r="AA157" s="44">
        <f>AA$5*Params!$E$33/12</f>
        <v>0</v>
      </c>
      <c r="AB157" s="44">
        <f>AB$5*Params!$E$33/12</f>
        <v>0</v>
      </c>
      <c r="AC157" s="44">
        <f>AC$5*Params!$E$33/12</f>
        <v>0</v>
      </c>
      <c r="AD157" s="44">
        <f>AD$5*Params!$E$33/12</f>
        <v>0</v>
      </c>
      <c r="AE157" s="44">
        <f>AE$5*Params!$E$33/12</f>
        <v>0</v>
      </c>
      <c r="AF157" s="44">
        <f>AF$5*Params!$E$33/12</f>
        <v>0</v>
      </c>
      <c r="AG157" s="44">
        <f>AG$5*Params!$E$33/12</f>
        <v>0</v>
      </c>
      <c r="AH157" s="44">
        <f>AH$5*Params!$E$33/12</f>
        <v>0</v>
      </c>
      <c r="AI157" s="44">
        <f>AI$5*Params!$E$33/12</f>
        <v>0</v>
      </c>
      <c r="AJ157" s="44">
        <f>AJ$5*Params!$E$33/12</f>
        <v>0</v>
      </c>
      <c r="AK157" s="44">
        <f>AK$5*Params!$E$33/12</f>
        <v>0</v>
      </c>
      <c r="AL157" s="44">
        <f>AL$5*Params!$E$33/12</f>
        <v>0</v>
      </c>
      <c r="AM157" s="44">
        <f>AM$5*Params!$E$33/12</f>
        <v>0</v>
      </c>
      <c r="AN157" s="44">
        <f>AN$5*Params!$E$33/12</f>
        <v>0</v>
      </c>
      <c r="AO157" s="44">
        <f>AO$5*Params!$E$33/12</f>
        <v>0</v>
      </c>
      <c r="AP157" s="44">
        <f>AP$5*Params!$E$33/12</f>
        <v>0</v>
      </c>
      <c r="AQ157" s="44">
        <f>AQ$5*Params!$E$33/12</f>
        <v>0</v>
      </c>
      <c r="AR157" s="44">
        <f>AR$5*Params!$E$33/12</f>
        <v>0</v>
      </c>
      <c r="AS157" s="44">
        <f>AS$5*Params!$E$33/12</f>
        <v>0</v>
      </c>
      <c r="AT157" s="44">
        <f>AT$5*Params!$E$33/12</f>
        <v>0</v>
      </c>
      <c r="AU157" s="44">
        <f>AU$5*Params!$E$33/12</f>
        <v>0</v>
      </c>
      <c r="AV157" s="44">
        <f>AV$5*Params!$E$33/12</f>
        <v>0</v>
      </c>
      <c r="AW157" s="44">
        <f>AW$5*Params!$E$33/12</f>
        <v>0</v>
      </c>
      <c r="AX157" s="44">
        <f>AX$5*Params!$E$33/12</f>
        <v>0</v>
      </c>
      <c r="AY157" s="44">
        <f>AY$5*Params!$E$33/12</f>
        <v>0</v>
      </c>
      <c r="AZ157" s="44">
        <f>AZ$5*Params!$E$33/12</f>
        <v>0</v>
      </c>
      <c r="BA157" s="44">
        <f>BA$5*Params!$E$33/12</f>
        <v>0</v>
      </c>
      <c r="BB157" s="44">
        <f>BB$5*Params!$E$33/12</f>
        <v>0</v>
      </c>
      <c r="BC157" s="44">
        <f>BC$5*Params!$E$33/12</f>
        <v>0</v>
      </c>
      <c r="BD157" s="44">
        <f>BD$5*Params!$E$33/12</f>
        <v>0</v>
      </c>
      <c r="BE157" s="44">
        <f>BE$5*Params!$E$33/12</f>
        <v>0</v>
      </c>
      <c r="BF157" s="44">
        <f>BF$5*Params!$E$33/12</f>
        <v>0</v>
      </c>
      <c r="BG157" s="44">
        <f>BG$5*Params!$E$33/12</f>
        <v>0</v>
      </c>
      <c r="BH157" s="44">
        <f>BH$5*Params!$E$33/12</f>
        <v>0</v>
      </c>
      <c r="BI157" s="44">
        <f>BI$5*Params!$E$33/12</f>
        <v>0</v>
      </c>
      <c r="BJ157" s="44">
        <f>BJ$5*Params!$E$33/12</f>
        <v>0</v>
      </c>
      <c r="BK157" s="44">
        <f>BK$5*Params!$E$33/12</f>
        <v>0</v>
      </c>
      <c r="BL157" s="44">
        <f>BL$5*Params!$E$33/12</f>
        <v>0</v>
      </c>
    </row>
    <row r="158" spans="1:64" x14ac:dyDescent="0.3">
      <c r="A158" s="8" t="s">
        <v>1030</v>
      </c>
      <c r="C158" s="44">
        <f t="shared" si="49"/>
        <v>3535575.6800000016</v>
      </c>
      <c r="D158" s="44">
        <f t="shared" ref="D158:AI158" si="50">SUM(D145:D157)</f>
        <v>236800</v>
      </c>
      <c r="E158" s="44">
        <f t="shared" si="50"/>
        <v>91515.8</v>
      </c>
      <c r="F158" s="44">
        <f t="shared" si="50"/>
        <v>91543.118518518517</v>
      </c>
      <c r="G158" s="44">
        <f t="shared" si="50"/>
        <v>91576.738974814813</v>
      </c>
      <c r="H158" s="44">
        <f t="shared" si="50"/>
        <v>91611.97408</v>
      </c>
      <c r="I158" s="44">
        <f t="shared" si="50"/>
        <v>91630.651105185185</v>
      </c>
      <c r="J158" s="44">
        <f t="shared" si="50"/>
        <v>91640.197321481479</v>
      </c>
      <c r="K158" s="44">
        <f t="shared" si="50"/>
        <v>91641.906666666662</v>
      </c>
      <c r="L158" s="44">
        <f t="shared" si="50"/>
        <v>91641.906666666662</v>
      </c>
      <c r="M158" s="44">
        <f t="shared" si="50"/>
        <v>91641.906666666662</v>
      </c>
      <c r="N158" s="44">
        <f t="shared" si="50"/>
        <v>91641.906666666662</v>
      </c>
      <c r="O158" s="44">
        <f t="shared" si="50"/>
        <v>91641.906666666662</v>
      </c>
      <c r="P158" s="44">
        <f t="shared" si="50"/>
        <v>91641.906666666662</v>
      </c>
      <c r="Q158" s="44">
        <f t="shared" si="50"/>
        <v>91641.906666666662</v>
      </c>
      <c r="R158" s="44">
        <f t="shared" si="50"/>
        <v>91641.906666666662</v>
      </c>
      <c r="S158" s="44">
        <f t="shared" si="50"/>
        <v>91641.906666666662</v>
      </c>
      <c r="T158" s="44">
        <f t="shared" si="50"/>
        <v>91641.906666666662</v>
      </c>
      <c r="U158" s="44">
        <f t="shared" si="50"/>
        <v>91641.906666666662</v>
      </c>
      <c r="V158" s="44">
        <f t="shared" si="50"/>
        <v>91641.906666666662</v>
      </c>
      <c r="W158" s="44">
        <f t="shared" si="50"/>
        <v>91641.906666666662</v>
      </c>
      <c r="X158" s="44">
        <f t="shared" si="50"/>
        <v>91641.906666666662</v>
      </c>
      <c r="Y158" s="44">
        <f t="shared" si="50"/>
        <v>91641.906666666662</v>
      </c>
      <c r="Z158" s="44">
        <f t="shared" si="50"/>
        <v>91641.906666666662</v>
      </c>
      <c r="AA158" s="44">
        <f t="shared" si="50"/>
        <v>91641.906666666662</v>
      </c>
      <c r="AB158" s="44">
        <f t="shared" si="50"/>
        <v>91641.906666666662</v>
      </c>
      <c r="AC158" s="44">
        <f t="shared" si="50"/>
        <v>91641.906666666662</v>
      </c>
      <c r="AD158" s="44">
        <f t="shared" si="50"/>
        <v>91641.906666666662</v>
      </c>
      <c r="AE158" s="44">
        <f t="shared" si="50"/>
        <v>91641.906666666662</v>
      </c>
      <c r="AF158" s="44">
        <f t="shared" si="50"/>
        <v>91641.906666666662</v>
      </c>
      <c r="AG158" s="44">
        <f t="shared" si="50"/>
        <v>91641.906666666662</v>
      </c>
      <c r="AH158" s="44">
        <f t="shared" si="50"/>
        <v>91641.906666666662</v>
      </c>
      <c r="AI158" s="44">
        <f t="shared" si="50"/>
        <v>91641.906666666662</v>
      </c>
      <c r="AJ158" s="44">
        <f t="shared" ref="AJ158:BO158" si="51">SUM(AJ145:AJ157)</f>
        <v>91641.906666666662</v>
      </c>
      <c r="AK158" s="44">
        <f t="shared" si="51"/>
        <v>91641.906666666662</v>
      </c>
      <c r="AL158" s="44">
        <f t="shared" si="51"/>
        <v>91641.906666666662</v>
      </c>
      <c r="AM158" s="44">
        <f t="shared" si="51"/>
        <v>91641.906666666662</v>
      </c>
      <c r="AN158" s="44">
        <f t="shared" si="51"/>
        <v>91641.906666666662</v>
      </c>
      <c r="AO158" s="44">
        <f t="shared" si="51"/>
        <v>0</v>
      </c>
      <c r="AP158" s="44">
        <f t="shared" si="51"/>
        <v>0</v>
      </c>
      <c r="AQ158" s="44">
        <f t="shared" si="51"/>
        <v>0</v>
      </c>
      <c r="AR158" s="44">
        <f t="shared" si="51"/>
        <v>0</v>
      </c>
      <c r="AS158" s="44">
        <f t="shared" si="51"/>
        <v>0</v>
      </c>
      <c r="AT158" s="44">
        <f t="shared" si="51"/>
        <v>0</v>
      </c>
      <c r="AU158" s="44">
        <f t="shared" si="51"/>
        <v>0</v>
      </c>
      <c r="AV158" s="44">
        <f t="shared" si="51"/>
        <v>0</v>
      </c>
      <c r="AW158" s="44">
        <f t="shared" si="51"/>
        <v>0</v>
      </c>
      <c r="AX158" s="44">
        <f t="shared" si="51"/>
        <v>0</v>
      </c>
      <c r="AY158" s="44">
        <f t="shared" si="51"/>
        <v>0</v>
      </c>
      <c r="AZ158" s="44">
        <f t="shared" si="51"/>
        <v>0</v>
      </c>
      <c r="BA158" s="44">
        <f t="shared" si="51"/>
        <v>0</v>
      </c>
      <c r="BB158" s="44">
        <f t="shared" si="51"/>
        <v>0</v>
      </c>
      <c r="BC158" s="44">
        <f t="shared" si="51"/>
        <v>0</v>
      </c>
      <c r="BD158" s="44">
        <f t="shared" si="51"/>
        <v>0</v>
      </c>
      <c r="BE158" s="44">
        <f t="shared" si="51"/>
        <v>0</v>
      </c>
      <c r="BF158" s="44">
        <f t="shared" si="51"/>
        <v>0</v>
      </c>
      <c r="BG158" s="44">
        <f t="shared" si="51"/>
        <v>0</v>
      </c>
      <c r="BH158" s="44">
        <f t="shared" si="51"/>
        <v>0</v>
      </c>
      <c r="BI158" s="44">
        <f t="shared" si="51"/>
        <v>0</v>
      </c>
      <c r="BJ158" s="44">
        <f t="shared" si="51"/>
        <v>0</v>
      </c>
      <c r="BK158" s="44">
        <f t="shared" si="51"/>
        <v>0</v>
      </c>
      <c r="BL158" s="44">
        <f t="shared" si="51"/>
        <v>0</v>
      </c>
    </row>
    <row r="161" spans="1:64" x14ac:dyDescent="0.3">
      <c r="A161" s="7" t="s">
        <v>1031</v>
      </c>
      <c r="G161" s="18" t="s">
        <v>978</v>
      </c>
      <c r="H161" s="18" t="s">
        <v>758</v>
      </c>
    </row>
    <row r="162" spans="1:64" x14ac:dyDescent="0.3">
      <c r="A162" s="8" t="s">
        <v>1032</v>
      </c>
      <c r="B162" s="22">
        <f>C12</f>
        <v>3618000</v>
      </c>
      <c r="C162" s="22">
        <f>C39</f>
        <v>4416000</v>
      </c>
      <c r="D162" s="22">
        <f>C66</f>
        <v>1300000</v>
      </c>
      <c r="E162" s="22">
        <f>C93</f>
        <v>403200</v>
      </c>
      <c r="F162" s="22">
        <f>C120</f>
        <v>2412000</v>
      </c>
    </row>
    <row r="163" spans="1:64" x14ac:dyDescent="0.3">
      <c r="A163" s="8" t="s">
        <v>160</v>
      </c>
      <c r="B163" s="14">
        <f>Teams!$C$81</f>
        <v>3000</v>
      </c>
      <c r="C163" s="14">
        <f>Teams!$D$81</f>
        <v>400</v>
      </c>
      <c r="D163" s="14">
        <f>Teams!$E$81</f>
        <v>60</v>
      </c>
      <c r="E163" s="14">
        <f>Teams!$F$81</f>
        <v>150</v>
      </c>
      <c r="F163" s="14">
        <f>Teams!$G$81</f>
        <v>2000</v>
      </c>
    </row>
    <row r="164" spans="1:64" x14ac:dyDescent="0.3">
      <c r="A164" s="8" t="s">
        <v>1033</v>
      </c>
      <c r="B164" s="46">
        <f>IF(Org!$B$9="Usage-proportional",B162/SUM($B162:$F162),IF(Org!$B$9="Headcount proxy",B163/SUM($B163:$F163),IF(Org!$B$9="Even split",IF(Org!$B$18=0,0,Teams!$C$5/Org!$B$18),0)))</f>
        <v>0.29779738583610443</v>
      </c>
      <c r="C164" s="46">
        <f>IF(Org!$B$9="Usage-proportional",C162/SUM($B162:$F162),IF(Org!$B$9="Headcount proxy",C163/SUM($B163:$F163),IF(Org!$B$9="Even split",IF(Org!$B$18=0,0,Teams!$D$5/Org!$B$18),0)))</f>
        <v>0.36348072301056861</v>
      </c>
      <c r="D164" s="46">
        <f>IF(Org!$B$9="Usage-proportional",D162/SUM($B162:$F162),IF(Org!$B$9="Headcount proxy",D163/SUM($B163:$F163),IF(Org!$B$9="Even split",IF(Org!$B$18=0,0,Teams!$E$5/Org!$B$18),0)))</f>
        <v>0.10700293023408949</v>
      </c>
      <c r="E164" s="46">
        <f>IF(Org!$B$9="Usage-proportional",E162/SUM($B162:$F162),IF(Org!$B$9="Headcount proxy",E163/SUM($B163:$F163),IF(Org!$B$9="Even split",IF(Org!$B$18=0,0,Teams!$F$5/Org!$B$18),0)))</f>
        <v>3.3187370361834521E-2</v>
      </c>
      <c r="F164" s="46">
        <f>IF(Org!$B$9="Usage-proportional",F162/SUM($B162:$F162),IF(Org!$B$9="Headcount proxy",F163/SUM($B163:$F163),IF(Org!$B$9="Even split",IF(Org!$B$18=0,0,Teams!$G$5/Org!$B$18),0)))</f>
        <v>0.19853159055740296</v>
      </c>
    </row>
    <row r="165" spans="1:64" x14ac:dyDescent="0.3">
      <c r="A165" s="8" t="s">
        <v>1034</v>
      </c>
      <c r="B165" s="44">
        <f>C158</f>
        <v>3535575.6800000016</v>
      </c>
    </row>
    <row r="166" spans="1:64" x14ac:dyDescent="0.3">
      <c r="A166" s="8" t="s">
        <v>1035</v>
      </c>
      <c r="B166" s="46">
        <f>Params!$E$40</f>
        <v>0.5</v>
      </c>
    </row>
    <row r="167" spans="1:64" x14ac:dyDescent="0.3">
      <c r="A167" s="8" t="s">
        <v>1036</v>
      </c>
      <c r="B167" s="44">
        <f>IF(Org!$B$8="Federated",$B$165*$B166*Teams!$C$5,$B$165*B164)</f>
        <v>1052885.1949297078</v>
      </c>
      <c r="C167" s="44">
        <f>IF(Org!$B$8="Federated",$B$165*$B166*Teams!$D$5,$B$165*C164)</f>
        <v>1285113.6044249833</v>
      </c>
      <c r="D167" s="44">
        <f>IF(Org!$B$8="Federated",$B$165*$B166*Teams!$E$5,$B$165*D164)</f>
        <v>378316.95782438369</v>
      </c>
      <c r="E167" s="44">
        <f>IF(Org!$B$8="Federated",$B$165*$B166*Teams!$F$5,$B$165*E164)</f>
        <v>117336.45953445499</v>
      </c>
      <c r="F167" s="44">
        <f>IF(Org!$B$8="Federated",$B$165*$B166*Teams!$G$5,$B$165*F164)</f>
        <v>701923.4632864719</v>
      </c>
      <c r="G167" s="44">
        <f>IF(AND(Org!$B$8&lt;&gt;"Federated",Org!$B$9="Central budget"),$B$165,0)</f>
        <v>0</v>
      </c>
      <c r="H167" s="44">
        <f>SUM(B167:G167)</f>
        <v>3535575.680000002</v>
      </c>
    </row>
    <row r="168" spans="1:64" x14ac:dyDescent="0.3">
      <c r="A168" s="8" t="s">
        <v>1037</v>
      </c>
      <c r="B168" s="44">
        <f>$B$165*B170</f>
        <v>3535575.6800000016</v>
      </c>
    </row>
    <row r="169" spans="1:64" x14ac:dyDescent="0.3">
      <c r="A169" s="8" t="s">
        <v>1038</v>
      </c>
      <c r="B169" s="36">
        <f t="shared" ref="B169:G169" si="52">IF($B$165=0,0,B167/$B$165)</f>
        <v>0.29779738583610443</v>
      </c>
      <c r="C169" s="36">
        <f t="shared" si="52"/>
        <v>0.36348072301056861</v>
      </c>
      <c r="D169" s="36">
        <f t="shared" si="52"/>
        <v>0.10700293023408949</v>
      </c>
      <c r="E169" s="36">
        <f t="shared" si="52"/>
        <v>3.3187370361834521E-2</v>
      </c>
      <c r="F169" s="36">
        <f t="shared" si="52"/>
        <v>0.19853159055740296</v>
      </c>
      <c r="G169" s="36">
        <f t="shared" si="52"/>
        <v>0</v>
      </c>
    </row>
    <row r="170" spans="1:64" x14ac:dyDescent="0.3">
      <c r="A170" s="8" t="s">
        <v>662</v>
      </c>
      <c r="B170" s="37">
        <f>IF(Org!$B$8="Federated",Org!$B$18*Params!$E$40,1)</f>
        <v>1</v>
      </c>
    </row>
    <row r="173" spans="1:64" x14ac:dyDescent="0.3">
      <c r="A173" s="7" t="s">
        <v>20</v>
      </c>
    </row>
    <row r="174" spans="1:64" x14ac:dyDescent="0.3">
      <c r="A174" s="8" t="s">
        <v>11</v>
      </c>
      <c r="C174" s="44">
        <f>SUM(D174:BL174)</f>
        <v>26033656.540000007</v>
      </c>
      <c r="D174" s="44">
        <f t="shared" ref="D174:AI174" si="53">D28+D55+D82+D109+D136</f>
        <v>0</v>
      </c>
      <c r="E174" s="44">
        <f t="shared" si="53"/>
        <v>118489.33333333334</v>
      </c>
      <c r="F174" s="44">
        <f t="shared" si="53"/>
        <v>271017.33333333331</v>
      </c>
      <c r="G174" s="44">
        <f t="shared" si="53"/>
        <v>450360.82821333339</v>
      </c>
      <c r="H174" s="44">
        <f t="shared" si="53"/>
        <v>639521.04677333334</v>
      </c>
      <c r="I174" s="44">
        <f t="shared" si="53"/>
        <v>716677.00656000013</v>
      </c>
      <c r="J174" s="44">
        <f t="shared" si="53"/>
        <v>759474.39178666659</v>
      </c>
      <c r="K174" s="44">
        <f t="shared" si="53"/>
        <v>769270.55333333323</v>
      </c>
      <c r="L174" s="44">
        <f t="shared" si="53"/>
        <v>769270.55333333323</v>
      </c>
      <c r="M174" s="44">
        <f t="shared" si="53"/>
        <v>769270.55333333323</v>
      </c>
      <c r="N174" s="44">
        <f t="shared" si="53"/>
        <v>769270.55333333323</v>
      </c>
      <c r="O174" s="44">
        <f t="shared" si="53"/>
        <v>769270.55333333323</v>
      </c>
      <c r="P174" s="44">
        <f t="shared" si="53"/>
        <v>769270.55333333323</v>
      </c>
      <c r="Q174" s="44">
        <f t="shared" si="53"/>
        <v>769270.55333333323</v>
      </c>
      <c r="R174" s="44">
        <f t="shared" si="53"/>
        <v>769270.55333333323</v>
      </c>
      <c r="S174" s="44">
        <f t="shared" si="53"/>
        <v>769270.55333333323</v>
      </c>
      <c r="T174" s="44">
        <f t="shared" si="53"/>
        <v>769270.55333333323</v>
      </c>
      <c r="U174" s="44">
        <f t="shared" si="53"/>
        <v>769270.55333333323</v>
      </c>
      <c r="V174" s="44">
        <f t="shared" si="53"/>
        <v>769270.55333333323</v>
      </c>
      <c r="W174" s="44">
        <f t="shared" si="53"/>
        <v>769270.55333333323</v>
      </c>
      <c r="X174" s="44">
        <f t="shared" si="53"/>
        <v>769270.55333333323</v>
      </c>
      <c r="Y174" s="44">
        <f t="shared" si="53"/>
        <v>769270.55333333323</v>
      </c>
      <c r="Z174" s="44">
        <f t="shared" si="53"/>
        <v>769270.55333333323</v>
      </c>
      <c r="AA174" s="44">
        <f t="shared" si="53"/>
        <v>769270.55333333323</v>
      </c>
      <c r="AB174" s="44">
        <f t="shared" si="53"/>
        <v>769270.55333333323</v>
      </c>
      <c r="AC174" s="44">
        <f t="shared" si="53"/>
        <v>769270.55333333323</v>
      </c>
      <c r="AD174" s="44">
        <f t="shared" si="53"/>
        <v>769270.55333333323</v>
      </c>
      <c r="AE174" s="44">
        <f t="shared" si="53"/>
        <v>769270.55333333323</v>
      </c>
      <c r="AF174" s="44">
        <f t="shared" si="53"/>
        <v>769270.55333333323</v>
      </c>
      <c r="AG174" s="44">
        <f t="shared" si="53"/>
        <v>769270.55333333323</v>
      </c>
      <c r="AH174" s="44">
        <f t="shared" si="53"/>
        <v>769270.55333333323</v>
      </c>
      <c r="AI174" s="44">
        <f t="shared" si="53"/>
        <v>769270.55333333323</v>
      </c>
      <c r="AJ174" s="44">
        <f t="shared" ref="AJ174:BL174" si="54">AJ28+AJ55+AJ82+AJ109+AJ136</f>
        <v>769270.55333333323</v>
      </c>
      <c r="AK174" s="44">
        <f t="shared" si="54"/>
        <v>769270.55333333323</v>
      </c>
      <c r="AL174" s="44">
        <f t="shared" si="54"/>
        <v>769270.55333333323</v>
      </c>
      <c r="AM174" s="44">
        <f t="shared" si="54"/>
        <v>769270.55333333323</v>
      </c>
      <c r="AN174" s="44">
        <f t="shared" si="54"/>
        <v>769270.55333333323</v>
      </c>
      <c r="AO174" s="44">
        <f t="shared" si="54"/>
        <v>0</v>
      </c>
      <c r="AP174" s="44">
        <f t="shared" si="54"/>
        <v>0</v>
      </c>
      <c r="AQ174" s="44">
        <f t="shared" si="54"/>
        <v>0</v>
      </c>
      <c r="AR174" s="44">
        <f t="shared" si="54"/>
        <v>0</v>
      </c>
      <c r="AS174" s="44">
        <f t="shared" si="54"/>
        <v>0</v>
      </c>
      <c r="AT174" s="44">
        <f t="shared" si="54"/>
        <v>0</v>
      </c>
      <c r="AU174" s="44">
        <f t="shared" si="54"/>
        <v>0</v>
      </c>
      <c r="AV174" s="44">
        <f t="shared" si="54"/>
        <v>0</v>
      </c>
      <c r="AW174" s="44">
        <f t="shared" si="54"/>
        <v>0</v>
      </c>
      <c r="AX174" s="44">
        <f t="shared" si="54"/>
        <v>0</v>
      </c>
      <c r="AY174" s="44">
        <f t="shared" si="54"/>
        <v>0</v>
      </c>
      <c r="AZ174" s="44">
        <f t="shared" si="54"/>
        <v>0</v>
      </c>
      <c r="BA174" s="44">
        <f t="shared" si="54"/>
        <v>0</v>
      </c>
      <c r="BB174" s="44">
        <f t="shared" si="54"/>
        <v>0</v>
      </c>
      <c r="BC174" s="44">
        <f t="shared" si="54"/>
        <v>0</v>
      </c>
      <c r="BD174" s="44">
        <f t="shared" si="54"/>
        <v>0</v>
      </c>
      <c r="BE174" s="44">
        <f t="shared" si="54"/>
        <v>0</v>
      </c>
      <c r="BF174" s="44">
        <f t="shared" si="54"/>
        <v>0</v>
      </c>
      <c r="BG174" s="44">
        <f t="shared" si="54"/>
        <v>0</v>
      </c>
      <c r="BH174" s="44">
        <f t="shared" si="54"/>
        <v>0</v>
      </c>
      <c r="BI174" s="44">
        <f t="shared" si="54"/>
        <v>0</v>
      </c>
      <c r="BJ174" s="44">
        <f t="shared" si="54"/>
        <v>0</v>
      </c>
      <c r="BK174" s="44">
        <f t="shared" si="54"/>
        <v>0</v>
      </c>
      <c r="BL174" s="44">
        <f t="shared" si="54"/>
        <v>0</v>
      </c>
    </row>
    <row r="175" spans="1:64" x14ac:dyDescent="0.3">
      <c r="A175" s="8" t="s">
        <v>1039</v>
      </c>
      <c r="C175" s="44">
        <f>SUM(D175:BL175)</f>
        <v>14809112.421359988</v>
      </c>
      <c r="D175" s="44">
        <f t="shared" ref="D175:AI175" si="55">D29+D56+D83+D110+D137</f>
        <v>1846723.7000000002</v>
      </c>
      <c r="E175" s="44">
        <f t="shared" si="55"/>
        <v>221939.6853111111</v>
      </c>
      <c r="F175" s="44">
        <f t="shared" si="55"/>
        <v>255579.00184444443</v>
      </c>
      <c r="G175" s="44">
        <f t="shared" si="55"/>
        <v>301068.48284916446</v>
      </c>
      <c r="H175" s="44">
        <f t="shared" si="55"/>
        <v>347820.98594247113</v>
      </c>
      <c r="I175" s="44">
        <f t="shared" si="55"/>
        <v>373926.84764308436</v>
      </c>
      <c r="J175" s="44">
        <f t="shared" si="55"/>
        <v>392790.89086972445</v>
      </c>
      <c r="K175" s="44">
        <f t="shared" si="55"/>
        <v>368003.69423000002</v>
      </c>
      <c r="L175" s="44">
        <f t="shared" si="55"/>
        <v>367651.69423000002</v>
      </c>
      <c r="M175" s="44">
        <f t="shared" si="55"/>
        <v>366771.69423000002</v>
      </c>
      <c r="N175" s="44">
        <f t="shared" si="55"/>
        <v>366771.69423000002</v>
      </c>
      <c r="O175" s="44">
        <f t="shared" si="55"/>
        <v>366771.69423000002</v>
      </c>
      <c r="P175" s="44">
        <f t="shared" si="55"/>
        <v>366771.69423000002</v>
      </c>
      <c r="Q175" s="44">
        <f t="shared" si="55"/>
        <v>366771.69423000002</v>
      </c>
      <c r="R175" s="44">
        <f t="shared" si="55"/>
        <v>366771.69423000002</v>
      </c>
      <c r="S175" s="44">
        <f t="shared" si="55"/>
        <v>366771.69423000002</v>
      </c>
      <c r="T175" s="44">
        <f t="shared" si="55"/>
        <v>385971.69423000002</v>
      </c>
      <c r="U175" s="44">
        <f t="shared" si="55"/>
        <v>373171.69423000002</v>
      </c>
      <c r="V175" s="44">
        <f t="shared" si="55"/>
        <v>373171.69423000002</v>
      </c>
      <c r="W175" s="44">
        <f t="shared" si="55"/>
        <v>366771.69423000002</v>
      </c>
      <c r="X175" s="44">
        <f t="shared" si="55"/>
        <v>366771.69423000002</v>
      </c>
      <c r="Y175" s="44">
        <f t="shared" si="55"/>
        <v>366771.69423000002</v>
      </c>
      <c r="Z175" s="44">
        <f t="shared" si="55"/>
        <v>366771.69423000002</v>
      </c>
      <c r="AA175" s="44">
        <f t="shared" si="55"/>
        <v>366771.69423000002</v>
      </c>
      <c r="AB175" s="44">
        <f t="shared" si="55"/>
        <v>366771.69423000002</v>
      </c>
      <c r="AC175" s="44">
        <f t="shared" si="55"/>
        <v>366771.69423000002</v>
      </c>
      <c r="AD175" s="44">
        <f t="shared" si="55"/>
        <v>366771.69423000002</v>
      </c>
      <c r="AE175" s="44">
        <f t="shared" si="55"/>
        <v>366771.69423000002</v>
      </c>
      <c r="AF175" s="44">
        <f t="shared" si="55"/>
        <v>366771.69423000002</v>
      </c>
      <c r="AG175" s="44">
        <f t="shared" si="55"/>
        <v>366771.69423000002</v>
      </c>
      <c r="AH175" s="44">
        <f t="shared" si="55"/>
        <v>366771.69423000002</v>
      </c>
      <c r="AI175" s="44">
        <f t="shared" si="55"/>
        <v>385971.69423000002</v>
      </c>
      <c r="AJ175" s="44">
        <f t="shared" ref="AJ175:BL175" si="56">AJ29+AJ56+AJ83+AJ110+AJ137</f>
        <v>373171.69423000002</v>
      </c>
      <c r="AK175" s="44">
        <f t="shared" si="56"/>
        <v>373171.69423000002</v>
      </c>
      <c r="AL175" s="44">
        <f t="shared" si="56"/>
        <v>366771.69423000002</v>
      </c>
      <c r="AM175" s="44">
        <f t="shared" si="56"/>
        <v>366771.69423000002</v>
      </c>
      <c r="AN175" s="44">
        <f t="shared" si="56"/>
        <v>366771.69423000002</v>
      </c>
      <c r="AO175" s="44">
        <f t="shared" si="56"/>
        <v>0</v>
      </c>
      <c r="AP175" s="44">
        <f t="shared" si="56"/>
        <v>0</v>
      </c>
      <c r="AQ175" s="44">
        <f t="shared" si="56"/>
        <v>0</v>
      </c>
      <c r="AR175" s="44">
        <f t="shared" si="56"/>
        <v>0</v>
      </c>
      <c r="AS175" s="44">
        <f t="shared" si="56"/>
        <v>0</v>
      </c>
      <c r="AT175" s="44">
        <f t="shared" si="56"/>
        <v>0</v>
      </c>
      <c r="AU175" s="44">
        <f t="shared" si="56"/>
        <v>0</v>
      </c>
      <c r="AV175" s="44">
        <f t="shared" si="56"/>
        <v>0</v>
      </c>
      <c r="AW175" s="44">
        <f t="shared" si="56"/>
        <v>0</v>
      </c>
      <c r="AX175" s="44">
        <f t="shared" si="56"/>
        <v>0</v>
      </c>
      <c r="AY175" s="44">
        <f t="shared" si="56"/>
        <v>0</v>
      </c>
      <c r="AZ175" s="44">
        <f t="shared" si="56"/>
        <v>0</v>
      </c>
      <c r="BA175" s="44">
        <f t="shared" si="56"/>
        <v>0</v>
      </c>
      <c r="BB175" s="44">
        <f t="shared" si="56"/>
        <v>0</v>
      </c>
      <c r="BC175" s="44">
        <f t="shared" si="56"/>
        <v>0</v>
      </c>
      <c r="BD175" s="44">
        <f t="shared" si="56"/>
        <v>0</v>
      </c>
      <c r="BE175" s="44">
        <f t="shared" si="56"/>
        <v>0</v>
      </c>
      <c r="BF175" s="44">
        <f t="shared" si="56"/>
        <v>0</v>
      </c>
      <c r="BG175" s="44">
        <f t="shared" si="56"/>
        <v>0</v>
      </c>
      <c r="BH175" s="44">
        <f t="shared" si="56"/>
        <v>0</v>
      </c>
      <c r="BI175" s="44">
        <f t="shared" si="56"/>
        <v>0</v>
      </c>
      <c r="BJ175" s="44">
        <f t="shared" si="56"/>
        <v>0</v>
      </c>
      <c r="BK175" s="44">
        <f t="shared" si="56"/>
        <v>0</v>
      </c>
      <c r="BL175" s="44">
        <f t="shared" si="56"/>
        <v>0</v>
      </c>
    </row>
    <row r="176" spans="1:64" x14ac:dyDescent="0.3">
      <c r="A176" s="8" t="s">
        <v>1040</v>
      </c>
      <c r="C176" s="44">
        <f>SUM(D176:BL176)</f>
        <v>3535575.6800000016</v>
      </c>
      <c r="D176" s="44">
        <f t="shared" ref="D176:AI176" si="57">D158*$B$170</f>
        <v>236800</v>
      </c>
      <c r="E176" s="44">
        <f t="shared" si="57"/>
        <v>91515.8</v>
      </c>
      <c r="F176" s="44">
        <f t="shared" si="57"/>
        <v>91543.118518518517</v>
      </c>
      <c r="G176" s="44">
        <f t="shared" si="57"/>
        <v>91576.738974814813</v>
      </c>
      <c r="H176" s="44">
        <f t="shared" si="57"/>
        <v>91611.97408</v>
      </c>
      <c r="I176" s="44">
        <f t="shared" si="57"/>
        <v>91630.651105185185</v>
      </c>
      <c r="J176" s="44">
        <f t="shared" si="57"/>
        <v>91640.197321481479</v>
      </c>
      <c r="K176" s="44">
        <f t="shared" si="57"/>
        <v>91641.906666666662</v>
      </c>
      <c r="L176" s="44">
        <f t="shared" si="57"/>
        <v>91641.906666666662</v>
      </c>
      <c r="M176" s="44">
        <f t="shared" si="57"/>
        <v>91641.906666666662</v>
      </c>
      <c r="N176" s="44">
        <f t="shared" si="57"/>
        <v>91641.906666666662</v>
      </c>
      <c r="O176" s="44">
        <f t="shared" si="57"/>
        <v>91641.906666666662</v>
      </c>
      <c r="P176" s="44">
        <f t="shared" si="57"/>
        <v>91641.906666666662</v>
      </c>
      <c r="Q176" s="44">
        <f t="shared" si="57"/>
        <v>91641.906666666662</v>
      </c>
      <c r="R176" s="44">
        <f t="shared" si="57"/>
        <v>91641.906666666662</v>
      </c>
      <c r="S176" s="44">
        <f t="shared" si="57"/>
        <v>91641.906666666662</v>
      </c>
      <c r="T176" s="44">
        <f t="shared" si="57"/>
        <v>91641.906666666662</v>
      </c>
      <c r="U176" s="44">
        <f t="shared" si="57"/>
        <v>91641.906666666662</v>
      </c>
      <c r="V176" s="44">
        <f t="shared" si="57"/>
        <v>91641.906666666662</v>
      </c>
      <c r="W176" s="44">
        <f t="shared" si="57"/>
        <v>91641.906666666662</v>
      </c>
      <c r="X176" s="44">
        <f t="shared" si="57"/>
        <v>91641.906666666662</v>
      </c>
      <c r="Y176" s="44">
        <f t="shared" si="57"/>
        <v>91641.906666666662</v>
      </c>
      <c r="Z176" s="44">
        <f t="shared" si="57"/>
        <v>91641.906666666662</v>
      </c>
      <c r="AA176" s="44">
        <f t="shared" si="57"/>
        <v>91641.906666666662</v>
      </c>
      <c r="AB176" s="44">
        <f t="shared" si="57"/>
        <v>91641.906666666662</v>
      </c>
      <c r="AC176" s="44">
        <f t="shared" si="57"/>
        <v>91641.906666666662</v>
      </c>
      <c r="AD176" s="44">
        <f t="shared" si="57"/>
        <v>91641.906666666662</v>
      </c>
      <c r="AE176" s="44">
        <f t="shared" si="57"/>
        <v>91641.906666666662</v>
      </c>
      <c r="AF176" s="44">
        <f t="shared" si="57"/>
        <v>91641.906666666662</v>
      </c>
      <c r="AG176" s="44">
        <f t="shared" si="57"/>
        <v>91641.906666666662</v>
      </c>
      <c r="AH176" s="44">
        <f t="shared" si="57"/>
        <v>91641.906666666662</v>
      </c>
      <c r="AI176" s="44">
        <f t="shared" si="57"/>
        <v>91641.906666666662</v>
      </c>
      <c r="AJ176" s="44">
        <f t="shared" ref="AJ176:BL176" si="58">AJ158*$B$170</f>
        <v>91641.906666666662</v>
      </c>
      <c r="AK176" s="44">
        <f t="shared" si="58"/>
        <v>91641.906666666662</v>
      </c>
      <c r="AL176" s="44">
        <f t="shared" si="58"/>
        <v>91641.906666666662</v>
      </c>
      <c r="AM176" s="44">
        <f t="shared" si="58"/>
        <v>91641.906666666662</v>
      </c>
      <c r="AN176" s="44">
        <f t="shared" si="58"/>
        <v>91641.906666666662</v>
      </c>
      <c r="AO176" s="44">
        <f t="shared" si="58"/>
        <v>0</v>
      </c>
      <c r="AP176" s="44">
        <f t="shared" si="58"/>
        <v>0</v>
      </c>
      <c r="AQ176" s="44">
        <f t="shared" si="58"/>
        <v>0</v>
      </c>
      <c r="AR176" s="44">
        <f t="shared" si="58"/>
        <v>0</v>
      </c>
      <c r="AS176" s="44">
        <f t="shared" si="58"/>
        <v>0</v>
      </c>
      <c r="AT176" s="44">
        <f t="shared" si="58"/>
        <v>0</v>
      </c>
      <c r="AU176" s="44">
        <f t="shared" si="58"/>
        <v>0</v>
      </c>
      <c r="AV176" s="44">
        <f t="shared" si="58"/>
        <v>0</v>
      </c>
      <c r="AW176" s="44">
        <f t="shared" si="58"/>
        <v>0</v>
      </c>
      <c r="AX176" s="44">
        <f t="shared" si="58"/>
        <v>0</v>
      </c>
      <c r="AY176" s="44">
        <f t="shared" si="58"/>
        <v>0</v>
      </c>
      <c r="AZ176" s="44">
        <f t="shared" si="58"/>
        <v>0</v>
      </c>
      <c r="BA176" s="44">
        <f t="shared" si="58"/>
        <v>0</v>
      </c>
      <c r="BB176" s="44">
        <f t="shared" si="58"/>
        <v>0</v>
      </c>
      <c r="BC176" s="44">
        <f t="shared" si="58"/>
        <v>0</v>
      </c>
      <c r="BD176" s="44">
        <f t="shared" si="58"/>
        <v>0</v>
      </c>
      <c r="BE176" s="44">
        <f t="shared" si="58"/>
        <v>0</v>
      </c>
      <c r="BF176" s="44">
        <f t="shared" si="58"/>
        <v>0</v>
      </c>
      <c r="BG176" s="44">
        <f t="shared" si="58"/>
        <v>0</v>
      </c>
      <c r="BH176" s="44">
        <f t="shared" si="58"/>
        <v>0</v>
      </c>
      <c r="BI176" s="44">
        <f t="shared" si="58"/>
        <v>0</v>
      </c>
      <c r="BJ176" s="44">
        <f t="shared" si="58"/>
        <v>0</v>
      </c>
      <c r="BK176" s="44">
        <f t="shared" si="58"/>
        <v>0</v>
      </c>
      <c r="BL176" s="44">
        <f t="shared" si="58"/>
        <v>0</v>
      </c>
    </row>
    <row r="177" spans="1:64" x14ac:dyDescent="0.3">
      <c r="A177" s="8" t="s">
        <v>1012</v>
      </c>
      <c r="C177" s="44">
        <f>SUM(D177:BL177)</f>
        <v>7688968.4386399994</v>
      </c>
      <c r="D177" s="44">
        <f t="shared" ref="D177:AI177" si="59">D174-D175-D176</f>
        <v>-2083523.7000000002</v>
      </c>
      <c r="E177" s="44">
        <f t="shared" si="59"/>
        <v>-194966.15197777777</v>
      </c>
      <c r="F177" s="44">
        <f t="shared" si="59"/>
        <v>-76104.787029629631</v>
      </c>
      <c r="G177" s="44">
        <f t="shared" si="59"/>
        <v>57715.606389354114</v>
      </c>
      <c r="H177" s="44">
        <f t="shared" si="59"/>
        <v>200088.08675086219</v>
      </c>
      <c r="I177" s="44">
        <f t="shared" si="59"/>
        <v>251119.50781173058</v>
      </c>
      <c r="J177" s="44">
        <f t="shared" si="59"/>
        <v>275043.30359546066</v>
      </c>
      <c r="K177" s="44">
        <f t="shared" si="59"/>
        <v>309624.95243666653</v>
      </c>
      <c r="L177" s="44">
        <f t="shared" si="59"/>
        <v>309976.95243666653</v>
      </c>
      <c r="M177" s="44">
        <f t="shared" si="59"/>
        <v>310856.95243666653</v>
      </c>
      <c r="N177" s="44">
        <f t="shared" si="59"/>
        <v>310856.95243666653</v>
      </c>
      <c r="O177" s="44">
        <f t="shared" si="59"/>
        <v>310856.95243666653</v>
      </c>
      <c r="P177" s="44">
        <f t="shared" si="59"/>
        <v>310856.95243666653</v>
      </c>
      <c r="Q177" s="44">
        <f t="shared" si="59"/>
        <v>310856.95243666653</v>
      </c>
      <c r="R177" s="44">
        <f t="shared" si="59"/>
        <v>310856.95243666653</v>
      </c>
      <c r="S177" s="44">
        <f t="shared" si="59"/>
        <v>310856.95243666653</v>
      </c>
      <c r="T177" s="44">
        <f t="shared" si="59"/>
        <v>291656.95243666653</v>
      </c>
      <c r="U177" s="44">
        <f t="shared" si="59"/>
        <v>304456.95243666653</v>
      </c>
      <c r="V177" s="44">
        <f t="shared" si="59"/>
        <v>304456.95243666653</v>
      </c>
      <c r="W177" s="44">
        <f t="shared" si="59"/>
        <v>310856.95243666653</v>
      </c>
      <c r="X177" s="44">
        <f t="shared" si="59"/>
        <v>310856.95243666653</v>
      </c>
      <c r="Y177" s="44">
        <f t="shared" si="59"/>
        <v>310856.95243666653</v>
      </c>
      <c r="Z177" s="44">
        <f t="shared" si="59"/>
        <v>310856.95243666653</v>
      </c>
      <c r="AA177" s="44">
        <f t="shared" si="59"/>
        <v>310856.95243666653</v>
      </c>
      <c r="AB177" s="44">
        <f t="shared" si="59"/>
        <v>310856.95243666653</v>
      </c>
      <c r="AC177" s="44">
        <f t="shared" si="59"/>
        <v>310856.95243666653</v>
      </c>
      <c r="AD177" s="44">
        <f t="shared" si="59"/>
        <v>310856.95243666653</v>
      </c>
      <c r="AE177" s="44">
        <f t="shared" si="59"/>
        <v>310856.95243666653</v>
      </c>
      <c r="AF177" s="44">
        <f t="shared" si="59"/>
        <v>310856.95243666653</v>
      </c>
      <c r="AG177" s="44">
        <f t="shared" si="59"/>
        <v>310856.95243666653</v>
      </c>
      <c r="AH177" s="44">
        <f t="shared" si="59"/>
        <v>310856.95243666653</v>
      </c>
      <c r="AI177" s="44">
        <f t="shared" si="59"/>
        <v>291656.95243666653</v>
      </c>
      <c r="AJ177" s="44">
        <f t="shared" ref="AJ177:BO177" si="60">AJ174-AJ175-AJ176</f>
        <v>304456.95243666653</v>
      </c>
      <c r="AK177" s="44">
        <f t="shared" si="60"/>
        <v>304456.95243666653</v>
      </c>
      <c r="AL177" s="44">
        <f t="shared" si="60"/>
        <v>310856.95243666653</v>
      </c>
      <c r="AM177" s="44">
        <f t="shared" si="60"/>
        <v>310856.95243666653</v>
      </c>
      <c r="AN177" s="44">
        <f t="shared" si="60"/>
        <v>310856.95243666653</v>
      </c>
      <c r="AO177" s="44">
        <f t="shared" si="60"/>
        <v>0</v>
      </c>
      <c r="AP177" s="44">
        <f t="shared" si="60"/>
        <v>0</v>
      </c>
      <c r="AQ177" s="44">
        <f t="shared" si="60"/>
        <v>0</v>
      </c>
      <c r="AR177" s="44">
        <f t="shared" si="60"/>
        <v>0</v>
      </c>
      <c r="AS177" s="44">
        <f t="shared" si="60"/>
        <v>0</v>
      </c>
      <c r="AT177" s="44">
        <f t="shared" si="60"/>
        <v>0</v>
      </c>
      <c r="AU177" s="44">
        <f t="shared" si="60"/>
        <v>0</v>
      </c>
      <c r="AV177" s="44">
        <f t="shared" si="60"/>
        <v>0</v>
      </c>
      <c r="AW177" s="44">
        <f t="shared" si="60"/>
        <v>0</v>
      </c>
      <c r="AX177" s="44">
        <f t="shared" si="60"/>
        <v>0</v>
      </c>
      <c r="AY177" s="44">
        <f t="shared" si="60"/>
        <v>0</v>
      </c>
      <c r="AZ177" s="44">
        <f t="shared" si="60"/>
        <v>0</v>
      </c>
      <c r="BA177" s="44">
        <f t="shared" si="60"/>
        <v>0</v>
      </c>
      <c r="BB177" s="44">
        <f t="shared" si="60"/>
        <v>0</v>
      </c>
      <c r="BC177" s="44">
        <f t="shared" si="60"/>
        <v>0</v>
      </c>
      <c r="BD177" s="44">
        <f t="shared" si="60"/>
        <v>0</v>
      </c>
      <c r="BE177" s="44">
        <f t="shared" si="60"/>
        <v>0</v>
      </c>
      <c r="BF177" s="44">
        <f t="shared" si="60"/>
        <v>0</v>
      </c>
      <c r="BG177" s="44">
        <f t="shared" si="60"/>
        <v>0</v>
      </c>
      <c r="BH177" s="44">
        <f t="shared" si="60"/>
        <v>0</v>
      </c>
      <c r="BI177" s="44">
        <f t="shared" si="60"/>
        <v>0</v>
      </c>
      <c r="BJ177" s="44">
        <f t="shared" si="60"/>
        <v>0</v>
      </c>
      <c r="BK177" s="44">
        <f t="shared" si="60"/>
        <v>0</v>
      </c>
      <c r="BL177" s="44">
        <f t="shared" si="60"/>
        <v>0</v>
      </c>
    </row>
    <row r="178" spans="1:64" x14ac:dyDescent="0.3">
      <c r="A178" s="8" t="s">
        <v>1013</v>
      </c>
      <c r="D178" s="44">
        <f>D177</f>
        <v>-2083523.7000000002</v>
      </c>
      <c r="E178" s="44">
        <f t="shared" ref="E178:AJ178" si="61">D178+E177</f>
        <v>-2278489.8519777781</v>
      </c>
      <c r="F178" s="44">
        <f t="shared" si="61"/>
        <v>-2354594.6390074077</v>
      </c>
      <c r="G178" s="44">
        <f t="shared" si="61"/>
        <v>-2296879.0326180537</v>
      </c>
      <c r="H178" s="44">
        <f t="shared" si="61"/>
        <v>-2096790.9458671915</v>
      </c>
      <c r="I178" s="44">
        <f t="shared" si="61"/>
        <v>-1845671.438055461</v>
      </c>
      <c r="J178" s="44">
        <f t="shared" si="61"/>
        <v>-1570628.1344600003</v>
      </c>
      <c r="K178" s="44">
        <f t="shared" si="61"/>
        <v>-1261003.1820233339</v>
      </c>
      <c r="L178" s="44">
        <f t="shared" si="61"/>
        <v>-951026.22958666738</v>
      </c>
      <c r="M178" s="44">
        <f t="shared" si="61"/>
        <v>-640169.27715000091</v>
      </c>
      <c r="N178" s="44">
        <f t="shared" si="61"/>
        <v>-329312.32471333438</v>
      </c>
      <c r="O178" s="44">
        <f t="shared" si="61"/>
        <v>-18455.372276667855</v>
      </c>
      <c r="P178" s="44">
        <f t="shared" si="61"/>
        <v>292401.58015999867</v>
      </c>
      <c r="Q178" s="44">
        <f t="shared" si="61"/>
        <v>603258.5325966652</v>
      </c>
      <c r="R178" s="44">
        <f t="shared" si="61"/>
        <v>914115.48503333167</v>
      </c>
      <c r="S178" s="44">
        <f t="shared" si="61"/>
        <v>1224972.4374699981</v>
      </c>
      <c r="T178" s="44">
        <f t="shared" si="61"/>
        <v>1516629.3899066646</v>
      </c>
      <c r="U178" s="44">
        <f t="shared" si="61"/>
        <v>1821086.3423433311</v>
      </c>
      <c r="V178" s="44">
        <f t="shared" si="61"/>
        <v>2125543.2947799978</v>
      </c>
      <c r="W178" s="44">
        <f t="shared" si="61"/>
        <v>2436400.2472166643</v>
      </c>
      <c r="X178" s="44">
        <f t="shared" si="61"/>
        <v>2747257.1996533307</v>
      </c>
      <c r="Y178" s="44">
        <f t="shared" si="61"/>
        <v>3058114.1520899972</v>
      </c>
      <c r="Z178" s="44">
        <f t="shared" si="61"/>
        <v>3368971.1045266637</v>
      </c>
      <c r="AA178" s="44">
        <f t="shared" si="61"/>
        <v>3679828.0569633301</v>
      </c>
      <c r="AB178" s="44">
        <f t="shared" si="61"/>
        <v>3990685.0093999966</v>
      </c>
      <c r="AC178" s="44">
        <f t="shared" si="61"/>
        <v>4301541.9618366631</v>
      </c>
      <c r="AD178" s="44">
        <f t="shared" si="61"/>
        <v>4612398.91427333</v>
      </c>
      <c r="AE178" s="44">
        <f t="shared" si="61"/>
        <v>4923255.8667099969</v>
      </c>
      <c r="AF178" s="44">
        <f t="shared" si="61"/>
        <v>5234112.8191466639</v>
      </c>
      <c r="AG178" s="44">
        <f t="shared" si="61"/>
        <v>5544969.7715833308</v>
      </c>
      <c r="AH178" s="44">
        <f t="shared" si="61"/>
        <v>5855826.7240199978</v>
      </c>
      <c r="AI178" s="44">
        <f t="shared" si="61"/>
        <v>6147483.6764566647</v>
      </c>
      <c r="AJ178" s="44">
        <f t="shared" si="61"/>
        <v>6451940.6288933316</v>
      </c>
      <c r="AK178" s="44">
        <f t="shared" ref="AK178:BP178" si="62">AJ178+AK177</f>
        <v>6756397.5813299986</v>
      </c>
      <c r="AL178" s="44">
        <f t="shared" si="62"/>
        <v>7067254.5337666655</v>
      </c>
      <c r="AM178" s="44">
        <f t="shared" si="62"/>
        <v>7378111.4862033324</v>
      </c>
      <c r="AN178" s="44">
        <f t="shared" si="62"/>
        <v>7688968.4386399994</v>
      </c>
      <c r="AO178" s="44">
        <f t="shared" si="62"/>
        <v>7688968.4386399994</v>
      </c>
      <c r="AP178" s="44">
        <f t="shared" si="62"/>
        <v>7688968.4386399994</v>
      </c>
      <c r="AQ178" s="44">
        <f t="shared" si="62"/>
        <v>7688968.4386399994</v>
      </c>
      <c r="AR178" s="44">
        <f t="shared" si="62"/>
        <v>7688968.4386399994</v>
      </c>
      <c r="AS178" s="44">
        <f t="shared" si="62"/>
        <v>7688968.4386399994</v>
      </c>
      <c r="AT178" s="44">
        <f t="shared" si="62"/>
        <v>7688968.4386399994</v>
      </c>
      <c r="AU178" s="44">
        <f t="shared" si="62"/>
        <v>7688968.4386399994</v>
      </c>
      <c r="AV178" s="44">
        <f t="shared" si="62"/>
        <v>7688968.4386399994</v>
      </c>
      <c r="AW178" s="44">
        <f t="shared" si="62"/>
        <v>7688968.4386399994</v>
      </c>
      <c r="AX178" s="44">
        <f t="shared" si="62"/>
        <v>7688968.4386399994</v>
      </c>
      <c r="AY178" s="44">
        <f t="shared" si="62"/>
        <v>7688968.4386399994</v>
      </c>
      <c r="AZ178" s="44">
        <f t="shared" si="62"/>
        <v>7688968.4386399994</v>
      </c>
      <c r="BA178" s="44">
        <f t="shared" si="62"/>
        <v>7688968.4386399994</v>
      </c>
      <c r="BB178" s="44">
        <f t="shared" si="62"/>
        <v>7688968.4386399994</v>
      </c>
      <c r="BC178" s="44">
        <f t="shared" si="62"/>
        <v>7688968.4386399994</v>
      </c>
      <c r="BD178" s="44">
        <f t="shared" si="62"/>
        <v>7688968.4386399994</v>
      </c>
      <c r="BE178" s="44">
        <f t="shared" si="62"/>
        <v>7688968.4386399994</v>
      </c>
      <c r="BF178" s="44">
        <f t="shared" si="62"/>
        <v>7688968.4386399994</v>
      </c>
      <c r="BG178" s="44">
        <f t="shared" si="62"/>
        <v>7688968.4386399994</v>
      </c>
      <c r="BH178" s="44">
        <f t="shared" si="62"/>
        <v>7688968.4386399994</v>
      </c>
      <c r="BI178" s="44">
        <f t="shared" si="62"/>
        <v>7688968.4386399994</v>
      </c>
      <c r="BJ178" s="44">
        <f t="shared" si="62"/>
        <v>7688968.4386399994</v>
      </c>
      <c r="BK178" s="44">
        <f t="shared" si="62"/>
        <v>7688968.4386399994</v>
      </c>
      <c r="BL178" s="44">
        <f t="shared" si="62"/>
        <v>7688968.4386399994</v>
      </c>
    </row>
    <row r="179" spans="1:64" x14ac:dyDescent="0.3">
      <c r="A179" s="8" t="s">
        <v>1014</v>
      </c>
      <c r="C179" s="22">
        <f>IF(COUNT(E179:BL179)=0,"None",MIN(E179:BL179))</f>
        <v>12</v>
      </c>
      <c r="E179" s="22" t="str">
        <f>IF(AND(E$4&lt;=Org!$B$5,E178&gt;=0),E$4,"")</f>
        <v/>
      </c>
      <c r="F179" s="22" t="str">
        <f>IF(AND(F$4&lt;=Org!$B$5,F178&gt;=0),F$4,"")</f>
        <v/>
      </c>
      <c r="G179" s="22" t="str">
        <f>IF(AND(G$4&lt;=Org!$B$5,G178&gt;=0),G$4,"")</f>
        <v/>
      </c>
      <c r="H179" s="22" t="str">
        <f>IF(AND(H$4&lt;=Org!$B$5,H178&gt;=0),H$4,"")</f>
        <v/>
      </c>
      <c r="I179" s="22" t="str">
        <f>IF(AND(I$4&lt;=Org!$B$5,I178&gt;=0),I$4,"")</f>
        <v/>
      </c>
      <c r="J179" s="22" t="str">
        <f>IF(AND(J$4&lt;=Org!$B$5,J178&gt;=0),J$4,"")</f>
        <v/>
      </c>
      <c r="K179" s="22" t="str">
        <f>IF(AND(K$4&lt;=Org!$B$5,K178&gt;=0),K$4,"")</f>
        <v/>
      </c>
      <c r="L179" s="22" t="str">
        <f>IF(AND(L$4&lt;=Org!$B$5,L178&gt;=0),L$4,"")</f>
        <v/>
      </c>
      <c r="M179" s="22" t="str">
        <f>IF(AND(M$4&lt;=Org!$B$5,M178&gt;=0),M$4,"")</f>
        <v/>
      </c>
      <c r="N179" s="22" t="str">
        <f>IF(AND(N$4&lt;=Org!$B$5,N178&gt;=0),N$4,"")</f>
        <v/>
      </c>
      <c r="O179" s="22" t="str">
        <f>IF(AND(O$4&lt;=Org!$B$5,O178&gt;=0),O$4,"")</f>
        <v/>
      </c>
      <c r="P179" s="22">
        <f>IF(AND(P$4&lt;=Org!$B$5,P178&gt;=0),P$4,"")</f>
        <v>12</v>
      </c>
      <c r="Q179" s="22">
        <f>IF(AND(Q$4&lt;=Org!$B$5,Q178&gt;=0),Q$4,"")</f>
        <v>13</v>
      </c>
      <c r="R179" s="22">
        <f>IF(AND(R$4&lt;=Org!$B$5,R178&gt;=0),R$4,"")</f>
        <v>14</v>
      </c>
      <c r="S179" s="22">
        <f>IF(AND(S$4&lt;=Org!$B$5,S178&gt;=0),S$4,"")</f>
        <v>15</v>
      </c>
      <c r="T179" s="22">
        <f>IF(AND(T$4&lt;=Org!$B$5,T178&gt;=0),T$4,"")</f>
        <v>16</v>
      </c>
      <c r="U179" s="22">
        <f>IF(AND(U$4&lt;=Org!$B$5,U178&gt;=0),U$4,"")</f>
        <v>17</v>
      </c>
      <c r="V179" s="22">
        <f>IF(AND(V$4&lt;=Org!$B$5,V178&gt;=0),V$4,"")</f>
        <v>18</v>
      </c>
      <c r="W179" s="22">
        <f>IF(AND(W$4&lt;=Org!$B$5,W178&gt;=0),W$4,"")</f>
        <v>19</v>
      </c>
      <c r="X179" s="22">
        <f>IF(AND(X$4&lt;=Org!$B$5,X178&gt;=0),X$4,"")</f>
        <v>20</v>
      </c>
      <c r="Y179" s="22">
        <f>IF(AND(Y$4&lt;=Org!$B$5,Y178&gt;=0),Y$4,"")</f>
        <v>21</v>
      </c>
      <c r="Z179" s="22">
        <f>IF(AND(Z$4&lt;=Org!$B$5,Z178&gt;=0),Z$4,"")</f>
        <v>22</v>
      </c>
      <c r="AA179" s="22">
        <f>IF(AND(AA$4&lt;=Org!$B$5,AA178&gt;=0),AA$4,"")</f>
        <v>23</v>
      </c>
      <c r="AB179" s="22">
        <f>IF(AND(AB$4&lt;=Org!$B$5,AB178&gt;=0),AB$4,"")</f>
        <v>24</v>
      </c>
      <c r="AC179" s="22">
        <f>IF(AND(AC$4&lt;=Org!$B$5,AC178&gt;=0),AC$4,"")</f>
        <v>25</v>
      </c>
      <c r="AD179" s="22">
        <f>IF(AND(AD$4&lt;=Org!$B$5,AD178&gt;=0),AD$4,"")</f>
        <v>26</v>
      </c>
      <c r="AE179" s="22">
        <f>IF(AND(AE$4&lt;=Org!$B$5,AE178&gt;=0),AE$4,"")</f>
        <v>27</v>
      </c>
      <c r="AF179" s="22">
        <f>IF(AND(AF$4&lt;=Org!$B$5,AF178&gt;=0),AF$4,"")</f>
        <v>28</v>
      </c>
      <c r="AG179" s="22">
        <f>IF(AND(AG$4&lt;=Org!$B$5,AG178&gt;=0),AG$4,"")</f>
        <v>29</v>
      </c>
      <c r="AH179" s="22">
        <f>IF(AND(AH$4&lt;=Org!$B$5,AH178&gt;=0),AH$4,"")</f>
        <v>30</v>
      </c>
      <c r="AI179" s="22">
        <f>IF(AND(AI$4&lt;=Org!$B$5,AI178&gt;=0),AI$4,"")</f>
        <v>31</v>
      </c>
      <c r="AJ179" s="22">
        <f>IF(AND(AJ$4&lt;=Org!$B$5,AJ178&gt;=0),AJ$4,"")</f>
        <v>32</v>
      </c>
      <c r="AK179" s="22">
        <f>IF(AND(AK$4&lt;=Org!$B$5,AK178&gt;=0),AK$4,"")</f>
        <v>33</v>
      </c>
      <c r="AL179" s="22">
        <f>IF(AND(AL$4&lt;=Org!$B$5,AL178&gt;=0),AL$4,"")</f>
        <v>34</v>
      </c>
      <c r="AM179" s="22">
        <f>IF(AND(AM$4&lt;=Org!$B$5,AM178&gt;=0),AM$4,"")</f>
        <v>35</v>
      </c>
      <c r="AN179" s="22">
        <f>IF(AND(AN$4&lt;=Org!$B$5,AN178&gt;=0),AN$4,"")</f>
        <v>36</v>
      </c>
      <c r="AO179" s="22" t="str">
        <f>IF(AND(AO$4&lt;=Org!$B$5,AO178&gt;=0),AO$4,"")</f>
        <v/>
      </c>
      <c r="AP179" s="22" t="str">
        <f>IF(AND(AP$4&lt;=Org!$B$5,AP178&gt;=0),AP$4,"")</f>
        <v/>
      </c>
      <c r="AQ179" s="22" t="str">
        <f>IF(AND(AQ$4&lt;=Org!$B$5,AQ178&gt;=0),AQ$4,"")</f>
        <v/>
      </c>
      <c r="AR179" s="22" t="str">
        <f>IF(AND(AR$4&lt;=Org!$B$5,AR178&gt;=0),AR$4,"")</f>
        <v/>
      </c>
      <c r="AS179" s="22" t="str">
        <f>IF(AND(AS$4&lt;=Org!$B$5,AS178&gt;=0),AS$4,"")</f>
        <v/>
      </c>
      <c r="AT179" s="22" t="str">
        <f>IF(AND(AT$4&lt;=Org!$B$5,AT178&gt;=0),AT$4,"")</f>
        <v/>
      </c>
      <c r="AU179" s="22" t="str">
        <f>IF(AND(AU$4&lt;=Org!$B$5,AU178&gt;=0),AU$4,"")</f>
        <v/>
      </c>
      <c r="AV179" s="22" t="str">
        <f>IF(AND(AV$4&lt;=Org!$B$5,AV178&gt;=0),AV$4,"")</f>
        <v/>
      </c>
      <c r="AW179" s="22" t="str">
        <f>IF(AND(AW$4&lt;=Org!$B$5,AW178&gt;=0),AW$4,"")</f>
        <v/>
      </c>
      <c r="AX179" s="22" t="str">
        <f>IF(AND(AX$4&lt;=Org!$B$5,AX178&gt;=0),AX$4,"")</f>
        <v/>
      </c>
      <c r="AY179" s="22" t="str">
        <f>IF(AND(AY$4&lt;=Org!$B$5,AY178&gt;=0),AY$4,"")</f>
        <v/>
      </c>
      <c r="AZ179" s="22" t="str">
        <f>IF(AND(AZ$4&lt;=Org!$B$5,AZ178&gt;=0),AZ$4,"")</f>
        <v/>
      </c>
      <c r="BA179" s="22" t="str">
        <f>IF(AND(BA$4&lt;=Org!$B$5,BA178&gt;=0),BA$4,"")</f>
        <v/>
      </c>
      <c r="BB179" s="22" t="str">
        <f>IF(AND(BB$4&lt;=Org!$B$5,BB178&gt;=0),BB$4,"")</f>
        <v/>
      </c>
      <c r="BC179" s="22" t="str">
        <f>IF(AND(BC$4&lt;=Org!$B$5,BC178&gt;=0),BC$4,"")</f>
        <v/>
      </c>
      <c r="BD179" s="22" t="str">
        <f>IF(AND(BD$4&lt;=Org!$B$5,BD178&gt;=0),BD$4,"")</f>
        <v/>
      </c>
      <c r="BE179" s="22" t="str">
        <f>IF(AND(BE$4&lt;=Org!$B$5,BE178&gt;=0),BE$4,"")</f>
        <v/>
      </c>
      <c r="BF179" s="22" t="str">
        <f>IF(AND(BF$4&lt;=Org!$B$5,BF178&gt;=0),BF$4,"")</f>
        <v/>
      </c>
      <c r="BG179" s="22" t="str">
        <f>IF(AND(BG$4&lt;=Org!$B$5,BG178&gt;=0),BG$4,"")</f>
        <v/>
      </c>
      <c r="BH179" s="22" t="str">
        <f>IF(AND(BH$4&lt;=Org!$B$5,BH178&gt;=0),BH$4,"")</f>
        <v/>
      </c>
      <c r="BI179" s="22" t="str">
        <f>IF(AND(BI$4&lt;=Org!$B$5,BI178&gt;=0),BI$4,"")</f>
        <v/>
      </c>
      <c r="BJ179" s="22" t="str">
        <f>IF(AND(BJ$4&lt;=Org!$B$5,BJ178&gt;=0),BJ$4,"")</f>
        <v/>
      </c>
      <c r="BK179" s="22" t="str">
        <f>IF(AND(BK$4&lt;=Org!$B$5,BK178&gt;=0),BK$4,"")</f>
        <v/>
      </c>
      <c r="BL179" s="22" t="str">
        <f>IF(AND(BL$4&lt;=Org!$B$5,BL178&gt;=0),BL$4,"")</f>
        <v/>
      </c>
    </row>
    <row r="180" spans="1:64" x14ac:dyDescent="0.3">
      <c r="A180" s="8" t="s">
        <v>706</v>
      </c>
      <c r="C180" s="44">
        <f>INDEX(E175:BL175,Org!$B$5)+INDEX(E176:BL176,Org!$B$5)</f>
        <v>458413.6008966667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L18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outlineLevelCol="1" x14ac:dyDescent="0.3"/>
  <cols>
    <col min="1" max="1" width="58" customWidth="1"/>
    <col min="2" max="2" width="22" customWidth="1"/>
    <col min="3" max="3" width="16" customWidth="1"/>
    <col min="5" max="64" width="13" customWidth="1" outlineLevel="1"/>
  </cols>
  <sheetData>
    <row r="1" spans="1:64" ht="17.399999999999999" x14ac:dyDescent="0.3">
      <c r="A1" s="5" t="s">
        <v>1042</v>
      </c>
    </row>
    <row r="2" spans="1:64" x14ac:dyDescent="0.3">
      <c r="A2" s="18" t="s">
        <v>1006</v>
      </c>
    </row>
    <row r="4" spans="1:64" x14ac:dyDescent="0.3">
      <c r="A4" s="19" t="s">
        <v>988</v>
      </c>
      <c r="B4" s="19" t="s">
        <v>1007</v>
      </c>
      <c r="C4" s="19" t="s">
        <v>758</v>
      </c>
      <c r="D4" s="19">
        <v>0</v>
      </c>
      <c r="E4" s="19">
        <f t="shared" ref="E4:AJ4" si="0">D4+1</f>
        <v>1</v>
      </c>
      <c r="F4" s="19">
        <f t="shared" si="0"/>
        <v>2</v>
      </c>
      <c r="G4" s="19">
        <f t="shared" si="0"/>
        <v>3</v>
      </c>
      <c r="H4" s="19">
        <f t="shared" si="0"/>
        <v>4</v>
      </c>
      <c r="I4" s="19">
        <f t="shared" si="0"/>
        <v>5</v>
      </c>
      <c r="J4" s="19">
        <f t="shared" si="0"/>
        <v>6</v>
      </c>
      <c r="K4" s="19">
        <f t="shared" si="0"/>
        <v>7</v>
      </c>
      <c r="L4" s="19">
        <f t="shared" si="0"/>
        <v>8</v>
      </c>
      <c r="M4" s="19">
        <f t="shared" si="0"/>
        <v>9</v>
      </c>
      <c r="N4" s="19">
        <f t="shared" si="0"/>
        <v>10</v>
      </c>
      <c r="O4" s="19">
        <f t="shared" si="0"/>
        <v>11</v>
      </c>
      <c r="P4" s="19">
        <f t="shared" si="0"/>
        <v>12</v>
      </c>
      <c r="Q4" s="19">
        <f t="shared" si="0"/>
        <v>13</v>
      </c>
      <c r="R4" s="19">
        <f t="shared" si="0"/>
        <v>14</v>
      </c>
      <c r="S4" s="19">
        <f t="shared" si="0"/>
        <v>15</v>
      </c>
      <c r="T4" s="19">
        <f t="shared" si="0"/>
        <v>16</v>
      </c>
      <c r="U4" s="19">
        <f t="shared" si="0"/>
        <v>17</v>
      </c>
      <c r="V4" s="19">
        <f t="shared" si="0"/>
        <v>18</v>
      </c>
      <c r="W4" s="19">
        <f t="shared" si="0"/>
        <v>19</v>
      </c>
      <c r="X4" s="19">
        <f t="shared" si="0"/>
        <v>20</v>
      </c>
      <c r="Y4" s="19">
        <f t="shared" si="0"/>
        <v>21</v>
      </c>
      <c r="Z4" s="19">
        <f t="shared" si="0"/>
        <v>22</v>
      </c>
      <c r="AA4" s="19">
        <f t="shared" si="0"/>
        <v>23</v>
      </c>
      <c r="AB4" s="19">
        <f t="shared" si="0"/>
        <v>24</v>
      </c>
      <c r="AC4" s="19">
        <f t="shared" si="0"/>
        <v>25</v>
      </c>
      <c r="AD4" s="19">
        <f t="shared" si="0"/>
        <v>26</v>
      </c>
      <c r="AE4" s="19">
        <f t="shared" si="0"/>
        <v>27</v>
      </c>
      <c r="AF4" s="19">
        <f t="shared" si="0"/>
        <v>28</v>
      </c>
      <c r="AG4" s="19">
        <f t="shared" si="0"/>
        <v>29</v>
      </c>
      <c r="AH4" s="19">
        <f t="shared" si="0"/>
        <v>30</v>
      </c>
      <c r="AI4" s="19">
        <f t="shared" si="0"/>
        <v>31</v>
      </c>
      <c r="AJ4" s="19">
        <f t="shared" si="0"/>
        <v>32</v>
      </c>
      <c r="AK4" s="19">
        <f t="shared" ref="AK4:BL4" si="1">AJ4+1</f>
        <v>33</v>
      </c>
      <c r="AL4" s="19">
        <f t="shared" si="1"/>
        <v>34</v>
      </c>
      <c r="AM4" s="19">
        <f t="shared" si="1"/>
        <v>35</v>
      </c>
      <c r="AN4" s="19">
        <f t="shared" si="1"/>
        <v>36</v>
      </c>
      <c r="AO4" s="19">
        <f t="shared" si="1"/>
        <v>37</v>
      </c>
      <c r="AP4" s="19">
        <f t="shared" si="1"/>
        <v>38</v>
      </c>
      <c r="AQ4" s="19">
        <f t="shared" si="1"/>
        <v>39</v>
      </c>
      <c r="AR4" s="19">
        <f t="shared" si="1"/>
        <v>40</v>
      </c>
      <c r="AS4" s="19">
        <f t="shared" si="1"/>
        <v>41</v>
      </c>
      <c r="AT4" s="19">
        <f t="shared" si="1"/>
        <v>42</v>
      </c>
      <c r="AU4" s="19">
        <f t="shared" si="1"/>
        <v>43</v>
      </c>
      <c r="AV4" s="19">
        <f t="shared" si="1"/>
        <v>44</v>
      </c>
      <c r="AW4" s="19">
        <f t="shared" si="1"/>
        <v>45</v>
      </c>
      <c r="AX4" s="19">
        <f t="shared" si="1"/>
        <v>46</v>
      </c>
      <c r="AY4" s="19">
        <f t="shared" si="1"/>
        <v>47</v>
      </c>
      <c r="AZ4" s="19">
        <f t="shared" si="1"/>
        <v>48</v>
      </c>
      <c r="BA4" s="19">
        <f t="shared" si="1"/>
        <v>49</v>
      </c>
      <c r="BB4" s="19">
        <f t="shared" si="1"/>
        <v>50</v>
      </c>
      <c r="BC4" s="19">
        <f t="shared" si="1"/>
        <v>51</v>
      </c>
      <c r="BD4" s="19">
        <f t="shared" si="1"/>
        <v>52</v>
      </c>
      <c r="BE4" s="19">
        <f t="shared" si="1"/>
        <v>53</v>
      </c>
      <c r="BF4" s="19">
        <f t="shared" si="1"/>
        <v>54</v>
      </c>
      <c r="BG4" s="19">
        <f t="shared" si="1"/>
        <v>55</v>
      </c>
      <c r="BH4" s="19">
        <f t="shared" si="1"/>
        <v>56</v>
      </c>
      <c r="BI4" s="19">
        <f t="shared" si="1"/>
        <v>57</v>
      </c>
      <c r="BJ4" s="19">
        <f t="shared" si="1"/>
        <v>58</v>
      </c>
      <c r="BK4" s="19">
        <f t="shared" si="1"/>
        <v>59</v>
      </c>
      <c r="BL4" s="19">
        <f t="shared" si="1"/>
        <v>60</v>
      </c>
    </row>
    <row r="5" spans="1:64" x14ac:dyDescent="0.3">
      <c r="A5" s="8" t="s">
        <v>1008</v>
      </c>
      <c r="E5" s="22">
        <f>IF(E$4&lt;=Org!$B$5,1,0)</f>
        <v>1</v>
      </c>
      <c r="F5" s="22">
        <f>IF(F$4&lt;=Org!$B$5,1,0)</f>
        <v>1</v>
      </c>
      <c r="G5" s="22">
        <f>IF(G$4&lt;=Org!$B$5,1,0)</f>
        <v>1</v>
      </c>
      <c r="H5" s="22">
        <f>IF(H$4&lt;=Org!$B$5,1,0)</f>
        <v>1</v>
      </c>
      <c r="I5" s="22">
        <f>IF(I$4&lt;=Org!$B$5,1,0)</f>
        <v>1</v>
      </c>
      <c r="J5" s="22">
        <f>IF(J$4&lt;=Org!$B$5,1,0)</f>
        <v>1</v>
      </c>
      <c r="K5" s="22">
        <f>IF(K$4&lt;=Org!$B$5,1,0)</f>
        <v>1</v>
      </c>
      <c r="L5" s="22">
        <f>IF(L$4&lt;=Org!$B$5,1,0)</f>
        <v>1</v>
      </c>
      <c r="M5" s="22">
        <f>IF(M$4&lt;=Org!$B$5,1,0)</f>
        <v>1</v>
      </c>
      <c r="N5" s="22">
        <f>IF(N$4&lt;=Org!$B$5,1,0)</f>
        <v>1</v>
      </c>
      <c r="O5" s="22">
        <f>IF(O$4&lt;=Org!$B$5,1,0)</f>
        <v>1</v>
      </c>
      <c r="P5" s="22">
        <f>IF(P$4&lt;=Org!$B$5,1,0)</f>
        <v>1</v>
      </c>
      <c r="Q5" s="22">
        <f>IF(Q$4&lt;=Org!$B$5,1,0)</f>
        <v>1</v>
      </c>
      <c r="R5" s="22">
        <f>IF(R$4&lt;=Org!$B$5,1,0)</f>
        <v>1</v>
      </c>
      <c r="S5" s="22">
        <f>IF(S$4&lt;=Org!$B$5,1,0)</f>
        <v>1</v>
      </c>
      <c r="T5" s="22">
        <f>IF(T$4&lt;=Org!$B$5,1,0)</f>
        <v>1</v>
      </c>
      <c r="U5" s="22">
        <f>IF(U$4&lt;=Org!$B$5,1,0)</f>
        <v>1</v>
      </c>
      <c r="V5" s="22">
        <f>IF(V$4&lt;=Org!$B$5,1,0)</f>
        <v>1</v>
      </c>
      <c r="W5" s="22">
        <f>IF(W$4&lt;=Org!$B$5,1,0)</f>
        <v>1</v>
      </c>
      <c r="X5" s="22">
        <f>IF(X$4&lt;=Org!$B$5,1,0)</f>
        <v>1</v>
      </c>
      <c r="Y5" s="22">
        <f>IF(Y$4&lt;=Org!$B$5,1,0)</f>
        <v>1</v>
      </c>
      <c r="Z5" s="22">
        <f>IF(Z$4&lt;=Org!$B$5,1,0)</f>
        <v>1</v>
      </c>
      <c r="AA5" s="22">
        <f>IF(AA$4&lt;=Org!$B$5,1,0)</f>
        <v>1</v>
      </c>
      <c r="AB5" s="22">
        <f>IF(AB$4&lt;=Org!$B$5,1,0)</f>
        <v>1</v>
      </c>
      <c r="AC5" s="22">
        <f>IF(AC$4&lt;=Org!$B$5,1,0)</f>
        <v>1</v>
      </c>
      <c r="AD5" s="22">
        <f>IF(AD$4&lt;=Org!$B$5,1,0)</f>
        <v>1</v>
      </c>
      <c r="AE5" s="22">
        <f>IF(AE$4&lt;=Org!$B$5,1,0)</f>
        <v>1</v>
      </c>
      <c r="AF5" s="22">
        <f>IF(AF$4&lt;=Org!$B$5,1,0)</f>
        <v>1</v>
      </c>
      <c r="AG5" s="22">
        <f>IF(AG$4&lt;=Org!$B$5,1,0)</f>
        <v>1</v>
      </c>
      <c r="AH5" s="22">
        <f>IF(AH$4&lt;=Org!$B$5,1,0)</f>
        <v>1</v>
      </c>
      <c r="AI5" s="22">
        <f>IF(AI$4&lt;=Org!$B$5,1,0)</f>
        <v>1</v>
      </c>
      <c r="AJ5" s="22">
        <f>IF(AJ$4&lt;=Org!$B$5,1,0)</f>
        <v>1</v>
      </c>
      <c r="AK5" s="22">
        <f>IF(AK$4&lt;=Org!$B$5,1,0)</f>
        <v>1</v>
      </c>
      <c r="AL5" s="22">
        <f>IF(AL$4&lt;=Org!$B$5,1,0)</f>
        <v>1</v>
      </c>
      <c r="AM5" s="22">
        <f>IF(AM$4&lt;=Org!$B$5,1,0)</f>
        <v>1</v>
      </c>
      <c r="AN5" s="22">
        <f>IF(AN$4&lt;=Org!$B$5,1,0)</f>
        <v>1</v>
      </c>
      <c r="AO5" s="22">
        <f>IF(AO$4&lt;=Org!$B$5,1,0)</f>
        <v>0</v>
      </c>
      <c r="AP5" s="22">
        <f>IF(AP$4&lt;=Org!$B$5,1,0)</f>
        <v>0</v>
      </c>
      <c r="AQ5" s="22">
        <f>IF(AQ$4&lt;=Org!$B$5,1,0)</f>
        <v>0</v>
      </c>
      <c r="AR5" s="22">
        <f>IF(AR$4&lt;=Org!$B$5,1,0)</f>
        <v>0</v>
      </c>
      <c r="AS5" s="22">
        <f>IF(AS$4&lt;=Org!$B$5,1,0)</f>
        <v>0</v>
      </c>
      <c r="AT5" s="22">
        <f>IF(AT$4&lt;=Org!$B$5,1,0)</f>
        <v>0</v>
      </c>
      <c r="AU5" s="22">
        <f>IF(AU$4&lt;=Org!$B$5,1,0)</f>
        <v>0</v>
      </c>
      <c r="AV5" s="22">
        <f>IF(AV$4&lt;=Org!$B$5,1,0)</f>
        <v>0</v>
      </c>
      <c r="AW5" s="22">
        <f>IF(AW$4&lt;=Org!$B$5,1,0)</f>
        <v>0</v>
      </c>
      <c r="AX5" s="22">
        <f>IF(AX$4&lt;=Org!$B$5,1,0)</f>
        <v>0</v>
      </c>
      <c r="AY5" s="22">
        <f>IF(AY$4&lt;=Org!$B$5,1,0)</f>
        <v>0</v>
      </c>
      <c r="AZ5" s="22">
        <f>IF(AZ$4&lt;=Org!$B$5,1,0)</f>
        <v>0</v>
      </c>
      <c r="BA5" s="22">
        <f>IF(BA$4&lt;=Org!$B$5,1,0)</f>
        <v>0</v>
      </c>
      <c r="BB5" s="22">
        <f>IF(BB$4&lt;=Org!$B$5,1,0)</f>
        <v>0</v>
      </c>
      <c r="BC5" s="22">
        <f>IF(BC$4&lt;=Org!$B$5,1,0)</f>
        <v>0</v>
      </c>
      <c r="BD5" s="22">
        <f>IF(BD$4&lt;=Org!$B$5,1,0)</f>
        <v>0</v>
      </c>
      <c r="BE5" s="22">
        <f>IF(BE$4&lt;=Org!$B$5,1,0)</f>
        <v>0</v>
      </c>
      <c r="BF5" s="22">
        <f>IF(BF$4&lt;=Org!$B$5,1,0)</f>
        <v>0</v>
      </c>
      <c r="BG5" s="22">
        <f>IF(BG$4&lt;=Org!$B$5,1,0)</f>
        <v>0</v>
      </c>
      <c r="BH5" s="22">
        <f>IF(BH$4&lt;=Org!$B$5,1,0)</f>
        <v>0</v>
      </c>
      <c r="BI5" s="22">
        <f>IF(BI$4&lt;=Org!$B$5,1,0)</f>
        <v>0</v>
      </c>
      <c r="BJ5" s="22">
        <f>IF(BJ$4&lt;=Org!$B$5,1,0)</f>
        <v>0</v>
      </c>
      <c r="BK5" s="22">
        <f>IF(BK$4&lt;=Org!$B$5,1,0)</f>
        <v>0</v>
      </c>
      <c r="BL5" s="22">
        <f>IF(BL$4&lt;=Org!$B$5,1,0)</f>
        <v>0</v>
      </c>
    </row>
    <row r="8" spans="1:64" x14ac:dyDescent="0.3">
      <c r="A8" s="17" t="str">
        <f>Teams!$C$4</f>
        <v>Corporate knowledge assistant (conservative calibration)</v>
      </c>
      <c r="B8" s="18" t="s">
        <v>1009</v>
      </c>
      <c r="C8" s="50">
        <f>(Teams!$C$29*(1-Teams!$C$31)*Params!$F$39*Params!$F$21*IF(Teams!$C$36="Yes",Params!$F$22,1)*Teams!$C$68*Teams!$C$70+Teams!$C$30*(1-Teams!$C$31)*Params!$F$39*Params!$F$21*IF(Teams!$C$36="Yes",Params!$F$22,1)*Teams!$C$69)/1000000*Teams!$C$71*Teams!$C$35</f>
        <v>1.7932500000000001E-2</v>
      </c>
    </row>
    <row r="9" spans="1:64" x14ac:dyDescent="0.3">
      <c r="A9" s="8" t="s">
        <v>1010</v>
      </c>
      <c r="E9" s="26">
        <f>IF(E$4&lt;Teams!$C$80,0,IF(Teams!$C$22="S",MIN(1,(E$4-Teams!$C$80+1)/Teams!$C$21)^2*(3-2*MIN(1,(E$4-Teams!$C$80+1)/Teams!$C$21)),MIN(1,(E$4-Teams!$C$80+1)/Teams!$C$21)))</f>
        <v>7.407407407407407E-2</v>
      </c>
      <c r="F9" s="26">
        <f>IF(F$4&lt;Teams!$C$80,0,IF(Teams!$C$22="S",MIN(1,(F$4-Teams!$C$80+1)/Teams!$C$21)^2*(3-2*MIN(1,(F$4-Teams!$C$80+1)/Teams!$C$21)),MIN(1,(F$4-Teams!$C$80+1)/Teams!$C$21)))</f>
        <v>0.25925925925925924</v>
      </c>
      <c r="G9" s="26">
        <f>IF(G$4&lt;Teams!$C$80,0,IF(Teams!$C$22="S",MIN(1,(G$4-Teams!$C$80+1)/Teams!$C$21)^2*(3-2*MIN(1,(G$4-Teams!$C$80+1)/Teams!$C$21)),MIN(1,(G$4-Teams!$C$80+1)/Teams!$C$21)))</f>
        <v>0.5</v>
      </c>
      <c r="H9" s="26">
        <f>IF(H$4&lt;Teams!$C$80,0,IF(Teams!$C$22="S",MIN(1,(H$4-Teams!$C$80+1)/Teams!$C$21)^2*(3-2*MIN(1,(H$4-Teams!$C$80+1)/Teams!$C$21)),MIN(1,(H$4-Teams!$C$80+1)/Teams!$C$21)))</f>
        <v>0.7407407407407407</v>
      </c>
      <c r="I9" s="26">
        <f>IF(I$4&lt;Teams!$C$80,0,IF(Teams!$C$22="S",MIN(1,(I$4-Teams!$C$80+1)/Teams!$C$21)^2*(3-2*MIN(1,(I$4-Teams!$C$80+1)/Teams!$C$21)),MIN(1,(I$4-Teams!$C$80+1)/Teams!$C$21)))</f>
        <v>0.92592592592592604</v>
      </c>
      <c r="J9" s="26">
        <f>IF(J$4&lt;Teams!$C$80,0,IF(Teams!$C$22="S",MIN(1,(J$4-Teams!$C$80+1)/Teams!$C$21)^2*(3-2*MIN(1,(J$4-Teams!$C$80+1)/Teams!$C$21)),MIN(1,(J$4-Teams!$C$80+1)/Teams!$C$21)))</f>
        <v>1</v>
      </c>
      <c r="K9" s="26">
        <f>IF(K$4&lt;Teams!$C$80,0,IF(Teams!$C$22="S",MIN(1,(K$4-Teams!$C$80+1)/Teams!$C$21)^2*(3-2*MIN(1,(K$4-Teams!$C$80+1)/Teams!$C$21)),MIN(1,(K$4-Teams!$C$80+1)/Teams!$C$21)))</f>
        <v>1</v>
      </c>
      <c r="L9" s="26">
        <f>IF(L$4&lt;Teams!$C$80,0,IF(Teams!$C$22="S",MIN(1,(L$4-Teams!$C$80+1)/Teams!$C$21)^2*(3-2*MIN(1,(L$4-Teams!$C$80+1)/Teams!$C$21)),MIN(1,(L$4-Teams!$C$80+1)/Teams!$C$21)))</f>
        <v>1</v>
      </c>
      <c r="M9" s="26">
        <f>IF(M$4&lt;Teams!$C$80,0,IF(Teams!$C$22="S",MIN(1,(M$4-Teams!$C$80+1)/Teams!$C$21)^2*(3-2*MIN(1,(M$4-Teams!$C$80+1)/Teams!$C$21)),MIN(1,(M$4-Teams!$C$80+1)/Teams!$C$21)))</f>
        <v>1</v>
      </c>
      <c r="N9" s="26">
        <f>IF(N$4&lt;Teams!$C$80,0,IF(Teams!$C$22="S",MIN(1,(N$4-Teams!$C$80+1)/Teams!$C$21)^2*(3-2*MIN(1,(N$4-Teams!$C$80+1)/Teams!$C$21)),MIN(1,(N$4-Teams!$C$80+1)/Teams!$C$21)))</f>
        <v>1</v>
      </c>
      <c r="O9" s="26">
        <f>IF(O$4&lt;Teams!$C$80,0,IF(Teams!$C$22="S",MIN(1,(O$4-Teams!$C$80+1)/Teams!$C$21)^2*(3-2*MIN(1,(O$4-Teams!$C$80+1)/Teams!$C$21)),MIN(1,(O$4-Teams!$C$80+1)/Teams!$C$21)))</f>
        <v>1</v>
      </c>
      <c r="P9" s="26">
        <f>IF(P$4&lt;Teams!$C$80,0,IF(Teams!$C$22="S",MIN(1,(P$4-Teams!$C$80+1)/Teams!$C$21)^2*(3-2*MIN(1,(P$4-Teams!$C$80+1)/Teams!$C$21)),MIN(1,(P$4-Teams!$C$80+1)/Teams!$C$21)))</f>
        <v>1</v>
      </c>
      <c r="Q9" s="26">
        <f>IF(Q$4&lt;Teams!$C$80,0,IF(Teams!$C$22="S",MIN(1,(Q$4-Teams!$C$80+1)/Teams!$C$21)^2*(3-2*MIN(1,(Q$4-Teams!$C$80+1)/Teams!$C$21)),MIN(1,(Q$4-Teams!$C$80+1)/Teams!$C$21)))</f>
        <v>1</v>
      </c>
      <c r="R9" s="26">
        <f>IF(R$4&lt;Teams!$C$80,0,IF(Teams!$C$22="S",MIN(1,(R$4-Teams!$C$80+1)/Teams!$C$21)^2*(3-2*MIN(1,(R$4-Teams!$C$80+1)/Teams!$C$21)),MIN(1,(R$4-Teams!$C$80+1)/Teams!$C$21)))</f>
        <v>1</v>
      </c>
      <c r="S9" s="26">
        <f>IF(S$4&lt;Teams!$C$80,0,IF(Teams!$C$22="S",MIN(1,(S$4-Teams!$C$80+1)/Teams!$C$21)^2*(3-2*MIN(1,(S$4-Teams!$C$80+1)/Teams!$C$21)),MIN(1,(S$4-Teams!$C$80+1)/Teams!$C$21)))</f>
        <v>1</v>
      </c>
      <c r="T9" s="26">
        <f>IF(T$4&lt;Teams!$C$80,0,IF(Teams!$C$22="S",MIN(1,(T$4-Teams!$C$80+1)/Teams!$C$21)^2*(3-2*MIN(1,(T$4-Teams!$C$80+1)/Teams!$C$21)),MIN(1,(T$4-Teams!$C$80+1)/Teams!$C$21)))</f>
        <v>1</v>
      </c>
      <c r="U9" s="26">
        <f>IF(U$4&lt;Teams!$C$80,0,IF(Teams!$C$22="S",MIN(1,(U$4-Teams!$C$80+1)/Teams!$C$21)^2*(3-2*MIN(1,(U$4-Teams!$C$80+1)/Teams!$C$21)),MIN(1,(U$4-Teams!$C$80+1)/Teams!$C$21)))</f>
        <v>1</v>
      </c>
      <c r="V9" s="26">
        <f>IF(V$4&lt;Teams!$C$80,0,IF(Teams!$C$22="S",MIN(1,(V$4-Teams!$C$80+1)/Teams!$C$21)^2*(3-2*MIN(1,(V$4-Teams!$C$80+1)/Teams!$C$21)),MIN(1,(V$4-Teams!$C$80+1)/Teams!$C$21)))</f>
        <v>1</v>
      </c>
      <c r="W9" s="26">
        <f>IF(W$4&lt;Teams!$C$80,0,IF(Teams!$C$22="S",MIN(1,(W$4-Teams!$C$80+1)/Teams!$C$21)^2*(3-2*MIN(1,(W$4-Teams!$C$80+1)/Teams!$C$21)),MIN(1,(W$4-Teams!$C$80+1)/Teams!$C$21)))</f>
        <v>1</v>
      </c>
      <c r="X9" s="26">
        <f>IF(X$4&lt;Teams!$C$80,0,IF(Teams!$C$22="S",MIN(1,(X$4-Teams!$C$80+1)/Teams!$C$21)^2*(3-2*MIN(1,(X$4-Teams!$C$80+1)/Teams!$C$21)),MIN(1,(X$4-Teams!$C$80+1)/Teams!$C$21)))</f>
        <v>1</v>
      </c>
      <c r="Y9" s="26">
        <f>IF(Y$4&lt;Teams!$C$80,0,IF(Teams!$C$22="S",MIN(1,(Y$4-Teams!$C$80+1)/Teams!$C$21)^2*(3-2*MIN(1,(Y$4-Teams!$C$80+1)/Teams!$C$21)),MIN(1,(Y$4-Teams!$C$80+1)/Teams!$C$21)))</f>
        <v>1</v>
      </c>
      <c r="Z9" s="26">
        <f>IF(Z$4&lt;Teams!$C$80,0,IF(Teams!$C$22="S",MIN(1,(Z$4-Teams!$C$80+1)/Teams!$C$21)^2*(3-2*MIN(1,(Z$4-Teams!$C$80+1)/Teams!$C$21)),MIN(1,(Z$4-Teams!$C$80+1)/Teams!$C$21)))</f>
        <v>1</v>
      </c>
      <c r="AA9" s="26">
        <f>IF(AA$4&lt;Teams!$C$80,0,IF(Teams!$C$22="S",MIN(1,(AA$4-Teams!$C$80+1)/Teams!$C$21)^2*(3-2*MIN(1,(AA$4-Teams!$C$80+1)/Teams!$C$21)),MIN(1,(AA$4-Teams!$C$80+1)/Teams!$C$21)))</f>
        <v>1</v>
      </c>
      <c r="AB9" s="26">
        <f>IF(AB$4&lt;Teams!$C$80,0,IF(Teams!$C$22="S",MIN(1,(AB$4-Teams!$C$80+1)/Teams!$C$21)^2*(3-2*MIN(1,(AB$4-Teams!$C$80+1)/Teams!$C$21)),MIN(1,(AB$4-Teams!$C$80+1)/Teams!$C$21)))</f>
        <v>1</v>
      </c>
      <c r="AC9" s="26">
        <f>IF(AC$4&lt;Teams!$C$80,0,IF(Teams!$C$22="S",MIN(1,(AC$4-Teams!$C$80+1)/Teams!$C$21)^2*(3-2*MIN(1,(AC$4-Teams!$C$80+1)/Teams!$C$21)),MIN(1,(AC$4-Teams!$C$80+1)/Teams!$C$21)))</f>
        <v>1</v>
      </c>
      <c r="AD9" s="26">
        <f>IF(AD$4&lt;Teams!$C$80,0,IF(Teams!$C$22="S",MIN(1,(AD$4-Teams!$C$80+1)/Teams!$C$21)^2*(3-2*MIN(1,(AD$4-Teams!$C$80+1)/Teams!$C$21)),MIN(1,(AD$4-Teams!$C$80+1)/Teams!$C$21)))</f>
        <v>1</v>
      </c>
      <c r="AE9" s="26">
        <f>IF(AE$4&lt;Teams!$C$80,0,IF(Teams!$C$22="S",MIN(1,(AE$4-Teams!$C$80+1)/Teams!$C$21)^2*(3-2*MIN(1,(AE$4-Teams!$C$80+1)/Teams!$C$21)),MIN(1,(AE$4-Teams!$C$80+1)/Teams!$C$21)))</f>
        <v>1</v>
      </c>
      <c r="AF9" s="26">
        <f>IF(AF$4&lt;Teams!$C$80,0,IF(Teams!$C$22="S",MIN(1,(AF$4-Teams!$C$80+1)/Teams!$C$21)^2*(3-2*MIN(1,(AF$4-Teams!$C$80+1)/Teams!$C$21)),MIN(1,(AF$4-Teams!$C$80+1)/Teams!$C$21)))</f>
        <v>1</v>
      </c>
      <c r="AG9" s="26">
        <f>IF(AG$4&lt;Teams!$C$80,0,IF(Teams!$C$22="S",MIN(1,(AG$4-Teams!$C$80+1)/Teams!$C$21)^2*(3-2*MIN(1,(AG$4-Teams!$C$80+1)/Teams!$C$21)),MIN(1,(AG$4-Teams!$C$80+1)/Teams!$C$21)))</f>
        <v>1</v>
      </c>
      <c r="AH9" s="26">
        <f>IF(AH$4&lt;Teams!$C$80,0,IF(Teams!$C$22="S",MIN(1,(AH$4-Teams!$C$80+1)/Teams!$C$21)^2*(3-2*MIN(1,(AH$4-Teams!$C$80+1)/Teams!$C$21)),MIN(1,(AH$4-Teams!$C$80+1)/Teams!$C$21)))</f>
        <v>1</v>
      </c>
      <c r="AI9" s="26">
        <f>IF(AI$4&lt;Teams!$C$80,0,IF(Teams!$C$22="S",MIN(1,(AI$4-Teams!$C$80+1)/Teams!$C$21)^2*(3-2*MIN(1,(AI$4-Teams!$C$80+1)/Teams!$C$21)),MIN(1,(AI$4-Teams!$C$80+1)/Teams!$C$21)))</f>
        <v>1</v>
      </c>
      <c r="AJ9" s="26">
        <f>IF(AJ$4&lt;Teams!$C$80,0,IF(Teams!$C$22="S",MIN(1,(AJ$4-Teams!$C$80+1)/Teams!$C$21)^2*(3-2*MIN(1,(AJ$4-Teams!$C$80+1)/Teams!$C$21)),MIN(1,(AJ$4-Teams!$C$80+1)/Teams!$C$21)))</f>
        <v>1</v>
      </c>
      <c r="AK9" s="26">
        <f>IF(AK$4&lt;Teams!$C$80,0,IF(Teams!$C$22="S",MIN(1,(AK$4-Teams!$C$80+1)/Teams!$C$21)^2*(3-2*MIN(1,(AK$4-Teams!$C$80+1)/Teams!$C$21)),MIN(1,(AK$4-Teams!$C$80+1)/Teams!$C$21)))</f>
        <v>1</v>
      </c>
      <c r="AL9" s="26">
        <f>IF(AL$4&lt;Teams!$C$80,0,IF(Teams!$C$22="S",MIN(1,(AL$4-Teams!$C$80+1)/Teams!$C$21)^2*(3-2*MIN(1,(AL$4-Teams!$C$80+1)/Teams!$C$21)),MIN(1,(AL$4-Teams!$C$80+1)/Teams!$C$21)))</f>
        <v>1</v>
      </c>
      <c r="AM9" s="26">
        <f>IF(AM$4&lt;Teams!$C$80,0,IF(Teams!$C$22="S",MIN(1,(AM$4-Teams!$C$80+1)/Teams!$C$21)^2*(3-2*MIN(1,(AM$4-Teams!$C$80+1)/Teams!$C$21)),MIN(1,(AM$4-Teams!$C$80+1)/Teams!$C$21)))</f>
        <v>1</v>
      </c>
      <c r="AN9" s="26">
        <f>IF(AN$4&lt;Teams!$C$80,0,IF(Teams!$C$22="S",MIN(1,(AN$4-Teams!$C$80+1)/Teams!$C$21)^2*(3-2*MIN(1,(AN$4-Teams!$C$80+1)/Teams!$C$21)),MIN(1,(AN$4-Teams!$C$80+1)/Teams!$C$21)))</f>
        <v>1</v>
      </c>
      <c r="AO9" s="26">
        <f>IF(AO$4&lt;Teams!$C$80,0,IF(Teams!$C$22="S",MIN(1,(AO$4-Teams!$C$80+1)/Teams!$C$21)^2*(3-2*MIN(1,(AO$4-Teams!$C$80+1)/Teams!$C$21)),MIN(1,(AO$4-Teams!$C$80+1)/Teams!$C$21)))</f>
        <v>1</v>
      </c>
      <c r="AP9" s="26">
        <f>IF(AP$4&lt;Teams!$C$80,0,IF(Teams!$C$22="S",MIN(1,(AP$4-Teams!$C$80+1)/Teams!$C$21)^2*(3-2*MIN(1,(AP$4-Teams!$C$80+1)/Teams!$C$21)),MIN(1,(AP$4-Teams!$C$80+1)/Teams!$C$21)))</f>
        <v>1</v>
      </c>
      <c r="AQ9" s="26">
        <f>IF(AQ$4&lt;Teams!$C$80,0,IF(Teams!$C$22="S",MIN(1,(AQ$4-Teams!$C$80+1)/Teams!$C$21)^2*(3-2*MIN(1,(AQ$4-Teams!$C$80+1)/Teams!$C$21)),MIN(1,(AQ$4-Teams!$C$80+1)/Teams!$C$21)))</f>
        <v>1</v>
      </c>
      <c r="AR9" s="26">
        <f>IF(AR$4&lt;Teams!$C$80,0,IF(Teams!$C$22="S",MIN(1,(AR$4-Teams!$C$80+1)/Teams!$C$21)^2*(3-2*MIN(1,(AR$4-Teams!$C$80+1)/Teams!$C$21)),MIN(1,(AR$4-Teams!$C$80+1)/Teams!$C$21)))</f>
        <v>1</v>
      </c>
      <c r="AS9" s="26">
        <f>IF(AS$4&lt;Teams!$C$80,0,IF(Teams!$C$22="S",MIN(1,(AS$4-Teams!$C$80+1)/Teams!$C$21)^2*(3-2*MIN(1,(AS$4-Teams!$C$80+1)/Teams!$C$21)),MIN(1,(AS$4-Teams!$C$80+1)/Teams!$C$21)))</f>
        <v>1</v>
      </c>
      <c r="AT9" s="26">
        <f>IF(AT$4&lt;Teams!$C$80,0,IF(Teams!$C$22="S",MIN(1,(AT$4-Teams!$C$80+1)/Teams!$C$21)^2*(3-2*MIN(1,(AT$4-Teams!$C$80+1)/Teams!$C$21)),MIN(1,(AT$4-Teams!$C$80+1)/Teams!$C$21)))</f>
        <v>1</v>
      </c>
      <c r="AU9" s="26">
        <f>IF(AU$4&lt;Teams!$C$80,0,IF(Teams!$C$22="S",MIN(1,(AU$4-Teams!$C$80+1)/Teams!$C$21)^2*(3-2*MIN(1,(AU$4-Teams!$C$80+1)/Teams!$C$21)),MIN(1,(AU$4-Teams!$C$80+1)/Teams!$C$21)))</f>
        <v>1</v>
      </c>
      <c r="AV9" s="26">
        <f>IF(AV$4&lt;Teams!$C$80,0,IF(Teams!$C$22="S",MIN(1,(AV$4-Teams!$C$80+1)/Teams!$C$21)^2*(3-2*MIN(1,(AV$4-Teams!$C$80+1)/Teams!$C$21)),MIN(1,(AV$4-Teams!$C$80+1)/Teams!$C$21)))</f>
        <v>1</v>
      </c>
      <c r="AW9" s="26">
        <f>IF(AW$4&lt;Teams!$C$80,0,IF(Teams!$C$22="S",MIN(1,(AW$4-Teams!$C$80+1)/Teams!$C$21)^2*(3-2*MIN(1,(AW$4-Teams!$C$80+1)/Teams!$C$21)),MIN(1,(AW$4-Teams!$C$80+1)/Teams!$C$21)))</f>
        <v>1</v>
      </c>
      <c r="AX9" s="26">
        <f>IF(AX$4&lt;Teams!$C$80,0,IF(Teams!$C$22="S",MIN(1,(AX$4-Teams!$C$80+1)/Teams!$C$21)^2*(3-2*MIN(1,(AX$4-Teams!$C$80+1)/Teams!$C$21)),MIN(1,(AX$4-Teams!$C$80+1)/Teams!$C$21)))</f>
        <v>1</v>
      </c>
      <c r="AY9" s="26">
        <f>IF(AY$4&lt;Teams!$C$80,0,IF(Teams!$C$22="S",MIN(1,(AY$4-Teams!$C$80+1)/Teams!$C$21)^2*(3-2*MIN(1,(AY$4-Teams!$C$80+1)/Teams!$C$21)),MIN(1,(AY$4-Teams!$C$80+1)/Teams!$C$21)))</f>
        <v>1</v>
      </c>
      <c r="AZ9" s="26">
        <f>IF(AZ$4&lt;Teams!$C$80,0,IF(Teams!$C$22="S",MIN(1,(AZ$4-Teams!$C$80+1)/Teams!$C$21)^2*(3-2*MIN(1,(AZ$4-Teams!$C$80+1)/Teams!$C$21)),MIN(1,(AZ$4-Teams!$C$80+1)/Teams!$C$21)))</f>
        <v>1</v>
      </c>
      <c r="BA9" s="26">
        <f>IF(BA$4&lt;Teams!$C$80,0,IF(Teams!$C$22="S",MIN(1,(BA$4-Teams!$C$80+1)/Teams!$C$21)^2*(3-2*MIN(1,(BA$4-Teams!$C$80+1)/Teams!$C$21)),MIN(1,(BA$4-Teams!$C$80+1)/Teams!$C$21)))</f>
        <v>1</v>
      </c>
      <c r="BB9" s="26">
        <f>IF(BB$4&lt;Teams!$C$80,0,IF(Teams!$C$22="S",MIN(1,(BB$4-Teams!$C$80+1)/Teams!$C$21)^2*(3-2*MIN(1,(BB$4-Teams!$C$80+1)/Teams!$C$21)),MIN(1,(BB$4-Teams!$C$80+1)/Teams!$C$21)))</f>
        <v>1</v>
      </c>
      <c r="BC9" s="26">
        <f>IF(BC$4&lt;Teams!$C$80,0,IF(Teams!$C$22="S",MIN(1,(BC$4-Teams!$C$80+1)/Teams!$C$21)^2*(3-2*MIN(1,(BC$4-Teams!$C$80+1)/Teams!$C$21)),MIN(1,(BC$4-Teams!$C$80+1)/Teams!$C$21)))</f>
        <v>1</v>
      </c>
      <c r="BD9" s="26">
        <f>IF(BD$4&lt;Teams!$C$80,0,IF(Teams!$C$22="S",MIN(1,(BD$4-Teams!$C$80+1)/Teams!$C$21)^2*(3-2*MIN(1,(BD$4-Teams!$C$80+1)/Teams!$C$21)),MIN(1,(BD$4-Teams!$C$80+1)/Teams!$C$21)))</f>
        <v>1</v>
      </c>
      <c r="BE9" s="26">
        <f>IF(BE$4&lt;Teams!$C$80,0,IF(Teams!$C$22="S",MIN(1,(BE$4-Teams!$C$80+1)/Teams!$C$21)^2*(3-2*MIN(1,(BE$4-Teams!$C$80+1)/Teams!$C$21)),MIN(1,(BE$4-Teams!$C$80+1)/Teams!$C$21)))</f>
        <v>1</v>
      </c>
      <c r="BF9" s="26">
        <f>IF(BF$4&lt;Teams!$C$80,0,IF(Teams!$C$22="S",MIN(1,(BF$4-Teams!$C$80+1)/Teams!$C$21)^2*(3-2*MIN(1,(BF$4-Teams!$C$80+1)/Teams!$C$21)),MIN(1,(BF$4-Teams!$C$80+1)/Teams!$C$21)))</f>
        <v>1</v>
      </c>
      <c r="BG9" s="26">
        <f>IF(BG$4&lt;Teams!$C$80,0,IF(Teams!$C$22="S",MIN(1,(BG$4-Teams!$C$80+1)/Teams!$C$21)^2*(3-2*MIN(1,(BG$4-Teams!$C$80+1)/Teams!$C$21)),MIN(1,(BG$4-Teams!$C$80+1)/Teams!$C$21)))</f>
        <v>1</v>
      </c>
      <c r="BH9" s="26">
        <f>IF(BH$4&lt;Teams!$C$80,0,IF(Teams!$C$22="S",MIN(1,(BH$4-Teams!$C$80+1)/Teams!$C$21)^2*(3-2*MIN(1,(BH$4-Teams!$C$80+1)/Teams!$C$21)),MIN(1,(BH$4-Teams!$C$80+1)/Teams!$C$21)))</f>
        <v>1</v>
      </c>
      <c r="BI9" s="26">
        <f>IF(BI$4&lt;Teams!$C$80,0,IF(Teams!$C$22="S",MIN(1,(BI$4-Teams!$C$80+1)/Teams!$C$21)^2*(3-2*MIN(1,(BI$4-Teams!$C$80+1)/Teams!$C$21)),MIN(1,(BI$4-Teams!$C$80+1)/Teams!$C$21)))</f>
        <v>1</v>
      </c>
      <c r="BJ9" s="26">
        <f>IF(BJ$4&lt;Teams!$C$80,0,IF(Teams!$C$22="S",MIN(1,(BJ$4-Teams!$C$80+1)/Teams!$C$21)^2*(3-2*MIN(1,(BJ$4-Teams!$C$80+1)/Teams!$C$21)),MIN(1,(BJ$4-Teams!$C$80+1)/Teams!$C$21)))</f>
        <v>1</v>
      </c>
      <c r="BK9" s="26">
        <f>IF(BK$4&lt;Teams!$C$80,0,IF(Teams!$C$22="S",MIN(1,(BK$4-Teams!$C$80+1)/Teams!$C$21)^2*(3-2*MIN(1,(BK$4-Teams!$C$80+1)/Teams!$C$21)),MIN(1,(BK$4-Teams!$C$80+1)/Teams!$C$21)))</f>
        <v>1</v>
      </c>
      <c r="BL9" s="26">
        <f>IF(BL$4&lt;Teams!$C$80,0,IF(Teams!$C$22="S",MIN(1,(BL$4-Teams!$C$80+1)/Teams!$C$21)^2*(3-2*MIN(1,(BL$4-Teams!$C$80+1)/Teams!$C$21)),MIN(1,(BL$4-Teams!$C$80+1)/Teams!$C$21)))</f>
        <v>1</v>
      </c>
    </row>
    <row r="10" spans="1:64" x14ac:dyDescent="0.3">
      <c r="A10" s="8" t="s">
        <v>160</v>
      </c>
      <c r="E10" s="22">
        <f>IF(E$4&gt;=Teams!$C$80,Teams!$C$18,0)</f>
        <v>3000</v>
      </c>
      <c r="F10" s="22">
        <f>IF(F$4&gt;=Teams!$C$80,Teams!$C$18,0)</f>
        <v>3000</v>
      </c>
      <c r="G10" s="22">
        <f>IF(G$4&gt;=Teams!$C$80,Teams!$C$18,0)</f>
        <v>3000</v>
      </c>
      <c r="H10" s="22">
        <f>IF(H$4&gt;=Teams!$C$80,Teams!$C$18,0)</f>
        <v>3000</v>
      </c>
      <c r="I10" s="22">
        <f>IF(I$4&gt;=Teams!$C$80,Teams!$C$18,0)</f>
        <v>3000</v>
      </c>
      <c r="J10" s="22">
        <f>IF(J$4&gt;=Teams!$C$80,Teams!$C$18,0)</f>
        <v>3000</v>
      </c>
      <c r="K10" s="22">
        <f>IF(K$4&gt;=Teams!$C$80,Teams!$C$18,0)</f>
        <v>3000</v>
      </c>
      <c r="L10" s="22">
        <f>IF(L$4&gt;=Teams!$C$80,Teams!$C$18,0)</f>
        <v>3000</v>
      </c>
      <c r="M10" s="22">
        <f>IF(M$4&gt;=Teams!$C$80,Teams!$C$18,0)</f>
        <v>3000</v>
      </c>
      <c r="N10" s="22">
        <f>IF(N$4&gt;=Teams!$C$80,Teams!$C$18,0)</f>
        <v>3000</v>
      </c>
      <c r="O10" s="22">
        <f>IF(O$4&gt;=Teams!$C$80,Teams!$C$18,0)</f>
        <v>3000</v>
      </c>
      <c r="P10" s="22">
        <f>IF(P$4&gt;=Teams!$C$80,Teams!$C$18,0)</f>
        <v>3000</v>
      </c>
      <c r="Q10" s="22">
        <f>IF(Q$4&gt;=Teams!$C$80,Teams!$C$18,0)</f>
        <v>3000</v>
      </c>
      <c r="R10" s="22">
        <f>IF(R$4&gt;=Teams!$C$80,Teams!$C$18,0)</f>
        <v>3000</v>
      </c>
      <c r="S10" s="22">
        <f>IF(S$4&gt;=Teams!$C$80,Teams!$C$18,0)</f>
        <v>3000</v>
      </c>
      <c r="T10" s="22">
        <f>IF(T$4&gt;=Teams!$C$80,Teams!$C$18,0)</f>
        <v>3000</v>
      </c>
      <c r="U10" s="22">
        <f>IF(U$4&gt;=Teams!$C$80,Teams!$C$18,0)</f>
        <v>3000</v>
      </c>
      <c r="V10" s="22">
        <f>IF(V$4&gt;=Teams!$C$80,Teams!$C$18,0)</f>
        <v>3000</v>
      </c>
      <c r="W10" s="22">
        <f>IF(W$4&gt;=Teams!$C$80,Teams!$C$18,0)</f>
        <v>3000</v>
      </c>
      <c r="X10" s="22">
        <f>IF(X$4&gt;=Teams!$C$80,Teams!$C$18,0)</f>
        <v>3000</v>
      </c>
      <c r="Y10" s="22">
        <f>IF(Y$4&gt;=Teams!$C$80,Teams!$C$18,0)</f>
        <v>3000</v>
      </c>
      <c r="Z10" s="22">
        <f>IF(Z$4&gt;=Teams!$C$80,Teams!$C$18,0)</f>
        <v>3000</v>
      </c>
      <c r="AA10" s="22">
        <f>IF(AA$4&gt;=Teams!$C$80,Teams!$C$18,0)</f>
        <v>3000</v>
      </c>
      <c r="AB10" s="22">
        <f>IF(AB$4&gt;=Teams!$C$80,Teams!$C$18,0)</f>
        <v>3000</v>
      </c>
      <c r="AC10" s="22">
        <f>IF(AC$4&gt;=Teams!$C$80,Teams!$C$18,0)</f>
        <v>3000</v>
      </c>
      <c r="AD10" s="22">
        <f>IF(AD$4&gt;=Teams!$C$80,Teams!$C$18,0)</f>
        <v>3000</v>
      </c>
      <c r="AE10" s="22">
        <f>IF(AE$4&gt;=Teams!$C$80,Teams!$C$18,0)</f>
        <v>3000</v>
      </c>
      <c r="AF10" s="22">
        <f>IF(AF$4&gt;=Teams!$C$80,Teams!$C$18,0)</f>
        <v>3000</v>
      </c>
      <c r="AG10" s="22">
        <f>IF(AG$4&gt;=Teams!$C$80,Teams!$C$18,0)</f>
        <v>3000</v>
      </c>
      <c r="AH10" s="22">
        <f>IF(AH$4&gt;=Teams!$C$80,Teams!$C$18,0)</f>
        <v>3000</v>
      </c>
      <c r="AI10" s="22">
        <f>IF(AI$4&gt;=Teams!$C$80,Teams!$C$18,0)</f>
        <v>3000</v>
      </c>
      <c r="AJ10" s="22">
        <f>IF(AJ$4&gt;=Teams!$C$80,Teams!$C$18,0)</f>
        <v>3000</v>
      </c>
      <c r="AK10" s="22">
        <f>IF(AK$4&gt;=Teams!$C$80,Teams!$C$18,0)</f>
        <v>3000</v>
      </c>
      <c r="AL10" s="22">
        <f>IF(AL$4&gt;=Teams!$C$80,Teams!$C$18,0)</f>
        <v>3000</v>
      </c>
      <c r="AM10" s="22">
        <f>IF(AM$4&gt;=Teams!$C$80,Teams!$C$18,0)</f>
        <v>3000</v>
      </c>
      <c r="AN10" s="22">
        <f>IF(AN$4&gt;=Teams!$C$80,Teams!$C$18,0)</f>
        <v>3000</v>
      </c>
      <c r="AO10" s="22">
        <f>IF(AO$4&gt;=Teams!$C$80,Teams!$C$18,0)</f>
        <v>3000</v>
      </c>
      <c r="AP10" s="22">
        <f>IF(AP$4&gt;=Teams!$C$80,Teams!$C$18,0)</f>
        <v>3000</v>
      </c>
      <c r="AQ10" s="22">
        <f>IF(AQ$4&gt;=Teams!$C$80,Teams!$C$18,0)</f>
        <v>3000</v>
      </c>
      <c r="AR10" s="22">
        <f>IF(AR$4&gt;=Teams!$C$80,Teams!$C$18,0)</f>
        <v>3000</v>
      </c>
      <c r="AS10" s="22">
        <f>IF(AS$4&gt;=Teams!$C$80,Teams!$C$18,0)</f>
        <v>3000</v>
      </c>
      <c r="AT10" s="22">
        <f>IF(AT$4&gt;=Teams!$C$80,Teams!$C$18,0)</f>
        <v>3000</v>
      </c>
      <c r="AU10" s="22">
        <f>IF(AU$4&gt;=Teams!$C$80,Teams!$C$18,0)</f>
        <v>3000</v>
      </c>
      <c r="AV10" s="22">
        <f>IF(AV$4&gt;=Teams!$C$80,Teams!$C$18,0)</f>
        <v>3000</v>
      </c>
      <c r="AW10" s="22">
        <f>IF(AW$4&gt;=Teams!$C$80,Teams!$C$18,0)</f>
        <v>3000</v>
      </c>
      <c r="AX10" s="22">
        <f>IF(AX$4&gt;=Teams!$C$80,Teams!$C$18,0)</f>
        <v>3000</v>
      </c>
      <c r="AY10" s="22">
        <f>IF(AY$4&gt;=Teams!$C$80,Teams!$C$18,0)</f>
        <v>3000</v>
      </c>
      <c r="AZ10" s="22">
        <f>IF(AZ$4&gt;=Teams!$C$80,Teams!$C$18,0)</f>
        <v>3000</v>
      </c>
      <c r="BA10" s="22">
        <f>IF(BA$4&gt;=Teams!$C$80,Teams!$C$18,0)</f>
        <v>3000</v>
      </c>
      <c r="BB10" s="22">
        <f>IF(BB$4&gt;=Teams!$C$80,Teams!$C$18,0)</f>
        <v>3000</v>
      </c>
      <c r="BC10" s="22">
        <f>IF(BC$4&gt;=Teams!$C$80,Teams!$C$18,0)</f>
        <v>3000</v>
      </c>
      <c r="BD10" s="22">
        <f>IF(BD$4&gt;=Teams!$C$80,Teams!$C$18,0)</f>
        <v>3000</v>
      </c>
      <c r="BE10" s="22">
        <f>IF(BE$4&gt;=Teams!$C$80,Teams!$C$18,0)</f>
        <v>3000</v>
      </c>
      <c r="BF10" s="22">
        <f>IF(BF$4&gt;=Teams!$C$80,Teams!$C$18,0)</f>
        <v>3000</v>
      </c>
      <c r="BG10" s="22">
        <f>IF(BG$4&gt;=Teams!$C$80,Teams!$C$18,0)</f>
        <v>3000</v>
      </c>
      <c r="BH10" s="22">
        <f>IF(BH$4&gt;=Teams!$C$80,Teams!$C$18,0)</f>
        <v>3000</v>
      </c>
      <c r="BI10" s="22">
        <f>IF(BI$4&gt;=Teams!$C$80,Teams!$C$18,0)</f>
        <v>3000</v>
      </c>
      <c r="BJ10" s="22">
        <f>IF(BJ$4&gt;=Teams!$C$80,Teams!$C$18,0)</f>
        <v>3000</v>
      </c>
      <c r="BK10" s="22">
        <f>IF(BK$4&gt;=Teams!$C$80,Teams!$C$18,0)</f>
        <v>3000</v>
      </c>
      <c r="BL10" s="22">
        <f>IF(BL$4&gt;=Teams!$C$80,Teams!$C$18,0)</f>
        <v>3000</v>
      </c>
    </row>
    <row r="11" spans="1:64" x14ac:dyDescent="0.3">
      <c r="A11" s="8" t="s">
        <v>1011</v>
      </c>
      <c r="C11" s="22">
        <f>SUMPRODUCT(E11:BL11,E$5:BL$5)</f>
        <v>60300</v>
      </c>
      <c r="E11" s="22">
        <f>E10*Teams!$C$19*E9</f>
        <v>133.33333333333331</v>
      </c>
      <c r="F11" s="22">
        <f>F10*Teams!$C$19*F9</f>
        <v>466.66666666666663</v>
      </c>
      <c r="G11" s="22">
        <f>G10*Teams!$C$19*G9</f>
        <v>900</v>
      </c>
      <c r="H11" s="22">
        <f>H10*Teams!$C$19*H9</f>
        <v>1333.3333333333333</v>
      </c>
      <c r="I11" s="22">
        <f>I10*Teams!$C$19*I9</f>
        <v>1666.666666666667</v>
      </c>
      <c r="J11" s="22">
        <f>J10*Teams!$C$19*J9</f>
        <v>1800</v>
      </c>
      <c r="K11" s="22">
        <f>K10*Teams!$C$19*K9</f>
        <v>1800</v>
      </c>
      <c r="L11" s="22">
        <f>L10*Teams!$C$19*L9</f>
        <v>1800</v>
      </c>
      <c r="M11" s="22">
        <f>M10*Teams!$C$19*M9</f>
        <v>1800</v>
      </c>
      <c r="N11" s="22">
        <f>N10*Teams!$C$19*N9</f>
        <v>1800</v>
      </c>
      <c r="O11" s="22">
        <f>O10*Teams!$C$19*O9</f>
        <v>1800</v>
      </c>
      <c r="P11" s="22">
        <f>P10*Teams!$C$19*P9</f>
        <v>1800</v>
      </c>
      <c r="Q11" s="22">
        <f>Q10*Teams!$C$19*Q9</f>
        <v>1800</v>
      </c>
      <c r="R11" s="22">
        <f>R10*Teams!$C$19*R9</f>
        <v>1800</v>
      </c>
      <c r="S11" s="22">
        <f>S10*Teams!$C$19*S9</f>
        <v>1800</v>
      </c>
      <c r="T11" s="22">
        <f>T10*Teams!$C$19*T9</f>
        <v>1800</v>
      </c>
      <c r="U11" s="22">
        <f>U10*Teams!$C$19*U9</f>
        <v>1800</v>
      </c>
      <c r="V11" s="22">
        <f>V10*Teams!$C$19*V9</f>
        <v>1800</v>
      </c>
      <c r="W11" s="22">
        <f>W10*Teams!$C$19*W9</f>
        <v>1800</v>
      </c>
      <c r="X11" s="22">
        <f>X10*Teams!$C$19*X9</f>
        <v>1800</v>
      </c>
      <c r="Y11" s="22">
        <f>Y10*Teams!$C$19*Y9</f>
        <v>1800</v>
      </c>
      <c r="Z11" s="22">
        <f>Z10*Teams!$C$19*Z9</f>
        <v>1800</v>
      </c>
      <c r="AA11" s="22">
        <f>AA10*Teams!$C$19*AA9</f>
        <v>1800</v>
      </c>
      <c r="AB11" s="22">
        <f>AB10*Teams!$C$19*AB9</f>
        <v>1800</v>
      </c>
      <c r="AC11" s="22">
        <f>AC10*Teams!$C$19*AC9</f>
        <v>1800</v>
      </c>
      <c r="AD11" s="22">
        <f>AD10*Teams!$C$19*AD9</f>
        <v>1800</v>
      </c>
      <c r="AE11" s="22">
        <f>AE10*Teams!$C$19*AE9</f>
        <v>1800</v>
      </c>
      <c r="AF11" s="22">
        <f>AF10*Teams!$C$19*AF9</f>
        <v>1800</v>
      </c>
      <c r="AG11" s="22">
        <f>AG10*Teams!$C$19*AG9</f>
        <v>1800</v>
      </c>
      <c r="AH11" s="22">
        <f>AH10*Teams!$C$19*AH9</f>
        <v>1800</v>
      </c>
      <c r="AI11" s="22">
        <f>AI10*Teams!$C$19*AI9</f>
        <v>1800</v>
      </c>
      <c r="AJ11" s="22">
        <f>AJ10*Teams!$C$19*AJ9</f>
        <v>1800</v>
      </c>
      <c r="AK11" s="22">
        <f>AK10*Teams!$C$19*AK9</f>
        <v>1800</v>
      </c>
      <c r="AL11" s="22">
        <f>AL10*Teams!$C$19*AL9</f>
        <v>1800</v>
      </c>
      <c r="AM11" s="22">
        <f>AM10*Teams!$C$19*AM9</f>
        <v>1800</v>
      </c>
      <c r="AN11" s="22">
        <f>AN10*Teams!$C$19*AN9</f>
        <v>1800</v>
      </c>
      <c r="AO11" s="22">
        <f>AO10*Teams!$C$19*AO9</f>
        <v>1800</v>
      </c>
      <c r="AP11" s="22">
        <f>AP10*Teams!$C$19*AP9</f>
        <v>1800</v>
      </c>
      <c r="AQ11" s="22">
        <f>AQ10*Teams!$C$19*AQ9</f>
        <v>1800</v>
      </c>
      <c r="AR11" s="22">
        <f>AR10*Teams!$C$19*AR9</f>
        <v>1800</v>
      </c>
      <c r="AS11" s="22">
        <f>AS10*Teams!$C$19*AS9</f>
        <v>1800</v>
      </c>
      <c r="AT11" s="22">
        <f>AT10*Teams!$C$19*AT9</f>
        <v>1800</v>
      </c>
      <c r="AU11" s="22">
        <f>AU10*Teams!$C$19*AU9</f>
        <v>1800</v>
      </c>
      <c r="AV11" s="22">
        <f>AV10*Teams!$C$19*AV9</f>
        <v>1800</v>
      </c>
      <c r="AW11" s="22">
        <f>AW10*Teams!$C$19*AW9</f>
        <v>1800</v>
      </c>
      <c r="AX11" s="22">
        <f>AX10*Teams!$C$19*AX9</f>
        <v>1800</v>
      </c>
      <c r="AY11" s="22">
        <f>AY10*Teams!$C$19*AY9</f>
        <v>1800</v>
      </c>
      <c r="AZ11" s="22">
        <f>AZ10*Teams!$C$19*AZ9</f>
        <v>1800</v>
      </c>
      <c r="BA11" s="22">
        <f>BA10*Teams!$C$19*BA9</f>
        <v>1800</v>
      </c>
      <c r="BB11" s="22">
        <f>BB10*Teams!$C$19*BB9</f>
        <v>1800</v>
      </c>
      <c r="BC11" s="22">
        <f>BC10*Teams!$C$19*BC9</f>
        <v>1800</v>
      </c>
      <c r="BD11" s="22">
        <f>BD10*Teams!$C$19*BD9</f>
        <v>1800</v>
      </c>
      <c r="BE11" s="22">
        <f>BE10*Teams!$C$19*BE9</f>
        <v>1800</v>
      </c>
      <c r="BF11" s="22">
        <f>BF10*Teams!$C$19*BF9</f>
        <v>1800</v>
      </c>
      <c r="BG11" s="22">
        <f>BG10*Teams!$C$19*BG9</f>
        <v>1800</v>
      </c>
      <c r="BH11" s="22">
        <f>BH10*Teams!$C$19*BH9</f>
        <v>1800</v>
      </c>
      <c r="BI11" s="22">
        <f>BI10*Teams!$C$19*BI9</f>
        <v>1800</v>
      </c>
      <c r="BJ11" s="22">
        <f>BJ10*Teams!$C$19*BJ9</f>
        <v>1800</v>
      </c>
      <c r="BK11" s="22">
        <f>BK10*Teams!$C$19*BK9</f>
        <v>1800</v>
      </c>
      <c r="BL11" s="22">
        <f>BL10*Teams!$C$19*BL9</f>
        <v>1800</v>
      </c>
    </row>
    <row r="12" spans="1:64" x14ac:dyDescent="0.3">
      <c r="A12" s="8" t="s">
        <v>28</v>
      </c>
      <c r="C12" s="22">
        <f>SUMPRODUCT(E12:BL12,E$5:BL$5)</f>
        <v>3618000</v>
      </c>
      <c r="E12" s="22">
        <f>IF(Teams!$C$23="per user",E11*Teams!$C$24,Teams!$C$25*E9)</f>
        <v>7999.9999999999991</v>
      </c>
      <c r="F12" s="22">
        <f>IF(Teams!$C$23="per user",F11*Teams!$C$24,Teams!$C$25*F9)</f>
        <v>27999.999999999996</v>
      </c>
      <c r="G12" s="22">
        <f>IF(Teams!$C$23="per user",G11*Teams!$C$24,Teams!$C$25*G9)</f>
        <v>54000</v>
      </c>
      <c r="H12" s="22">
        <f>IF(Teams!$C$23="per user",H11*Teams!$C$24,Teams!$C$25*H9)</f>
        <v>80000</v>
      </c>
      <c r="I12" s="22">
        <f>IF(Teams!$C$23="per user",I11*Teams!$C$24,Teams!$C$25*I9)</f>
        <v>100000.00000000001</v>
      </c>
      <c r="J12" s="22">
        <f>IF(Teams!$C$23="per user",J11*Teams!$C$24,Teams!$C$25*J9)</f>
        <v>108000</v>
      </c>
      <c r="K12" s="22">
        <f>IF(Teams!$C$23="per user",K11*Teams!$C$24,Teams!$C$25*K9)</f>
        <v>108000</v>
      </c>
      <c r="L12" s="22">
        <f>IF(Teams!$C$23="per user",L11*Teams!$C$24,Teams!$C$25*L9)</f>
        <v>108000</v>
      </c>
      <c r="M12" s="22">
        <f>IF(Teams!$C$23="per user",M11*Teams!$C$24,Teams!$C$25*M9)</f>
        <v>108000</v>
      </c>
      <c r="N12" s="22">
        <f>IF(Teams!$C$23="per user",N11*Teams!$C$24,Teams!$C$25*N9)</f>
        <v>108000</v>
      </c>
      <c r="O12" s="22">
        <f>IF(Teams!$C$23="per user",O11*Teams!$C$24,Teams!$C$25*O9)</f>
        <v>108000</v>
      </c>
      <c r="P12" s="22">
        <f>IF(Teams!$C$23="per user",P11*Teams!$C$24,Teams!$C$25*P9)</f>
        <v>108000</v>
      </c>
      <c r="Q12" s="22">
        <f>IF(Teams!$C$23="per user",Q11*Teams!$C$24,Teams!$C$25*Q9)</f>
        <v>108000</v>
      </c>
      <c r="R12" s="22">
        <f>IF(Teams!$C$23="per user",R11*Teams!$C$24,Teams!$C$25*R9)</f>
        <v>108000</v>
      </c>
      <c r="S12" s="22">
        <f>IF(Teams!$C$23="per user",S11*Teams!$C$24,Teams!$C$25*S9)</f>
        <v>108000</v>
      </c>
      <c r="T12" s="22">
        <f>IF(Teams!$C$23="per user",T11*Teams!$C$24,Teams!$C$25*T9)</f>
        <v>108000</v>
      </c>
      <c r="U12" s="22">
        <f>IF(Teams!$C$23="per user",U11*Teams!$C$24,Teams!$C$25*U9)</f>
        <v>108000</v>
      </c>
      <c r="V12" s="22">
        <f>IF(Teams!$C$23="per user",V11*Teams!$C$24,Teams!$C$25*V9)</f>
        <v>108000</v>
      </c>
      <c r="W12" s="22">
        <f>IF(Teams!$C$23="per user",W11*Teams!$C$24,Teams!$C$25*W9)</f>
        <v>108000</v>
      </c>
      <c r="X12" s="22">
        <f>IF(Teams!$C$23="per user",X11*Teams!$C$24,Teams!$C$25*X9)</f>
        <v>108000</v>
      </c>
      <c r="Y12" s="22">
        <f>IF(Teams!$C$23="per user",Y11*Teams!$C$24,Teams!$C$25*Y9)</f>
        <v>108000</v>
      </c>
      <c r="Z12" s="22">
        <f>IF(Teams!$C$23="per user",Z11*Teams!$C$24,Teams!$C$25*Z9)</f>
        <v>108000</v>
      </c>
      <c r="AA12" s="22">
        <f>IF(Teams!$C$23="per user",AA11*Teams!$C$24,Teams!$C$25*AA9)</f>
        <v>108000</v>
      </c>
      <c r="AB12" s="22">
        <f>IF(Teams!$C$23="per user",AB11*Teams!$C$24,Teams!$C$25*AB9)</f>
        <v>108000</v>
      </c>
      <c r="AC12" s="22">
        <f>IF(Teams!$C$23="per user",AC11*Teams!$C$24,Teams!$C$25*AC9)</f>
        <v>108000</v>
      </c>
      <c r="AD12" s="22">
        <f>IF(Teams!$C$23="per user",AD11*Teams!$C$24,Teams!$C$25*AD9)</f>
        <v>108000</v>
      </c>
      <c r="AE12" s="22">
        <f>IF(Teams!$C$23="per user",AE11*Teams!$C$24,Teams!$C$25*AE9)</f>
        <v>108000</v>
      </c>
      <c r="AF12" s="22">
        <f>IF(Teams!$C$23="per user",AF11*Teams!$C$24,Teams!$C$25*AF9)</f>
        <v>108000</v>
      </c>
      <c r="AG12" s="22">
        <f>IF(Teams!$C$23="per user",AG11*Teams!$C$24,Teams!$C$25*AG9)</f>
        <v>108000</v>
      </c>
      <c r="AH12" s="22">
        <f>IF(Teams!$C$23="per user",AH11*Teams!$C$24,Teams!$C$25*AH9)</f>
        <v>108000</v>
      </c>
      <c r="AI12" s="22">
        <f>IF(Teams!$C$23="per user",AI11*Teams!$C$24,Teams!$C$25*AI9)</f>
        <v>108000</v>
      </c>
      <c r="AJ12" s="22">
        <f>IF(Teams!$C$23="per user",AJ11*Teams!$C$24,Teams!$C$25*AJ9)</f>
        <v>108000</v>
      </c>
      <c r="AK12" s="22">
        <f>IF(Teams!$C$23="per user",AK11*Teams!$C$24,Teams!$C$25*AK9)</f>
        <v>108000</v>
      </c>
      <c r="AL12" s="22">
        <f>IF(Teams!$C$23="per user",AL11*Teams!$C$24,Teams!$C$25*AL9)</f>
        <v>108000</v>
      </c>
      <c r="AM12" s="22">
        <f>IF(Teams!$C$23="per user",AM11*Teams!$C$24,Teams!$C$25*AM9)</f>
        <v>108000</v>
      </c>
      <c r="AN12" s="22">
        <f>IF(Teams!$C$23="per user",AN11*Teams!$C$24,Teams!$C$25*AN9)</f>
        <v>108000</v>
      </c>
      <c r="AO12" s="22">
        <f>IF(Teams!$C$23="per user",AO11*Teams!$C$24,Teams!$C$25*AO9)</f>
        <v>108000</v>
      </c>
      <c r="AP12" s="22">
        <f>IF(Teams!$C$23="per user",AP11*Teams!$C$24,Teams!$C$25*AP9)</f>
        <v>108000</v>
      </c>
      <c r="AQ12" s="22">
        <f>IF(Teams!$C$23="per user",AQ11*Teams!$C$24,Teams!$C$25*AQ9)</f>
        <v>108000</v>
      </c>
      <c r="AR12" s="22">
        <f>IF(Teams!$C$23="per user",AR11*Teams!$C$24,Teams!$C$25*AR9)</f>
        <v>108000</v>
      </c>
      <c r="AS12" s="22">
        <f>IF(Teams!$C$23="per user",AS11*Teams!$C$24,Teams!$C$25*AS9)</f>
        <v>108000</v>
      </c>
      <c r="AT12" s="22">
        <f>IF(Teams!$C$23="per user",AT11*Teams!$C$24,Teams!$C$25*AT9)</f>
        <v>108000</v>
      </c>
      <c r="AU12" s="22">
        <f>IF(Teams!$C$23="per user",AU11*Teams!$C$24,Teams!$C$25*AU9)</f>
        <v>108000</v>
      </c>
      <c r="AV12" s="22">
        <f>IF(Teams!$C$23="per user",AV11*Teams!$C$24,Teams!$C$25*AV9)</f>
        <v>108000</v>
      </c>
      <c r="AW12" s="22">
        <f>IF(Teams!$C$23="per user",AW11*Teams!$C$24,Teams!$C$25*AW9)</f>
        <v>108000</v>
      </c>
      <c r="AX12" s="22">
        <f>IF(Teams!$C$23="per user",AX11*Teams!$C$24,Teams!$C$25*AX9)</f>
        <v>108000</v>
      </c>
      <c r="AY12" s="22">
        <f>IF(Teams!$C$23="per user",AY11*Teams!$C$24,Teams!$C$25*AY9)</f>
        <v>108000</v>
      </c>
      <c r="AZ12" s="22">
        <f>IF(Teams!$C$23="per user",AZ11*Teams!$C$24,Teams!$C$25*AZ9)</f>
        <v>108000</v>
      </c>
      <c r="BA12" s="22">
        <f>IF(Teams!$C$23="per user",BA11*Teams!$C$24,Teams!$C$25*BA9)</f>
        <v>108000</v>
      </c>
      <c r="BB12" s="22">
        <f>IF(Teams!$C$23="per user",BB11*Teams!$C$24,Teams!$C$25*BB9)</f>
        <v>108000</v>
      </c>
      <c r="BC12" s="22">
        <f>IF(Teams!$C$23="per user",BC11*Teams!$C$24,Teams!$C$25*BC9)</f>
        <v>108000</v>
      </c>
      <c r="BD12" s="22">
        <f>IF(Teams!$C$23="per user",BD11*Teams!$C$24,Teams!$C$25*BD9)</f>
        <v>108000</v>
      </c>
      <c r="BE12" s="22">
        <f>IF(Teams!$C$23="per user",BE11*Teams!$C$24,Teams!$C$25*BE9)</f>
        <v>108000</v>
      </c>
      <c r="BF12" s="22">
        <f>IF(Teams!$C$23="per user",BF11*Teams!$C$24,Teams!$C$25*BF9)</f>
        <v>108000</v>
      </c>
      <c r="BG12" s="22">
        <f>IF(Teams!$C$23="per user",BG11*Teams!$C$24,Teams!$C$25*BG9)</f>
        <v>108000</v>
      </c>
      <c r="BH12" s="22">
        <f>IF(Teams!$C$23="per user",BH11*Teams!$C$24,Teams!$C$25*BH9)</f>
        <v>108000</v>
      </c>
      <c r="BI12" s="22">
        <f>IF(Teams!$C$23="per user",BI11*Teams!$C$24,Teams!$C$25*BI9)</f>
        <v>108000</v>
      </c>
      <c r="BJ12" s="22">
        <f>IF(Teams!$C$23="per user",BJ11*Teams!$C$24,Teams!$C$25*BJ9)</f>
        <v>108000</v>
      </c>
      <c r="BK12" s="22">
        <f>IF(Teams!$C$23="per user",BK11*Teams!$C$24,Teams!$C$25*BK9)</f>
        <v>108000</v>
      </c>
      <c r="BL12" s="22">
        <f>IF(Teams!$C$23="per user",BL11*Teams!$C$24,Teams!$C$25*BL9)</f>
        <v>108000</v>
      </c>
    </row>
    <row r="13" spans="1:64" x14ac:dyDescent="0.3">
      <c r="A13" s="8" t="s">
        <v>665</v>
      </c>
      <c r="B13" s="18" t="s">
        <v>435</v>
      </c>
      <c r="C13" s="44">
        <f t="shared" ref="C13:C31" si="2">SUM(D13:BL13)</f>
        <v>3024000</v>
      </c>
      <c r="E13" s="44">
        <f>E$5*Teams!$C$60*E10*Teams!$C$66</f>
        <v>84000</v>
      </c>
      <c r="F13" s="44">
        <f>F$5*Teams!$C$60*F10*Teams!$C$66</f>
        <v>84000</v>
      </c>
      <c r="G13" s="44">
        <f>G$5*Teams!$C$60*G10*Teams!$C$66</f>
        <v>84000</v>
      </c>
      <c r="H13" s="44">
        <f>H$5*Teams!$C$60*H10*Teams!$C$66</f>
        <v>84000</v>
      </c>
      <c r="I13" s="44">
        <f>I$5*Teams!$C$60*I10*Teams!$C$66</f>
        <v>84000</v>
      </c>
      <c r="J13" s="44">
        <f>J$5*Teams!$C$60*J10*Teams!$C$66</f>
        <v>84000</v>
      </c>
      <c r="K13" s="44">
        <f>K$5*Teams!$C$60*K10*Teams!$C$66</f>
        <v>84000</v>
      </c>
      <c r="L13" s="44">
        <f>L$5*Teams!$C$60*L10*Teams!$C$66</f>
        <v>84000</v>
      </c>
      <c r="M13" s="44">
        <f>M$5*Teams!$C$60*M10*Teams!$C$66</f>
        <v>84000</v>
      </c>
      <c r="N13" s="44">
        <f>N$5*Teams!$C$60*N10*Teams!$C$66</f>
        <v>84000</v>
      </c>
      <c r="O13" s="44">
        <f>O$5*Teams!$C$60*O10*Teams!$C$66</f>
        <v>84000</v>
      </c>
      <c r="P13" s="44">
        <f>P$5*Teams!$C$60*P10*Teams!$C$66</f>
        <v>84000</v>
      </c>
      <c r="Q13" s="44">
        <f>Q$5*Teams!$C$60*Q10*Teams!$C$66</f>
        <v>84000</v>
      </c>
      <c r="R13" s="44">
        <f>R$5*Teams!$C$60*R10*Teams!$C$66</f>
        <v>84000</v>
      </c>
      <c r="S13" s="44">
        <f>S$5*Teams!$C$60*S10*Teams!$C$66</f>
        <v>84000</v>
      </c>
      <c r="T13" s="44">
        <f>T$5*Teams!$C$60*T10*Teams!$C$66</f>
        <v>84000</v>
      </c>
      <c r="U13" s="44">
        <f>U$5*Teams!$C$60*U10*Teams!$C$66</f>
        <v>84000</v>
      </c>
      <c r="V13" s="44">
        <f>V$5*Teams!$C$60*V10*Teams!$C$66</f>
        <v>84000</v>
      </c>
      <c r="W13" s="44">
        <f>W$5*Teams!$C$60*W10*Teams!$C$66</f>
        <v>84000</v>
      </c>
      <c r="X13" s="44">
        <f>X$5*Teams!$C$60*X10*Teams!$C$66</f>
        <v>84000</v>
      </c>
      <c r="Y13" s="44">
        <f>Y$5*Teams!$C$60*Y10*Teams!$C$66</f>
        <v>84000</v>
      </c>
      <c r="Z13" s="44">
        <f>Z$5*Teams!$C$60*Z10*Teams!$C$66</f>
        <v>84000</v>
      </c>
      <c r="AA13" s="44">
        <f>AA$5*Teams!$C$60*AA10*Teams!$C$66</f>
        <v>84000</v>
      </c>
      <c r="AB13" s="44">
        <f>AB$5*Teams!$C$60*AB10*Teams!$C$66</f>
        <v>84000</v>
      </c>
      <c r="AC13" s="44">
        <f>AC$5*Teams!$C$60*AC10*Teams!$C$66</f>
        <v>84000</v>
      </c>
      <c r="AD13" s="44">
        <f>AD$5*Teams!$C$60*AD10*Teams!$C$66</f>
        <v>84000</v>
      </c>
      <c r="AE13" s="44">
        <f>AE$5*Teams!$C$60*AE10*Teams!$C$66</f>
        <v>84000</v>
      </c>
      <c r="AF13" s="44">
        <f>AF$5*Teams!$C$60*AF10*Teams!$C$66</f>
        <v>84000</v>
      </c>
      <c r="AG13" s="44">
        <f>AG$5*Teams!$C$60*AG10*Teams!$C$66</f>
        <v>84000</v>
      </c>
      <c r="AH13" s="44">
        <f>AH$5*Teams!$C$60*AH10*Teams!$C$66</f>
        <v>84000</v>
      </c>
      <c r="AI13" s="44">
        <f>AI$5*Teams!$C$60*AI10*Teams!$C$66</f>
        <v>84000</v>
      </c>
      <c r="AJ13" s="44">
        <f>AJ$5*Teams!$C$60*AJ10*Teams!$C$66</f>
        <v>84000</v>
      </c>
      <c r="AK13" s="44">
        <f>AK$5*Teams!$C$60*AK10*Teams!$C$66</f>
        <v>84000</v>
      </c>
      <c r="AL13" s="44">
        <f>AL$5*Teams!$C$60*AL10*Teams!$C$66</f>
        <v>84000</v>
      </c>
      <c r="AM13" s="44">
        <f>AM$5*Teams!$C$60*AM10*Teams!$C$66</f>
        <v>84000</v>
      </c>
      <c r="AN13" s="44">
        <f>AN$5*Teams!$C$60*AN10*Teams!$C$66</f>
        <v>84000</v>
      </c>
      <c r="AO13" s="44">
        <f>AO$5*Teams!$C$60*AO10*Teams!$C$66</f>
        <v>0</v>
      </c>
      <c r="AP13" s="44">
        <f>AP$5*Teams!$C$60*AP10*Teams!$C$66</f>
        <v>0</v>
      </c>
      <c r="AQ13" s="44">
        <f>AQ$5*Teams!$C$60*AQ10*Teams!$C$66</f>
        <v>0</v>
      </c>
      <c r="AR13" s="44">
        <f>AR$5*Teams!$C$60*AR10*Teams!$C$66</f>
        <v>0</v>
      </c>
      <c r="AS13" s="44">
        <f>AS$5*Teams!$C$60*AS10*Teams!$C$66</f>
        <v>0</v>
      </c>
      <c r="AT13" s="44">
        <f>AT$5*Teams!$C$60*AT10*Teams!$C$66</f>
        <v>0</v>
      </c>
      <c r="AU13" s="44">
        <f>AU$5*Teams!$C$60*AU10*Teams!$C$66</f>
        <v>0</v>
      </c>
      <c r="AV13" s="44">
        <f>AV$5*Teams!$C$60*AV10*Teams!$C$66</f>
        <v>0</v>
      </c>
      <c r="AW13" s="44">
        <f>AW$5*Teams!$C$60*AW10*Teams!$C$66</f>
        <v>0</v>
      </c>
      <c r="AX13" s="44">
        <f>AX$5*Teams!$C$60*AX10*Teams!$C$66</f>
        <v>0</v>
      </c>
      <c r="AY13" s="44">
        <f>AY$5*Teams!$C$60*AY10*Teams!$C$66</f>
        <v>0</v>
      </c>
      <c r="AZ13" s="44">
        <f>AZ$5*Teams!$C$60*AZ10*Teams!$C$66</f>
        <v>0</v>
      </c>
      <c r="BA13" s="44">
        <f>BA$5*Teams!$C$60*BA10*Teams!$C$66</f>
        <v>0</v>
      </c>
      <c r="BB13" s="44">
        <f>BB$5*Teams!$C$60*BB10*Teams!$C$66</f>
        <v>0</v>
      </c>
      <c r="BC13" s="44">
        <f>BC$5*Teams!$C$60*BC10*Teams!$C$66</f>
        <v>0</v>
      </c>
      <c r="BD13" s="44">
        <f>BD$5*Teams!$C$60*BD10*Teams!$C$66</f>
        <v>0</v>
      </c>
      <c r="BE13" s="44">
        <f>BE$5*Teams!$C$60*BE10*Teams!$C$66</f>
        <v>0</v>
      </c>
      <c r="BF13" s="44">
        <f>BF$5*Teams!$C$60*BF10*Teams!$C$66</f>
        <v>0</v>
      </c>
      <c r="BG13" s="44">
        <f>BG$5*Teams!$C$60*BG10*Teams!$C$66</f>
        <v>0</v>
      </c>
      <c r="BH13" s="44">
        <f>BH$5*Teams!$C$60*BH10*Teams!$C$66</f>
        <v>0</v>
      </c>
      <c r="BI13" s="44">
        <f>BI$5*Teams!$C$60*BI10*Teams!$C$66</f>
        <v>0</v>
      </c>
      <c r="BJ13" s="44">
        <f>BJ$5*Teams!$C$60*BJ10*Teams!$C$66</f>
        <v>0</v>
      </c>
      <c r="BK13" s="44">
        <f>BK$5*Teams!$C$60*BK10*Teams!$C$66</f>
        <v>0</v>
      </c>
      <c r="BL13" s="44">
        <f>BL$5*Teams!$C$60*BL10*Teams!$C$66</f>
        <v>0</v>
      </c>
    </row>
    <row r="14" spans="1:64" x14ac:dyDescent="0.3">
      <c r="A14" s="8" t="s">
        <v>666</v>
      </c>
      <c r="B14" s="18" t="s">
        <v>435</v>
      </c>
      <c r="C14" s="44">
        <f t="shared" si="2"/>
        <v>0</v>
      </c>
      <c r="E14" s="44">
        <f>E$5*IF(Teams!$C$61=1,E11*((1-Teams!$C$13)*MAX(0,Teams!$C$72*$C$8-Teams!$C$12)+Teams!$C$13*MAX(0,Teams!$C$73*$C$8-Teams!$C$12)),IF(Teams!$C$62=1,E12*$C$8,0))</f>
        <v>0</v>
      </c>
      <c r="F14" s="44">
        <f>F$5*IF(Teams!$C$61=1,F11*((1-Teams!$C$13)*MAX(0,Teams!$C$72*$C$8-Teams!$C$12)+Teams!$C$13*MAX(0,Teams!$C$73*$C$8-Teams!$C$12)),IF(Teams!$C$62=1,F12*$C$8,0))</f>
        <v>0</v>
      </c>
      <c r="G14" s="44">
        <f>G$5*IF(Teams!$C$61=1,G11*((1-Teams!$C$13)*MAX(0,Teams!$C$72*$C$8-Teams!$C$12)+Teams!$C$13*MAX(0,Teams!$C$73*$C$8-Teams!$C$12)),IF(Teams!$C$62=1,G12*$C$8,0))</f>
        <v>0</v>
      </c>
      <c r="H14" s="44">
        <f>H$5*IF(Teams!$C$61=1,H11*((1-Teams!$C$13)*MAX(0,Teams!$C$72*$C$8-Teams!$C$12)+Teams!$C$13*MAX(0,Teams!$C$73*$C$8-Teams!$C$12)),IF(Teams!$C$62=1,H12*$C$8,0))</f>
        <v>0</v>
      </c>
      <c r="I14" s="44">
        <f>I$5*IF(Teams!$C$61=1,I11*((1-Teams!$C$13)*MAX(0,Teams!$C$72*$C$8-Teams!$C$12)+Teams!$C$13*MAX(0,Teams!$C$73*$C$8-Teams!$C$12)),IF(Teams!$C$62=1,I12*$C$8,0))</f>
        <v>0</v>
      </c>
      <c r="J14" s="44">
        <f>J$5*IF(Teams!$C$61=1,J11*((1-Teams!$C$13)*MAX(0,Teams!$C$72*$C$8-Teams!$C$12)+Teams!$C$13*MAX(0,Teams!$C$73*$C$8-Teams!$C$12)),IF(Teams!$C$62=1,J12*$C$8,0))</f>
        <v>0</v>
      </c>
      <c r="K14" s="44">
        <f>K$5*IF(Teams!$C$61=1,K11*((1-Teams!$C$13)*MAX(0,Teams!$C$72*$C$8-Teams!$C$12)+Teams!$C$13*MAX(0,Teams!$C$73*$C$8-Teams!$C$12)),IF(Teams!$C$62=1,K12*$C$8,0))</f>
        <v>0</v>
      </c>
      <c r="L14" s="44">
        <f>L$5*IF(Teams!$C$61=1,L11*((1-Teams!$C$13)*MAX(0,Teams!$C$72*$C$8-Teams!$C$12)+Teams!$C$13*MAX(0,Teams!$C$73*$C$8-Teams!$C$12)),IF(Teams!$C$62=1,L12*$C$8,0))</f>
        <v>0</v>
      </c>
      <c r="M14" s="44">
        <f>M$5*IF(Teams!$C$61=1,M11*((1-Teams!$C$13)*MAX(0,Teams!$C$72*$C$8-Teams!$C$12)+Teams!$C$13*MAX(0,Teams!$C$73*$C$8-Teams!$C$12)),IF(Teams!$C$62=1,M12*$C$8,0))</f>
        <v>0</v>
      </c>
      <c r="N14" s="44">
        <f>N$5*IF(Teams!$C$61=1,N11*((1-Teams!$C$13)*MAX(0,Teams!$C$72*$C$8-Teams!$C$12)+Teams!$C$13*MAX(0,Teams!$C$73*$C$8-Teams!$C$12)),IF(Teams!$C$62=1,N12*$C$8,0))</f>
        <v>0</v>
      </c>
      <c r="O14" s="44">
        <f>O$5*IF(Teams!$C$61=1,O11*((1-Teams!$C$13)*MAX(0,Teams!$C$72*$C$8-Teams!$C$12)+Teams!$C$13*MAX(0,Teams!$C$73*$C$8-Teams!$C$12)),IF(Teams!$C$62=1,O12*$C$8,0))</f>
        <v>0</v>
      </c>
      <c r="P14" s="44">
        <f>P$5*IF(Teams!$C$61=1,P11*((1-Teams!$C$13)*MAX(0,Teams!$C$72*$C$8-Teams!$C$12)+Teams!$C$13*MAX(0,Teams!$C$73*$C$8-Teams!$C$12)),IF(Teams!$C$62=1,P12*$C$8,0))</f>
        <v>0</v>
      </c>
      <c r="Q14" s="44">
        <f>Q$5*IF(Teams!$C$61=1,Q11*((1-Teams!$C$13)*MAX(0,Teams!$C$72*$C$8-Teams!$C$12)+Teams!$C$13*MAX(0,Teams!$C$73*$C$8-Teams!$C$12)),IF(Teams!$C$62=1,Q12*$C$8,0))</f>
        <v>0</v>
      </c>
      <c r="R14" s="44">
        <f>R$5*IF(Teams!$C$61=1,R11*((1-Teams!$C$13)*MAX(0,Teams!$C$72*$C$8-Teams!$C$12)+Teams!$C$13*MAX(0,Teams!$C$73*$C$8-Teams!$C$12)),IF(Teams!$C$62=1,R12*$C$8,0))</f>
        <v>0</v>
      </c>
      <c r="S14" s="44">
        <f>S$5*IF(Teams!$C$61=1,S11*((1-Teams!$C$13)*MAX(0,Teams!$C$72*$C$8-Teams!$C$12)+Teams!$C$13*MAX(0,Teams!$C$73*$C$8-Teams!$C$12)),IF(Teams!$C$62=1,S12*$C$8,0))</f>
        <v>0</v>
      </c>
      <c r="T14" s="44">
        <f>T$5*IF(Teams!$C$61=1,T11*((1-Teams!$C$13)*MAX(0,Teams!$C$72*$C$8-Teams!$C$12)+Teams!$C$13*MAX(0,Teams!$C$73*$C$8-Teams!$C$12)),IF(Teams!$C$62=1,T12*$C$8,0))</f>
        <v>0</v>
      </c>
      <c r="U14" s="44">
        <f>U$5*IF(Teams!$C$61=1,U11*((1-Teams!$C$13)*MAX(0,Teams!$C$72*$C$8-Teams!$C$12)+Teams!$C$13*MAX(0,Teams!$C$73*$C$8-Teams!$C$12)),IF(Teams!$C$62=1,U12*$C$8,0))</f>
        <v>0</v>
      </c>
      <c r="V14" s="44">
        <f>V$5*IF(Teams!$C$61=1,V11*((1-Teams!$C$13)*MAX(0,Teams!$C$72*$C$8-Teams!$C$12)+Teams!$C$13*MAX(0,Teams!$C$73*$C$8-Teams!$C$12)),IF(Teams!$C$62=1,V12*$C$8,0))</f>
        <v>0</v>
      </c>
      <c r="W14" s="44">
        <f>W$5*IF(Teams!$C$61=1,W11*((1-Teams!$C$13)*MAX(0,Teams!$C$72*$C$8-Teams!$C$12)+Teams!$C$13*MAX(0,Teams!$C$73*$C$8-Teams!$C$12)),IF(Teams!$C$62=1,W12*$C$8,0))</f>
        <v>0</v>
      </c>
      <c r="X14" s="44">
        <f>X$5*IF(Teams!$C$61=1,X11*((1-Teams!$C$13)*MAX(0,Teams!$C$72*$C$8-Teams!$C$12)+Teams!$C$13*MAX(0,Teams!$C$73*$C$8-Teams!$C$12)),IF(Teams!$C$62=1,X12*$C$8,0))</f>
        <v>0</v>
      </c>
      <c r="Y14" s="44">
        <f>Y$5*IF(Teams!$C$61=1,Y11*((1-Teams!$C$13)*MAX(0,Teams!$C$72*$C$8-Teams!$C$12)+Teams!$C$13*MAX(0,Teams!$C$73*$C$8-Teams!$C$12)),IF(Teams!$C$62=1,Y12*$C$8,0))</f>
        <v>0</v>
      </c>
      <c r="Z14" s="44">
        <f>Z$5*IF(Teams!$C$61=1,Z11*((1-Teams!$C$13)*MAX(0,Teams!$C$72*$C$8-Teams!$C$12)+Teams!$C$13*MAX(0,Teams!$C$73*$C$8-Teams!$C$12)),IF(Teams!$C$62=1,Z12*$C$8,0))</f>
        <v>0</v>
      </c>
      <c r="AA14" s="44">
        <f>AA$5*IF(Teams!$C$61=1,AA11*((1-Teams!$C$13)*MAX(0,Teams!$C$72*$C$8-Teams!$C$12)+Teams!$C$13*MAX(0,Teams!$C$73*$C$8-Teams!$C$12)),IF(Teams!$C$62=1,AA12*$C$8,0))</f>
        <v>0</v>
      </c>
      <c r="AB14" s="44">
        <f>AB$5*IF(Teams!$C$61=1,AB11*((1-Teams!$C$13)*MAX(0,Teams!$C$72*$C$8-Teams!$C$12)+Teams!$C$13*MAX(0,Teams!$C$73*$C$8-Teams!$C$12)),IF(Teams!$C$62=1,AB12*$C$8,0))</f>
        <v>0</v>
      </c>
      <c r="AC14" s="44">
        <f>AC$5*IF(Teams!$C$61=1,AC11*((1-Teams!$C$13)*MAX(0,Teams!$C$72*$C$8-Teams!$C$12)+Teams!$C$13*MAX(0,Teams!$C$73*$C$8-Teams!$C$12)),IF(Teams!$C$62=1,AC12*$C$8,0))</f>
        <v>0</v>
      </c>
      <c r="AD14" s="44">
        <f>AD$5*IF(Teams!$C$61=1,AD11*((1-Teams!$C$13)*MAX(0,Teams!$C$72*$C$8-Teams!$C$12)+Teams!$C$13*MAX(0,Teams!$C$73*$C$8-Teams!$C$12)),IF(Teams!$C$62=1,AD12*$C$8,0))</f>
        <v>0</v>
      </c>
      <c r="AE14" s="44">
        <f>AE$5*IF(Teams!$C$61=1,AE11*((1-Teams!$C$13)*MAX(0,Teams!$C$72*$C$8-Teams!$C$12)+Teams!$C$13*MAX(0,Teams!$C$73*$C$8-Teams!$C$12)),IF(Teams!$C$62=1,AE12*$C$8,0))</f>
        <v>0</v>
      </c>
      <c r="AF14" s="44">
        <f>AF$5*IF(Teams!$C$61=1,AF11*((1-Teams!$C$13)*MAX(0,Teams!$C$72*$C$8-Teams!$C$12)+Teams!$C$13*MAX(0,Teams!$C$73*$C$8-Teams!$C$12)),IF(Teams!$C$62=1,AF12*$C$8,0))</f>
        <v>0</v>
      </c>
      <c r="AG14" s="44">
        <f>AG$5*IF(Teams!$C$61=1,AG11*((1-Teams!$C$13)*MAX(0,Teams!$C$72*$C$8-Teams!$C$12)+Teams!$C$13*MAX(0,Teams!$C$73*$C$8-Teams!$C$12)),IF(Teams!$C$62=1,AG12*$C$8,0))</f>
        <v>0</v>
      </c>
      <c r="AH14" s="44">
        <f>AH$5*IF(Teams!$C$61=1,AH11*((1-Teams!$C$13)*MAX(0,Teams!$C$72*$C$8-Teams!$C$12)+Teams!$C$13*MAX(0,Teams!$C$73*$C$8-Teams!$C$12)),IF(Teams!$C$62=1,AH12*$C$8,0))</f>
        <v>0</v>
      </c>
      <c r="AI14" s="44">
        <f>AI$5*IF(Teams!$C$61=1,AI11*((1-Teams!$C$13)*MAX(0,Teams!$C$72*$C$8-Teams!$C$12)+Teams!$C$13*MAX(0,Teams!$C$73*$C$8-Teams!$C$12)),IF(Teams!$C$62=1,AI12*$C$8,0))</f>
        <v>0</v>
      </c>
      <c r="AJ14" s="44">
        <f>AJ$5*IF(Teams!$C$61=1,AJ11*((1-Teams!$C$13)*MAX(0,Teams!$C$72*$C$8-Teams!$C$12)+Teams!$C$13*MAX(0,Teams!$C$73*$C$8-Teams!$C$12)),IF(Teams!$C$62=1,AJ12*$C$8,0))</f>
        <v>0</v>
      </c>
      <c r="AK14" s="44">
        <f>AK$5*IF(Teams!$C$61=1,AK11*((1-Teams!$C$13)*MAX(0,Teams!$C$72*$C$8-Teams!$C$12)+Teams!$C$13*MAX(0,Teams!$C$73*$C$8-Teams!$C$12)),IF(Teams!$C$62=1,AK12*$C$8,0))</f>
        <v>0</v>
      </c>
      <c r="AL14" s="44">
        <f>AL$5*IF(Teams!$C$61=1,AL11*((1-Teams!$C$13)*MAX(0,Teams!$C$72*$C$8-Teams!$C$12)+Teams!$C$13*MAX(0,Teams!$C$73*$C$8-Teams!$C$12)),IF(Teams!$C$62=1,AL12*$C$8,0))</f>
        <v>0</v>
      </c>
      <c r="AM14" s="44">
        <f>AM$5*IF(Teams!$C$61=1,AM11*((1-Teams!$C$13)*MAX(0,Teams!$C$72*$C$8-Teams!$C$12)+Teams!$C$13*MAX(0,Teams!$C$73*$C$8-Teams!$C$12)),IF(Teams!$C$62=1,AM12*$C$8,0))</f>
        <v>0</v>
      </c>
      <c r="AN14" s="44">
        <f>AN$5*IF(Teams!$C$61=1,AN11*((1-Teams!$C$13)*MAX(0,Teams!$C$72*$C$8-Teams!$C$12)+Teams!$C$13*MAX(0,Teams!$C$73*$C$8-Teams!$C$12)),IF(Teams!$C$62=1,AN12*$C$8,0))</f>
        <v>0</v>
      </c>
      <c r="AO14" s="44">
        <f>AO$5*IF(Teams!$C$61=1,AO11*((1-Teams!$C$13)*MAX(0,Teams!$C$72*$C$8-Teams!$C$12)+Teams!$C$13*MAX(0,Teams!$C$73*$C$8-Teams!$C$12)),IF(Teams!$C$62=1,AO12*$C$8,0))</f>
        <v>0</v>
      </c>
      <c r="AP14" s="44">
        <f>AP$5*IF(Teams!$C$61=1,AP11*((1-Teams!$C$13)*MAX(0,Teams!$C$72*$C$8-Teams!$C$12)+Teams!$C$13*MAX(0,Teams!$C$73*$C$8-Teams!$C$12)),IF(Teams!$C$62=1,AP12*$C$8,0))</f>
        <v>0</v>
      </c>
      <c r="AQ14" s="44">
        <f>AQ$5*IF(Teams!$C$61=1,AQ11*((1-Teams!$C$13)*MAX(0,Teams!$C$72*$C$8-Teams!$C$12)+Teams!$C$13*MAX(0,Teams!$C$73*$C$8-Teams!$C$12)),IF(Teams!$C$62=1,AQ12*$C$8,0))</f>
        <v>0</v>
      </c>
      <c r="AR14" s="44">
        <f>AR$5*IF(Teams!$C$61=1,AR11*((1-Teams!$C$13)*MAX(0,Teams!$C$72*$C$8-Teams!$C$12)+Teams!$C$13*MAX(0,Teams!$C$73*$C$8-Teams!$C$12)),IF(Teams!$C$62=1,AR12*$C$8,0))</f>
        <v>0</v>
      </c>
      <c r="AS14" s="44">
        <f>AS$5*IF(Teams!$C$61=1,AS11*((1-Teams!$C$13)*MAX(0,Teams!$C$72*$C$8-Teams!$C$12)+Teams!$C$13*MAX(0,Teams!$C$73*$C$8-Teams!$C$12)),IF(Teams!$C$62=1,AS12*$C$8,0))</f>
        <v>0</v>
      </c>
      <c r="AT14" s="44">
        <f>AT$5*IF(Teams!$C$61=1,AT11*((1-Teams!$C$13)*MAX(0,Teams!$C$72*$C$8-Teams!$C$12)+Teams!$C$13*MAX(0,Teams!$C$73*$C$8-Teams!$C$12)),IF(Teams!$C$62=1,AT12*$C$8,0))</f>
        <v>0</v>
      </c>
      <c r="AU14" s="44">
        <f>AU$5*IF(Teams!$C$61=1,AU11*((1-Teams!$C$13)*MAX(0,Teams!$C$72*$C$8-Teams!$C$12)+Teams!$C$13*MAX(0,Teams!$C$73*$C$8-Teams!$C$12)),IF(Teams!$C$62=1,AU12*$C$8,0))</f>
        <v>0</v>
      </c>
      <c r="AV14" s="44">
        <f>AV$5*IF(Teams!$C$61=1,AV11*((1-Teams!$C$13)*MAX(0,Teams!$C$72*$C$8-Teams!$C$12)+Teams!$C$13*MAX(0,Teams!$C$73*$C$8-Teams!$C$12)),IF(Teams!$C$62=1,AV12*$C$8,0))</f>
        <v>0</v>
      </c>
      <c r="AW14" s="44">
        <f>AW$5*IF(Teams!$C$61=1,AW11*((1-Teams!$C$13)*MAX(0,Teams!$C$72*$C$8-Teams!$C$12)+Teams!$C$13*MAX(0,Teams!$C$73*$C$8-Teams!$C$12)),IF(Teams!$C$62=1,AW12*$C$8,0))</f>
        <v>0</v>
      </c>
      <c r="AX14" s="44">
        <f>AX$5*IF(Teams!$C$61=1,AX11*((1-Teams!$C$13)*MAX(0,Teams!$C$72*$C$8-Teams!$C$12)+Teams!$C$13*MAX(0,Teams!$C$73*$C$8-Teams!$C$12)),IF(Teams!$C$62=1,AX12*$C$8,0))</f>
        <v>0</v>
      </c>
      <c r="AY14" s="44">
        <f>AY$5*IF(Teams!$C$61=1,AY11*((1-Teams!$C$13)*MAX(0,Teams!$C$72*$C$8-Teams!$C$12)+Teams!$C$13*MAX(0,Teams!$C$73*$C$8-Teams!$C$12)),IF(Teams!$C$62=1,AY12*$C$8,0))</f>
        <v>0</v>
      </c>
      <c r="AZ14" s="44">
        <f>AZ$5*IF(Teams!$C$61=1,AZ11*((1-Teams!$C$13)*MAX(0,Teams!$C$72*$C$8-Teams!$C$12)+Teams!$C$13*MAX(0,Teams!$C$73*$C$8-Teams!$C$12)),IF(Teams!$C$62=1,AZ12*$C$8,0))</f>
        <v>0</v>
      </c>
      <c r="BA14" s="44">
        <f>BA$5*IF(Teams!$C$61=1,BA11*((1-Teams!$C$13)*MAX(0,Teams!$C$72*$C$8-Teams!$C$12)+Teams!$C$13*MAX(0,Teams!$C$73*$C$8-Teams!$C$12)),IF(Teams!$C$62=1,BA12*$C$8,0))</f>
        <v>0</v>
      </c>
      <c r="BB14" s="44">
        <f>BB$5*IF(Teams!$C$61=1,BB11*((1-Teams!$C$13)*MAX(0,Teams!$C$72*$C$8-Teams!$C$12)+Teams!$C$13*MAX(0,Teams!$C$73*$C$8-Teams!$C$12)),IF(Teams!$C$62=1,BB12*$C$8,0))</f>
        <v>0</v>
      </c>
      <c r="BC14" s="44">
        <f>BC$5*IF(Teams!$C$61=1,BC11*((1-Teams!$C$13)*MAX(0,Teams!$C$72*$C$8-Teams!$C$12)+Teams!$C$13*MAX(0,Teams!$C$73*$C$8-Teams!$C$12)),IF(Teams!$C$62=1,BC12*$C$8,0))</f>
        <v>0</v>
      </c>
      <c r="BD14" s="44">
        <f>BD$5*IF(Teams!$C$61=1,BD11*((1-Teams!$C$13)*MAX(0,Teams!$C$72*$C$8-Teams!$C$12)+Teams!$C$13*MAX(0,Teams!$C$73*$C$8-Teams!$C$12)),IF(Teams!$C$62=1,BD12*$C$8,0))</f>
        <v>0</v>
      </c>
      <c r="BE14" s="44">
        <f>BE$5*IF(Teams!$C$61=1,BE11*((1-Teams!$C$13)*MAX(0,Teams!$C$72*$C$8-Teams!$C$12)+Teams!$C$13*MAX(0,Teams!$C$73*$C$8-Teams!$C$12)),IF(Teams!$C$62=1,BE12*$C$8,0))</f>
        <v>0</v>
      </c>
      <c r="BF14" s="44">
        <f>BF$5*IF(Teams!$C$61=1,BF11*((1-Teams!$C$13)*MAX(0,Teams!$C$72*$C$8-Teams!$C$12)+Teams!$C$13*MAX(0,Teams!$C$73*$C$8-Teams!$C$12)),IF(Teams!$C$62=1,BF12*$C$8,0))</f>
        <v>0</v>
      </c>
      <c r="BG14" s="44">
        <f>BG$5*IF(Teams!$C$61=1,BG11*((1-Teams!$C$13)*MAX(0,Teams!$C$72*$C$8-Teams!$C$12)+Teams!$C$13*MAX(0,Teams!$C$73*$C$8-Teams!$C$12)),IF(Teams!$C$62=1,BG12*$C$8,0))</f>
        <v>0</v>
      </c>
      <c r="BH14" s="44">
        <f>BH$5*IF(Teams!$C$61=1,BH11*((1-Teams!$C$13)*MAX(0,Teams!$C$72*$C$8-Teams!$C$12)+Teams!$C$13*MAX(0,Teams!$C$73*$C$8-Teams!$C$12)),IF(Teams!$C$62=1,BH12*$C$8,0))</f>
        <v>0</v>
      </c>
      <c r="BI14" s="44">
        <f>BI$5*IF(Teams!$C$61=1,BI11*((1-Teams!$C$13)*MAX(0,Teams!$C$72*$C$8-Teams!$C$12)+Teams!$C$13*MAX(0,Teams!$C$73*$C$8-Teams!$C$12)),IF(Teams!$C$62=1,BI12*$C$8,0))</f>
        <v>0</v>
      </c>
      <c r="BJ14" s="44">
        <f>BJ$5*IF(Teams!$C$61=1,BJ11*((1-Teams!$C$13)*MAX(0,Teams!$C$72*$C$8-Teams!$C$12)+Teams!$C$13*MAX(0,Teams!$C$73*$C$8-Teams!$C$12)),IF(Teams!$C$62=1,BJ12*$C$8,0))</f>
        <v>0</v>
      </c>
      <c r="BK14" s="44">
        <f>BK$5*IF(Teams!$C$61=1,BK11*((1-Teams!$C$13)*MAX(0,Teams!$C$72*$C$8-Teams!$C$12)+Teams!$C$13*MAX(0,Teams!$C$73*$C$8-Teams!$C$12)),IF(Teams!$C$62=1,BK12*$C$8,0))</f>
        <v>0</v>
      </c>
      <c r="BL14" s="44">
        <f>BL$5*IF(Teams!$C$61=1,BL11*((1-Teams!$C$13)*MAX(0,Teams!$C$72*$C$8-Teams!$C$12)+Teams!$C$13*MAX(0,Teams!$C$73*$C$8-Teams!$C$12)),IF(Teams!$C$62=1,BL12*$C$8,0))</f>
        <v>0</v>
      </c>
    </row>
    <row r="15" spans="1:64" x14ac:dyDescent="0.3">
      <c r="A15" s="8" t="s">
        <v>667</v>
      </c>
      <c r="B15" s="18" t="s">
        <v>435</v>
      </c>
      <c r="C15" s="44">
        <f t="shared" si="2"/>
        <v>0</v>
      </c>
      <c r="E15" s="44">
        <f>E$5*Teams!$C$63*E12*Teams!$C$67</f>
        <v>0</v>
      </c>
      <c r="F15" s="44">
        <f>F$5*Teams!$C$63*F12*Teams!$C$67</f>
        <v>0</v>
      </c>
      <c r="G15" s="44">
        <f>G$5*Teams!$C$63*G12*Teams!$C$67</f>
        <v>0</v>
      </c>
      <c r="H15" s="44">
        <f>H$5*Teams!$C$63*H12*Teams!$C$67</f>
        <v>0</v>
      </c>
      <c r="I15" s="44">
        <f>I$5*Teams!$C$63*I12*Teams!$C$67</f>
        <v>0</v>
      </c>
      <c r="J15" s="44">
        <f>J$5*Teams!$C$63*J12*Teams!$C$67</f>
        <v>0</v>
      </c>
      <c r="K15" s="44">
        <f>K$5*Teams!$C$63*K12*Teams!$C$67</f>
        <v>0</v>
      </c>
      <c r="L15" s="44">
        <f>L$5*Teams!$C$63*L12*Teams!$C$67</f>
        <v>0</v>
      </c>
      <c r="M15" s="44">
        <f>M$5*Teams!$C$63*M12*Teams!$C$67</f>
        <v>0</v>
      </c>
      <c r="N15" s="44">
        <f>N$5*Teams!$C$63*N12*Teams!$C$67</f>
        <v>0</v>
      </c>
      <c r="O15" s="44">
        <f>O$5*Teams!$C$63*O12*Teams!$C$67</f>
        <v>0</v>
      </c>
      <c r="P15" s="44">
        <f>P$5*Teams!$C$63*P12*Teams!$C$67</f>
        <v>0</v>
      </c>
      <c r="Q15" s="44">
        <f>Q$5*Teams!$C$63*Q12*Teams!$C$67</f>
        <v>0</v>
      </c>
      <c r="R15" s="44">
        <f>R$5*Teams!$C$63*R12*Teams!$C$67</f>
        <v>0</v>
      </c>
      <c r="S15" s="44">
        <f>S$5*Teams!$C$63*S12*Teams!$C$67</f>
        <v>0</v>
      </c>
      <c r="T15" s="44">
        <f>T$5*Teams!$C$63*T12*Teams!$C$67</f>
        <v>0</v>
      </c>
      <c r="U15" s="44">
        <f>U$5*Teams!$C$63*U12*Teams!$C$67</f>
        <v>0</v>
      </c>
      <c r="V15" s="44">
        <f>V$5*Teams!$C$63*V12*Teams!$C$67</f>
        <v>0</v>
      </c>
      <c r="W15" s="44">
        <f>W$5*Teams!$C$63*W12*Teams!$C$67</f>
        <v>0</v>
      </c>
      <c r="X15" s="44">
        <f>X$5*Teams!$C$63*X12*Teams!$C$67</f>
        <v>0</v>
      </c>
      <c r="Y15" s="44">
        <f>Y$5*Teams!$C$63*Y12*Teams!$C$67</f>
        <v>0</v>
      </c>
      <c r="Z15" s="44">
        <f>Z$5*Teams!$C$63*Z12*Teams!$C$67</f>
        <v>0</v>
      </c>
      <c r="AA15" s="44">
        <f>AA$5*Teams!$C$63*AA12*Teams!$C$67</f>
        <v>0</v>
      </c>
      <c r="AB15" s="44">
        <f>AB$5*Teams!$C$63*AB12*Teams!$C$67</f>
        <v>0</v>
      </c>
      <c r="AC15" s="44">
        <f>AC$5*Teams!$C$63*AC12*Teams!$C$67</f>
        <v>0</v>
      </c>
      <c r="AD15" s="44">
        <f>AD$5*Teams!$C$63*AD12*Teams!$C$67</f>
        <v>0</v>
      </c>
      <c r="AE15" s="44">
        <f>AE$5*Teams!$C$63*AE12*Teams!$C$67</f>
        <v>0</v>
      </c>
      <c r="AF15" s="44">
        <f>AF$5*Teams!$C$63*AF12*Teams!$C$67</f>
        <v>0</v>
      </c>
      <c r="AG15" s="44">
        <f>AG$5*Teams!$C$63*AG12*Teams!$C$67</f>
        <v>0</v>
      </c>
      <c r="AH15" s="44">
        <f>AH$5*Teams!$C$63*AH12*Teams!$C$67</f>
        <v>0</v>
      </c>
      <c r="AI15" s="44">
        <f>AI$5*Teams!$C$63*AI12*Teams!$C$67</f>
        <v>0</v>
      </c>
      <c r="AJ15" s="44">
        <f>AJ$5*Teams!$C$63*AJ12*Teams!$C$67</f>
        <v>0</v>
      </c>
      <c r="AK15" s="44">
        <f>AK$5*Teams!$C$63*AK12*Teams!$C$67</f>
        <v>0</v>
      </c>
      <c r="AL15" s="44">
        <f>AL$5*Teams!$C$63*AL12*Teams!$C$67</f>
        <v>0</v>
      </c>
      <c r="AM15" s="44">
        <f>AM$5*Teams!$C$63*AM12*Teams!$C$67</f>
        <v>0</v>
      </c>
      <c r="AN15" s="44">
        <f>AN$5*Teams!$C$63*AN12*Teams!$C$67</f>
        <v>0</v>
      </c>
      <c r="AO15" s="44">
        <f>AO$5*Teams!$C$63*AO12*Teams!$C$67</f>
        <v>0</v>
      </c>
      <c r="AP15" s="44">
        <f>AP$5*Teams!$C$63*AP12*Teams!$C$67</f>
        <v>0</v>
      </c>
      <c r="AQ15" s="44">
        <f>AQ$5*Teams!$C$63*AQ12*Teams!$C$67</f>
        <v>0</v>
      </c>
      <c r="AR15" s="44">
        <f>AR$5*Teams!$C$63*AR12*Teams!$C$67</f>
        <v>0</v>
      </c>
      <c r="AS15" s="44">
        <f>AS$5*Teams!$C$63*AS12*Teams!$C$67</f>
        <v>0</v>
      </c>
      <c r="AT15" s="44">
        <f>AT$5*Teams!$C$63*AT12*Teams!$C$67</f>
        <v>0</v>
      </c>
      <c r="AU15" s="44">
        <f>AU$5*Teams!$C$63*AU12*Teams!$C$67</f>
        <v>0</v>
      </c>
      <c r="AV15" s="44">
        <f>AV$5*Teams!$C$63*AV12*Teams!$C$67</f>
        <v>0</v>
      </c>
      <c r="AW15" s="44">
        <f>AW$5*Teams!$C$63*AW12*Teams!$C$67</f>
        <v>0</v>
      </c>
      <c r="AX15" s="44">
        <f>AX$5*Teams!$C$63*AX12*Teams!$C$67</f>
        <v>0</v>
      </c>
      <c r="AY15" s="44">
        <f>AY$5*Teams!$C$63*AY12*Teams!$C$67</f>
        <v>0</v>
      </c>
      <c r="AZ15" s="44">
        <f>AZ$5*Teams!$C$63*AZ12*Teams!$C$67</f>
        <v>0</v>
      </c>
      <c r="BA15" s="44">
        <f>BA$5*Teams!$C$63*BA12*Teams!$C$67</f>
        <v>0</v>
      </c>
      <c r="BB15" s="44">
        <f>BB$5*Teams!$C$63*BB12*Teams!$C$67</f>
        <v>0</v>
      </c>
      <c r="BC15" s="44">
        <f>BC$5*Teams!$C$63*BC12*Teams!$C$67</f>
        <v>0</v>
      </c>
      <c r="BD15" s="44">
        <f>BD$5*Teams!$C$63*BD12*Teams!$C$67</f>
        <v>0</v>
      </c>
      <c r="BE15" s="44">
        <f>BE$5*Teams!$C$63*BE12*Teams!$C$67</f>
        <v>0</v>
      </c>
      <c r="BF15" s="44">
        <f>BF$5*Teams!$C$63*BF12*Teams!$C$67</f>
        <v>0</v>
      </c>
      <c r="BG15" s="44">
        <f>BG$5*Teams!$C$63*BG12*Teams!$C$67</f>
        <v>0</v>
      </c>
      <c r="BH15" s="44">
        <f>BH$5*Teams!$C$63*BH12*Teams!$C$67</f>
        <v>0</v>
      </c>
      <c r="BI15" s="44">
        <f>BI$5*Teams!$C$63*BI12*Teams!$C$67</f>
        <v>0</v>
      </c>
      <c r="BJ15" s="44">
        <f>BJ$5*Teams!$C$63*BJ12*Teams!$C$67</f>
        <v>0</v>
      </c>
      <c r="BK15" s="44">
        <f>BK$5*Teams!$C$63*BK12*Teams!$C$67</f>
        <v>0</v>
      </c>
      <c r="BL15" s="44">
        <f>BL$5*Teams!$C$63*BL12*Teams!$C$67</f>
        <v>0</v>
      </c>
    </row>
    <row r="16" spans="1:64" x14ac:dyDescent="0.3">
      <c r="A16" s="8" t="s">
        <v>668</v>
      </c>
      <c r="B16" s="18" t="s">
        <v>435</v>
      </c>
      <c r="C16" s="44">
        <f t="shared" si="2"/>
        <v>0</v>
      </c>
      <c r="E16" s="44">
        <f>E$5*Teams!$C$65*E12*Teams!$C$74</f>
        <v>0</v>
      </c>
      <c r="F16" s="44">
        <f>F$5*Teams!$C$65*F12*Teams!$C$74</f>
        <v>0</v>
      </c>
      <c r="G16" s="44">
        <f>G$5*Teams!$C$65*G12*Teams!$C$74</f>
        <v>0</v>
      </c>
      <c r="H16" s="44">
        <f>H$5*Teams!$C$65*H12*Teams!$C$74</f>
        <v>0</v>
      </c>
      <c r="I16" s="44">
        <f>I$5*Teams!$C$65*I12*Teams!$C$74</f>
        <v>0</v>
      </c>
      <c r="J16" s="44">
        <f>J$5*Teams!$C$65*J12*Teams!$C$74</f>
        <v>0</v>
      </c>
      <c r="K16" s="44">
        <f>K$5*Teams!$C$65*K12*Teams!$C$74</f>
        <v>0</v>
      </c>
      <c r="L16" s="44">
        <f>L$5*Teams!$C$65*L12*Teams!$C$74</f>
        <v>0</v>
      </c>
      <c r="M16" s="44">
        <f>M$5*Teams!$C$65*M12*Teams!$C$74</f>
        <v>0</v>
      </c>
      <c r="N16" s="44">
        <f>N$5*Teams!$C$65*N12*Teams!$C$74</f>
        <v>0</v>
      </c>
      <c r="O16" s="44">
        <f>O$5*Teams!$C$65*O12*Teams!$C$74</f>
        <v>0</v>
      </c>
      <c r="P16" s="44">
        <f>P$5*Teams!$C$65*P12*Teams!$C$74</f>
        <v>0</v>
      </c>
      <c r="Q16" s="44">
        <f>Q$5*Teams!$C$65*Q12*Teams!$C$74</f>
        <v>0</v>
      </c>
      <c r="R16" s="44">
        <f>R$5*Teams!$C$65*R12*Teams!$C$74</f>
        <v>0</v>
      </c>
      <c r="S16" s="44">
        <f>S$5*Teams!$C$65*S12*Teams!$C$74</f>
        <v>0</v>
      </c>
      <c r="T16" s="44">
        <f>T$5*Teams!$C$65*T12*Teams!$C$74</f>
        <v>0</v>
      </c>
      <c r="U16" s="44">
        <f>U$5*Teams!$C$65*U12*Teams!$C$74</f>
        <v>0</v>
      </c>
      <c r="V16" s="44">
        <f>V$5*Teams!$C$65*V12*Teams!$C$74</f>
        <v>0</v>
      </c>
      <c r="W16" s="44">
        <f>W$5*Teams!$C$65*W12*Teams!$C$74</f>
        <v>0</v>
      </c>
      <c r="X16" s="44">
        <f>X$5*Teams!$C$65*X12*Teams!$C$74</f>
        <v>0</v>
      </c>
      <c r="Y16" s="44">
        <f>Y$5*Teams!$C$65*Y12*Teams!$C$74</f>
        <v>0</v>
      </c>
      <c r="Z16" s="44">
        <f>Z$5*Teams!$C$65*Z12*Teams!$C$74</f>
        <v>0</v>
      </c>
      <c r="AA16" s="44">
        <f>AA$5*Teams!$C$65*AA12*Teams!$C$74</f>
        <v>0</v>
      </c>
      <c r="AB16" s="44">
        <f>AB$5*Teams!$C$65*AB12*Teams!$C$74</f>
        <v>0</v>
      </c>
      <c r="AC16" s="44">
        <f>AC$5*Teams!$C$65*AC12*Teams!$C$74</f>
        <v>0</v>
      </c>
      <c r="AD16" s="44">
        <f>AD$5*Teams!$C$65*AD12*Teams!$C$74</f>
        <v>0</v>
      </c>
      <c r="AE16" s="44">
        <f>AE$5*Teams!$C$65*AE12*Teams!$C$74</f>
        <v>0</v>
      </c>
      <c r="AF16" s="44">
        <f>AF$5*Teams!$C$65*AF12*Teams!$C$74</f>
        <v>0</v>
      </c>
      <c r="AG16" s="44">
        <f>AG$5*Teams!$C$65*AG12*Teams!$C$74</f>
        <v>0</v>
      </c>
      <c r="AH16" s="44">
        <f>AH$5*Teams!$C$65*AH12*Teams!$C$74</f>
        <v>0</v>
      </c>
      <c r="AI16" s="44">
        <f>AI$5*Teams!$C$65*AI12*Teams!$C$74</f>
        <v>0</v>
      </c>
      <c r="AJ16" s="44">
        <f>AJ$5*Teams!$C$65*AJ12*Teams!$C$74</f>
        <v>0</v>
      </c>
      <c r="AK16" s="44">
        <f>AK$5*Teams!$C$65*AK12*Teams!$C$74</f>
        <v>0</v>
      </c>
      <c r="AL16" s="44">
        <f>AL$5*Teams!$C$65*AL12*Teams!$C$74</f>
        <v>0</v>
      </c>
      <c r="AM16" s="44">
        <f>AM$5*Teams!$C$65*AM12*Teams!$C$74</f>
        <v>0</v>
      </c>
      <c r="AN16" s="44">
        <f>AN$5*Teams!$C$65*AN12*Teams!$C$74</f>
        <v>0</v>
      </c>
      <c r="AO16" s="44">
        <f>AO$5*Teams!$C$65*AO12*Teams!$C$74</f>
        <v>0</v>
      </c>
      <c r="AP16" s="44">
        <f>AP$5*Teams!$C$65*AP12*Teams!$C$74</f>
        <v>0</v>
      </c>
      <c r="AQ16" s="44">
        <f>AQ$5*Teams!$C$65*AQ12*Teams!$C$74</f>
        <v>0</v>
      </c>
      <c r="AR16" s="44">
        <f>AR$5*Teams!$C$65*AR12*Teams!$C$74</f>
        <v>0</v>
      </c>
      <c r="AS16" s="44">
        <f>AS$5*Teams!$C$65*AS12*Teams!$C$74</f>
        <v>0</v>
      </c>
      <c r="AT16" s="44">
        <f>AT$5*Teams!$C$65*AT12*Teams!$C$74</f>
        <v>0</v>
      </c>
      <c r="AU16" s="44">
        <f>AU$5*Teams!$C$65*AU12*Teams!$C$74</f>
        <v>0</v>
      </c>
      <c r="AV16" s="44">
        <f>AV$5*Teams!$C$65*AV12*Teams!$C$74</f>
        <v>0</v>
      </c>
      <c r="AW16" s="44">
        <f>AW$5*Teams!$C$65*AW12*Teams!$C$74</f>
        <v>0</v>
      </c>
      <c r="AX16" s="44">
        <f>AX$5*Teams!$C$65*AX12*Teams!$C$74</f>
        <v>0</v>
      </c>
      <c r="AY16" s="44">
        <f>AY$5*Teams!$C$65*AY12*Teams!$C$74</f>
        <v>0</v>
      </c>
      <c r="AZ16" s="44">
        <f>AZ$5*Teams!$C$65*AZ12*Teams!$C$74</f>
        <v>0</v>
      </c>
      <c r="BA16" s="44">
        <f>BA$5*Teams!$C$65*BA12*Teams!$C$74</f>
        <v>0</v>
      </c>
      <c r="BB16" s="44">
        <f>BB$5*Teams!$C$65*BB12*Teams!$C$74</f>
        <v>0</v>
      </c>
      <c r="BC16" s="44">
        <f>BC$5*Teams!$C$65*BC12*Teams!$C$74</f>
        <v>0</v>
      </c>
      <c r="BD16" s="44">
        <f>BD$5*Teams!$C$65*BD12*Teams!$C$74</f>
        <v>0</v>
      </c>
      <c r="BE16" s="44">
        <f>BE$5*Teams!$C$65*BE12*Teams!$C$74</f>
        <v>0</v>
      </c>
      <c r="BF16" s="44">
        <f>BF$5*Teams!$C$65*BF12*Teams!$C$74</f>
        <v>0</v>
      </c>
      <c r="BG16" s="44">
        <f>BG$5*Teams!$C$65*BG12*Teams!$C$74</f>
        <v>0</v>
      </c>
      <c r="BH16" s="44">
        <f>BH$5*Teams!$C$65*BH12*Teams!$C$74</f>
        <v>0</v>
      </c>
      <c r="BI16" s="44">
        <f>BI$5*Teams!$C$65*BI12*Teams!$C$74</f>
        <v>0</v>
      </c>
      <c r="BJ16" s="44">
        <f>BJ$5*Teams!$C$65*BJ12*Teams!$C$74</f>
        <v>0</v>
      </c>
      <c r="BK16" s="44">
        <f>BK$5*Teams!$C$65*BK12*Teams!$C$74</f>
        <v>0</v>
      </c>
      <c r="BL16" s="44">
        <f>BL$5*Teams!$C$65*BL12*Teams!$C$74</f>
        <v>0</v>
      </c>
    </row>
    <row r="17" spans="1:64" x14ac:dyDescent="0.3">
      <c r="A17" s="8" t="s">
        <v>669</v>
      </c>
      <c r="B17" s="18" t="s">
        <v>505</v>
      </c>
      <c r="C17" s="44">
        <f t="shared" si="2"/>
        <v>0</v>
      </c>
      <c r="E17" s="44">
        <f>E$5*Teams!$C$64*Teams!$C$16*IF(E$4&gt;=Teams!$C$80,1,0)</f>
        <v>0</v>
      </c>
      <c r="F17" s="44">
        <f>F$5*Teams!$C$64*Teams!$C$16*IF(F$4&gt;=Teams!$C$80,1,0)</f>
        <v>0</v>
      </c>
      <c r="G17" s="44">
        <f>G$5*Teams!$C$64*Teams!$C$16*IF(G$4&gt;=Teams!$C$80,1,0)</f>
        <v>0</v>
      </c>
      <c r="H17" s="44">
        <f>H$5*Teams!$C$64*Teams!$C$16*IF(H$4&gt;=Teams!$C$80,1,0)</f>
        <v>0</v>
      </c>
      <c r="I17" s="44">
        <f>I$5*Teams!$C$64*Teams!$C$16*IF(I$4&gt;=Teams!$C$80,1,0)</f>
        <v>0</v>
      </c>
      <c r="J17" s="44">
        <f>J$5*Teams!$C$64*Teams!$C$16*IF(J$4&gt;=Teams!$C$80,1,0)</f>
        <v>0</v>
      </c>
      <c r="K17" s="44">
        <f>K$5*Teams!$C$64*Teams!$C$16*IF(K$4&gt;=Teams!$C$80,1,0)</f>
        <v>0</v>
      </c>
      <c r="L17" s="44">
        <f>L$5*Teams!$C$64*Teams!$C$16*IF(L$4&gt;=Teams!$C$80,1,0)</f>
        <v>0</v>
      </c>
      <c r="M17" s="44">
        <f>M$5*Teams!$C$64*Teams!$C$16*IF(M$4&gt;=Teams!$C$80,1,0)</f>
        <v>0</v>
      </c>
      <c r="N17" s="44">
        <f>N$5*Teams!$C$64*Teams!$C$16*IF(N$4&gt;=Teams!$C$80,1,0)</f>
        <v>0</v>
      </c>
      <c r="O17" s="44">
        <f>O$5*Teams!$C$64*Teams!$C$16*IF(O$4&gt;=Teams!$C$80,1,0)</f>
        <v>0</v>
      </c>
      <c r="P17" s="44">
        <f>P$5*Teams!$C$64*Teams!$C$16*IF(P$4&gt;=Teams!$C$80,1,0)</f>
        <v>0</v>
      </c>
      <c r="Q17" s="44">
        <f>Q$5*Teams!$C$64*Teams!$C$16*IF(Q$4&gt;=Teams!$C$80,1,0)</f>
        <v>0</v>
      </c>
      <c r="R17" s="44">
        <f>R$5*Teams!$C$64*Teams!$C$16*IF(R$4&gt;=Teams!$C$80,1,0)</f>
        <v>0</v>
      </c>
      <c r="S17" s="44">
        <f>S$5*Teams!$C$64*Teams!$C$16*IF(S$4&gt;=Teams!$C$80,1,0)</f>
        <v>0</v>
      </c>
      <c r="T17" s="44">
        <f>T$5*Teams!$C$64*Teams!$C$16*IF(T$4&gt;=Teams!$C$80,1,0)</f>
        <v>0</v>
      </c>
      <c r="U17" s="44">
        <f>U$5*Teams!$C$64*Teams!$C$16*IF(U$4&gt;=Teams!$C$80,1,0)</f>
        <v>0</v>
      </c>
      <c r="V17" s="44">
        <f>V$5*Teams!$C$64*Teams!$C$16*IF(V$4&gt;=Teams!$C$80,1,0)</f>
        <v>0</v>
      </c>
      <c r="W17" s="44">
        <f>W$5*Teams!$C$64*Teams!$C$16*IF(W$4&gt;=Teams!$C$80,1,0)</f>
        <v>0</v>
      </c>
      <c r="X17" s="44">
        <f>X$5*Teams!$C$64*Teams!$C$16*IF(X$4&gt;=Teams!$C$80,1,0)</f>
        <v>0</v>
      </c>
      <c r="Y17" s="44">
        <f>Y$5*Teams!$C$64*Teams!$C$16*IF(Y$4&gt;=Teams!$C$80,1,0)</f>
        <v>0</v>
      </c>
      <c r="Z17" s="44">
        <f>Z$5*Teams!$C$64*Teams!$C$16*IF(Z$4&gt;=Teams!$C$80,1,0)</f>
        <v>0</v>
      </c>
      <c r="AA17" s="44">
        <f>AA$5*Teams!$C$64*Teams!$C$16*IF(AA$4&gt;=Teams!$C$80,1,0)</f>
        <v>0</v>
      </c>
      <c r="AB17" s="44">
        <f>AB$5*Teams!$C$64*Teams!$C$16*IF(AB$4&gt;=Teams!$C$80,1,0)</f>
        <v>0</v>
      </c>
      <c r="AC17" s="44">
        <f>AC$5*Teams!$C$64*Teams!$C$16*IF(AC$4&gt;=Teams!$C$80,1,0)</f>
        <v>0</v>
      </c>
      <c r="AD17" s="44">
        <f>AD$5*Teams!$C$64*Teams!$C$16*IF(AD$4&gt;=Teams!$C$80,1,0)</f>
        <v>0</v>
      </c>
      <c r="AE17" s="44">
        <f>AE$5*Teams!$C$64*Teams!$C$16*IF(AE$4&gt;=Teams!$C$80,1,0)</f>
        <v>0</v>
      </c>
      <c r="AF17" s="44">
        <f>AF$5*Teams!$C$64*Teams!$C$16*IF(AF$4&gt;=Teams!$C$80,1,0)</f>
        <v>0</v>
      </c>
      <c r="AG17" s="44">
        <f>AG$5*Teams!$C$64*Teams!$C$16*IF(AG$4&gt;=Teams!$C$80,1,0)</f>
        <v>0</v>
      </c>
      <c r="AH17" s="44">
        <f>AH$5*Teams!$C$64*Teams!$C$16*IF(AH$4&gt;=Teams!$C$80,1,0)</f>
        <v>0</v>
      </c>
      <c r="AI17" s="44">
        <f>AI$5*Teams!$C$64*Teams!$C$16*IF(AI$4&gt;=Teams!$C$80,1,0)</f>
        <v>0</v>
      </c>
      <c r="AJ17" s="44">
        <f>AJ$5*Teams!$C$64*Teams!$C$16*IF(AJ$4&gt;=Teams!$C$80,1,0)</f>
        <v>0</v>
      </c>
      <c r="AK17" s="44">
        <f>AK$5*Teams!$C$64*Teams!$C$16*IF(AK$4&gt;=Teams!$C$80,1,0)</f>
        <v>0</v>
      </c>
      <c r="AL17" s="44">
        <f>AL$5*Teams!$C$64*Teams!$C$16*IF(AL$4&gt;=Teams!$C$80,1,0)</f>
        <v>0</v>
      </c>
      <c r="AM17" s="44">
        <f>AM$5*Teams!$C$64*Teams!$C$16*IF(AM$4&gt;=Teams!$C$80,1,0)</f>
        <v>0</v>
      </c>
      <c r="AN17" s="44">
        <f>AN$5*Teams!$C$64*Teams!$C$16*IF(AN$4&gt;=Teams!$C$80,1,0)</f>
        <v>0</v>
      </c>
      <c r="AO17" s="44">
        <f>AO$5*Teams!$C$64*Teams!$C$16*IF(AO$4&gt;=Teams!$C$80,1,0)</f>
        <v>0</v>
      </c>
      <c r="AP17" s="44">
        <f>AP$5*Teams!$C$64*Teams!$C$16*IF(AP$4&gt;=Teams!$C$80,1,0)</f>
        <v>0</v>
      </c>
      <c r="AQ17" s="44">
        <f>AQ$5*Teams!$C$64*Teams!$C$16*IF(AQ$4&gt;=Teams!$C$80,1,0)</f>
        <v>0</v>
      </c>
      <c r="AR17" s="44">
        <f>AR$5*Teams!$C$64*Teams!$C$16*IF(AR$4&gt;=Teams!$C$80,1,0)</f>
        <v>0</v>
      </c>
      <c r="AS17" s="44">
        <f>AS$5*Teams!$C$64*Teams!$C$16*IF(AS$4&gt;=Teams!$C$80,1,0)</f>
        <v>0</v>
      </c>
      <c r="AT17" s="44">
        <f>AT$5*Teams!$C$64*Teams!$C$16*IF(AT$4&gt;=Teams!$C$80,1,0)</f>
        <v>0</v>
      </c>
      <c r="AU17" s="44">
        <f>AU$5*Teams!$C$64*Teams!$C$16*IF(AU$4&gt;=Teams!$C$80,1,0)</f>
        <v>0</v>
      </c>
      <c r="AV17" s="44">
        <f>AV$5*Teams!$C$64*Teams!$C$16*IF(AV$4&gt;=Teams!$C$80,1,0)</f>
        <v>0</v>
      </c>
      <c r="AW17" s="44">
        <f>AW$5*Teams!$C$64*Teams!$C$16*IF(AW$4&gt;=Teams!$C$80,1,0)</f>
        <v>0</v>
      </c>
      <c r="AX17" s="44">
        <f>AX$5*Teams!$C$64*Teams!$C$16*IF(AX$4&gt;=Teams!$C$80,1,0)</f>
        <v>0</v>
      </c>
      <c r="AY17" s="44">
        <f>AY$5*Teams!$C$64*Teams!$C$16*IF(AY$4&gt;=Teams!$C$80,1,0)</f>
        <v>0</v>
      </c>
      <c r="AZ17" s="44">
        <f>AZ$5*Teams!$C$64*Teams!$C$16*IF(AZ$4&gt;=Teams!$C$80,1,0)</f>
        <v>0</v>
      </c>
      <c r="BA17" s="44">
        <f>BA$5*Teams!$C$64*Teams!$C$16*IF(BA$4&gt;=Teams!$C$80,1,0)</f>
        <v>0</v>
      </c>
      <c r="BB17" s="44">
        <f>BB$5*Teams!$C$64*Teams!$C$16*IF(BB$4&gt;=Teams!$C$80,1,0)</f>
        <v>0</v>
      </c>
      <c r="BC17" s="44">
        <f>BC$5*Teams!$C$64*Teams!$C$16*IF(BC$4&gt;=Teams!$C$80,1,0)</f>
        <v>0</v>
      </c>
      <c r="BD17" s="44">
        <f>BD$5*Teams!$C$64*Teams!$C$16*IF(BD$4&gt;=Teams!$C$80,1,0)</f>
        <v>0</v>
      </c>
      <c r="BE17" s="44">
        <f>BE$5*Teams!$C$64*Teams!$C$16*IF(BE$4&gt;=Teams!$C$80,1,0)</f>
        <v>0</v>
      </c>
      <c r="BF17" s="44">
        <f>BF$5*Teams!$C$64*Teams!$C$16*IF(BF$4&gt;=Teams!$C$80,1,0)</f>
        <v>0</v>
      </c>
      <c r="BG17" s="44">
        <f>BG$5*Teams!$C$64*Teams!$C$16*IF(BG$4&gt;=Teams!$C$80,1,0)</f>
        <v>0</v>
      </c>
      <c r="BH17" s="44">
        <f>BH$5*Teams!$C$64*Teams!$C$16*IF(BH$4&gt;=Teams!$C$80,1,0)</f>
        <v>0</v>
      </c>
      <c r="BI17" s="44">
        <f>BI$5*Teams!$C$64*Teams!$C$16*IF(BI$4&gt;=Teams!$C$80,1,0)</f>
        <v>0</v>
      </c>
      <c r="BJ17" s="44">
        <f>BJ$5*Teams!$C$64*Teams!$C$16*IF(BJ$4&gt;=Teams!$C$80,1,0)</f>
        <v>0</v>
      </c>
      <c r="BK17" s="44">
        <f>BK$5*Teams!$C$64*Teams!$C$16*IF(BK$4&gt;=Teams!$C$80,1,0)</f>
        <v>0</v>
      </c>
      <c r="BL17" s="44">
        <f>BL$5*Teams!$C$64*Teams!$C$16*IF(BL$4&gt;=Teams!$C$80,1,0)</f>
        <v>0</v>
      </c>
    </row>
    <row r="18" spans="1:64" x14ac:dyDescent="0.3">
      <c r="A18" s="8" t="s">
        <v>670</v>
      </c>
      <c r="B18" s="18" t="s">
        <v>435</v>
      </c>
      <c r="C18" s="44">
        <f t="shared" si="2"/>
        <v>2721.4559999999983</v>
      </c>
      <c r="E18" s="44">
        <f>E$5*IF(AND(E$4&gt;=Teams!$C$80,Teams!$C$49=1),Teams!$C$44*Params!$F$10*Teams!$C$45*Teams!$C$75+Teams!$C$44*Params!$F$10*Teams!$C$47*Teams!$C$76/1000000+Teams!$C$77+Teams!$C$50*Teams!$C$78+E12*Teams!$C$51*Teams!$C$79/1000000,0)</f>
        <v>72.635999999999996</v>
      </c>
      <c r="F18" s="44">
        <f>F$5*IF(AND(F$4&gt;=Teams!$C$80,Teams!$C$49=1),Teams!$C$44*Params!$F$10*Teams!$C$45*Teams!$C$75+Teams!$C$44*Params!$F$10*Teams!$C$47*Teams!$C$76/1000000+Teams!$C$77+Teams!$C$50*Teams!$C$78+F12*Teams!$C$51*Teams!$C$79/1000000,0)</f>
        <v>73.275999999999996</v>
      </c>
      <c r="G18" s="44">
        <f>G$5*IF(AND(G$4&gt;=Teams!$C$80,Teams!$C$49=1),Teams!$C$44*Params!$F$10*Teams!$C$45*Teams!$C$75+Teams!$C$44*Params!$F$10*Teams!$C$47*Teams!$C$76/1000000+Teams!$C$77+Teams!$C$50*Teams!$C$78+G12*Teams!$C$51*Teams!$C$79/1000000,0)</f>
        <v>74.10799999999999</v>
      </c>
      <c r="H18" s="44">
        <f>H$5*IF(AND(H$4&gt;=Teams!$C$80,Teams!$C$49=1),Teams!$C$44*Params!$F$10*Teams!$C$45*Teams!$C$75+Teams!$C$44*Params!$F$10*Teams!$C$47*Teams!$C$76/1000000+Teams!$C$77+Teams!$C$50*Teams!$C$78+H12*Teams!$C$51*Teams!$C$79/1000000,0)</f>
        <v>74.94</v>
      </c>
      <c r="I18" s="44">
        <f>I$5*IF(AND(I$4&gt;=Teams!$C$80,Teams!$C$49=1),Teams!$C$44*Params!$F$10*Teams!$C$45*Teams!$C$75+Teams!$C$44*Params!$F$10*Teams!$C$47*Teams!$C$76/1000000+Teams!$C$77+Teams!$C$50*Teams!$C$78+I12*Teams!$C$51*Teams!$C$79/1000000,0)</f>
        <v>75.58</v>
      </c>
      <c r="J18" s="44">
        <f>J$5*IF(AND(J$4&gt;=Teams!$C$80,Teams!$C$49=1),Teams!$C$44*Params!$F$10*Teams!$C$45*Teams!$C$75+Teams!$C$44*Params!$F$10*Teams!$C$47*Teams!$C$76/1000000+Teams!$C$77+Teams!$C$50*Teams!$C$78+J12*Teams!$C$51*Teams!$C$79/1000000,0)</f>
        <v>75.835999999999999</v>
      </c>
      <c r="K18" s="44">
        <f>K$5*IF(AND(K$4&gt;=Teams!$C$80,Teams!$C$49=1),Teams!$C$44*Params!$F$10*Teams!$C$45*Teams!$C$75+Teams!$C$44*Params!$F$10*Teams!$C$47*Teams!$C$76/1000000+Teams!$C$77+Teams!$C$50*Teams!$C$78+K12*Teams!$C$51*Teams!$C$79/1000000,0)</f>
        <v>75.835999999999999</v>
      </c>
      <c r="L18" s="44">
        <f>L$5*IF(AND(L$4&gt;=Teams!$C$80,Teams!$C$49=1),Teams!$C$44*Params!$F$10*Teams!$C$45*Teams!$C$75+Teams!$C$44*Params!$F$10*Teams!$C$47*Teams!$C$76/1000000+Teams!$C$77+Teams!$C$50*Teams!$C$78+L12*Teams!$C$51*Teams!$C$79/1000000,0)</f>
        <v>75.835999999999999</v>
      </c>
      <c r="M18" s="44">
        <f>M$5*IF(AND(M$4&gt;=Teams!$C$80,Teams!$C$49=1),Teams!$C$44*Params!$F$10*Teams!$C$45*Teams!$C$75+Teams!$C$44*Params!$F$10*Teams!$C$47*Teams!$C$76/1000000+Teams!$C$77+Teams!$C$50*Teams!$C$78+M12*Teams!$C$51*Teams!$C$79/1000000,0)</f>
        <v>75.835999999999999</v>
      </c>
      <c r="N18" s="44">
        <f>N$5*IF(AND(N$4&gt;=Teams!$C$80,Teams!$C$49=1),Teams!$C$44*Params!$F$10*Teams!$C$45*Teams!$C$75+Teams!$C$44*Params!$F$10*Teams!$C$47*Teams!$C$76/1000000+Teams!$C$77+Teams!$C$50*Teams!$C$78+N12*Teams!$C$51*Teams!$C$79/1000000,0)</f>
        <v>75.835999999999999</v>
      </c>
      <c r="O18" s="44">
        <f>O$5*IF(AND(O$4&gt;=Teams!$C$80,Teams!$C$49=1),Teams!$C$44*Params!$F$10*Teams!$C$45*Teams!$C$75+Teams!$C$44*Params!$F$10*Teams!$C$47*Teams!$C$76/1000000+Teams!$C$77+Teams!$C$50*Teams!$C$78+O12*Teams!$C$51*Teams!$C$79/1000000,0)</f>
        <v>75.835999999999999</v>
      </c>
      <c r="P18" s="44">
        <f>P$5*IF(AND(P$4&gt;=Teams!$C$80,Teams!$C$49=1),Teams!$C$44*Params!$F$10*Teams!$C$45*Teams!$C$75+Teams!$C$44*Params!$F$10*Teams!$C$47*Teams!$C$76/1000000+Teams!$C$77+Teams!$C$50*Teams!$C$78+P12*Teams!$C$51*Teams!$C$79/1000000,0)</f>
        <v>75.835999999999999</v>
      </c>
      <c r="Q18" s="44">
        <f>Q$5*IF(AND(Q$4&gt;=Teams!$C$80,Teams!$C$49=1),Teams!$C$44*Params!$F$10*Teams!$C$45*Teams!$C$75+Teams!$C$44*Params!$F$10*Teams!$C$47*Teams!$C$76/1000000+Teams!$C$77+Teams!$C$50*Teams!$C$78+Q12*Teams!$C$51*Teams!$C$79/1000000,0)</f>
        <v>75.835999999999999</v>
      </c>
      <c r="R18" s="44">
        <f>R$5*IF(AND(R$4&gt;=Teams!$C$80,Teams!$C$49=1),Teams!$C$44*Params!$F$10*Teams!$C$45*Teams!$C$75+Teams!$C$44*Params!$F$10*Teams!$C$47*Teams!$C$76/1000000+Teams!$C$77+Teams!$C$50*Teams!$C$78+R12*Teams!$C$51*Teams!$C$79/1000000,0)</f>
        <v>75.835999999999999</v>
      </c>
      <c r="S18" s="44">
        <f>S$5*IF(AND(S$4&gt;=Teams!$C$80,Teams!$C$49=1),Teams!$C$44*Params!$F$10*Teams!$C$45*Teams!$C$75+Teams!$C$44*Params!$F$10*Teams!$C$47*Teams!$C$76/1000000+Teams!$C$77+Teams!$C$50*Teams!$C$78+S12*Teams!$C$51*Teams!$C$79/1000000,0)</f>
        <v>75.835999999999999</v>
      </c>
      <c r="T18" s="44">
        <f>T$5*IF(AND(T$4&gt;=Teams!$C$80,Teams!$C$49=1),Teams!$C$44*Params!$F$10*Teams!$C$45*Teams!$C$75+Teams!$C$44*Params!$F$10*Teams!$C$47*Teams!$C$76/1000000+Teams!$C$77+Teams!$C$50*Teams!$C$78+T12*Teams!$C$51*Teams!$C$79/1000000,0)</f>
        <v>75.835999999999999</v>
      </c>
      <c r="U18" s="44">
        <f>U$5*IF(AND(U$4&gt;=Teams!$C$80,Teams!$C$49=1),Teams!$C$44*Params!$F$10*Teams!$C$45*Teams!$C$75+Teams!$C$44*Params!$F$10*Teams!$C$47*Teams!$C$76/1000000+Teams!$C$77+Teams!$C$50*Teams!$C$78+U12*Teams!$C$51*Teams!$C$79/1000000,0)</f>
        <v>75.835999999999999</v>
      </c>
      <c r="V18" s="44">
        <f>V$5*IF(AND(V$4&gt;=Teams!$C$80,Teams!$C$49=1),Teams!$C$44*Params!$F$10*Teams!$C$45*Teams!$C$75+Teams!$C$44*Params!$F$10*Teams!$C$47*Teams!$C$76/1000000+Teams!$C$77+Teams!$C$50*Teams!$C$78+V12*Teams!$C$51*Teams!$C$79/1000000,0)</f>
        <v>75.835999999999999</v>
      </c>
      <c r="W18" s="44">
        <f>W$5*IF(AND(W$4&gt;=Teams!$C$80,Teams!$C$49=1),Teams!$C$44*Params!$F$10*Teams!$C$45*Teams!$C$75+Teams!$C$44*Params!$F$10*Teams!$C$47*Teams!$C$76/1000000+Teams!$C$77+Teams!$C$50*Teams!$C$78+W12*Teams!$C$51*Teams!$C$79/1000000,0)</f>
        <v>75.835999999999999</v>
      </c>
      <c r="X18" s="44">
        <f>X$5*IF(AND(X$4&gt;=Teams!$C$80,Teams!$C$49=1),Teams!$C$44*Params!$F$10*Teams!$C$45*Teams!$C$75+Teams!$C$44*Params!$F$10*Teams!$C$47*Teams!$C$76/1000000+Teams!$C$77+Teams!$C$50*Teams!$C$78+X12*Teams!$C$51*Teams!$C$79/1000000,0)</f>
        <v>75.835999999999999</v>
      </c>
      <c r="Y18" s="44">
        <f>Y$5*IF(AND(Y$4&gt;=Teams!$C$80,Teams!$C$49=1),Teams!$C$44*Params!$F$10*Teams!$C$45*Teams!$C$75+Teams!$C$44*Params!$F$10*Teams!$C$47*Teams!$C$76/1000000+Teams!$C$77+Teams!$C$50*Teams!$C$78+Y12*Teams!$C$51*Teams!$C$79/1000000,0)</f>
        <v>75.835999999999999</v>
      </c>
      <c r="Z18" s="44">
        <f>Z$5*IF(AND(Z$4&gt;=Teams!$C$80,Teams!$C$49=1),Teams!$C$44*Params!$F$10*Teams!$C$45*Teams!$C$75+Teams!$C$44*Params!$F$10*Teams!$C$47*Teams!$C$76/1000000+Teams!$C$77+Teams!$C$50*Teams!$C$78+Z12*Teams!$C$51*Teams!$C$79/1000000,0)</f>
        <v>75.835999999999999</v>
      </c>
      <c r="AA18" s="44">
        <f>AA$5*IF(AND(AA$4&gt;=Teams!$C$80,Teams!$C$49=1),Teams!$C$44*Params!$F$10*Teams!$C$45*Teams!$C$75+Teams!$C$44*Params!$F$10*Teams!$C$47*Teams!$C$76/1000000+Teams!$C$77+Teams!$C$50*Teams!$C$78+AA12*Teams!$C$51*Teams!$C$79/1000000,0)</f>
        <v>75.835999999999999</v>
      </c>
      <c r="AB18" s="44">
        <f>AB$5*IF(AND(AB$4&gt;=Teams!$C$80,Teams!$C$49=1),Teams!$C$44*Params!$F$10*Teams!$C$45*Teams!$C$75+Teams!$C$44*Params!$F$10*Teams!$C$47*Teams!$C$76/1000000+Teams!$C$77+Teams!$C$50*Teams!$C$78+AB12*Teams!$C$51*Teams!$C$79/1000000,0)</f>
        <v>75.835999999999999</v>
      </c>
      <c r="AC18" s="44">
        <f>AC$5*IF(AND(AC$4&gt;=Teams!$C$80,Teams!$C$49=1),Teams!$C$44*Params!$F$10*Teams!$C$45*Teams!$C$75+Teams!$C$44*Params!$F$10*Teams!$C$47*Teams!$C$76/1000000+Teams!$C$77+Teams!$C$50*Teams!$C$78+AC12*Teams!$C$51*Teams!$C$79/1000000,0)</f>
        <v>75.835999999999999</v>
      </c>
      <c r="AD18" s="44">
        <f>AD$5*IF(AND(AD$4&gt;=Teams!$C$80,Teams!$C$49=1),Teams!$C$44*Params!$F$10*Teams!$C$45*Teams!$C$75+Teams!$C$44*Params!$F$10*Teams!$C$47*Teams!$C$76/1000000+Teams!$C$77+Teams!$C$50*Teams!$C$78+AD12*Teams!$C$51*Teams!$C$79/1000000,0)</f>
        <v>75.835999999999999</v>
      </c>
      <c r="AE18" s="44">
        <f>AE$5*IF(AND(AE$4&gt;=Teams!$C$80,Teams!$C$49=1),Teams!$C$44*Params!$F$10*Teams!$C$45*Teams!$C$75+Teams!$C$44*Params!$F$10*Teams!$C$47*Teams!$C$76/1000000+Teams!$C$77+Teams!$C$50*Teams!$C$78+AE12*Teams!$C$51*Teams!$C$79/1000000,0)</f>
        <v>75.835999999999999</v>
      </c>
      <c r="AF18" s="44">
        <f>AF$5*IF(AND(AF$4&gt;=Teams!$C$80,Teams!$C$49=1),Teams!$C$44*Params!$F$10*Teams!$C$45*Teams!$C$75+Teams!$C$44*Params!$F$10*Teams!$C$47*Teams!$C$76/1000000+Teams!$C$77+Teams!$C$50*Teams!$C$78+AF12*Teams!$C$51*Teams!$C$79/1000000,0)</f>
        <v>75.835999999999999</v>
      </c>
      <c r="AG18" s="44">
        <f>AG$5*IF(AND(AG$4&gt;=Teams!$C$80,Teams!$C$49=1),Teams!$C$44*Params!$F$10*Teams!$C$45*Teams!$C$75+Teams!$C$44*Params!$F$10*Teams!$C$47*Teams!$C$76/1000000+Teams!$C$77+Teams!$C$50*Teams!$C$78+AG12*Teams!$C$51*Teams!$C$79/1000000,0)</f>
        <v>75.835999999999999</v>
      </c>
      <c r="AH18" s="44">
        <f>AH$5*IF(AND(AH$4&gt;=Teams!$C$80,Teams!$C$49=1),Teams!$C$44*Params!$F$10*Teams!$C$45*Teams!$C$75+Teams!$C$44*Params!$F$10*Teams!$C$47*Teams!$C$76/1000000+Teams!$C$77+Teams!$C$50*Teams!$C$78+AH12*Teams!$C$51*Teams!$C$79/1000000,0)</f>
        <v>75.835999999999999</v>
      </c>
      <c r="AI18" s="44">
        <f>AI$5*IF(AND(AI$4&gt;=Teams!$C$80,Teams!$C$49=1),Teams!$C$44*Params!$F$10*Teams!$C$45*Teams!$C$75+Teams!$C$44*Params!$F$10*Teams!$C$47*Teams!$C$76/1000000+Teams!$C$77+Teams!$C$50*Teams!$C$78+AI12*Teams!$C$51*Teams!$C$79/1000000,0)</f>
        <v>75.835999999999999</v>
      </c>
      <c r="AJ18" s="44">
        <f>AJ$5*IF(AND(AJ$4&gt;=Teams!$C$80,Teams!$C$49=1),Teams!$C$44*Params!$F$10*Teams!$C$45*Teams!$C$75+Teams!$C$44*Params!$F$10*Teams!$C$47*Teams!$C$76/1000000+Teams!$C$77+Teams!$C$50*Teams!$C$78+AJ12*Teams!$C$51*Teams!$C$79/1000000,0)</f>
        <v>75.835999999999999</v>
      </c>
      <c r="AK18" s="44">
        <f>AK$5*IF(AND(AK$4&gt;=Teams!$C$80,Teams!$C$49=1),Teams!$C$44*Params!$F$10*Teams!$C$45*Teams!$C$75+Teams!$C$44*Params!$F$10*Teams!$C$47*Teams!$C$76/1000000+Teams!$C$77+Teams!$C$50*Teams!$C$78+AK12*Teams!$C$51*Teams!$C$79/1000000,0)</f>
        <v>75.835999999999999</v>
      </c>
      <c r="AL18" s="44">
        <f>AL$5*IF(AND(AL$4&gt;=Teams!$C$80,Teams!$C$49=1),Teams!$C$44*Params!$F$10*Teams!$C$45*Teams!$C$75+Teams!$C$44*Params!$F$10*Teams!$C$47*Teams!$C$76/1000000+Teams!$C$77+Teams!$C$50*Teams!$C$78+AL12*Teams!$C$51*Teams!$C$79/1000000,0)</f>
        <v>75.835999999999999</v>
      </c>
      <c r="AM18" s="44">
        <f>AM$5*IF(AND(AM$4&gt;=Teams!$C$80,Teams!$C$49=1),Teams!$C$44*Params!$F$10*Teams!$C$45*Teams!$C$75+Teams!$C$44*Params!$F$10*Teams!$C$47*Teams!$C$76/1000000+Teams!$C$77+Teams!$C$50*Teams!$C$78+AM12*Teams!$C$51*Teams!$C$79/1000000,0)</f>
        <v>75.835999999999999</v>
      </c>
      <c r="AN18" s="44">
        <f>AN$5*IF(AND(AN$4&gt;=Teams!$C$80,Teams!$C$49=1),Teams!$C$44*Params!$F$10*Teams!$C$45*Teams!$C$75+Teams!$C$44*Params!$F$10*Teams!$C$47*Teams!$C$76/1000000+Teams!$C$77+Teams!$C$50*Teams!$C$78+AN12*Teams!$C$51*Teams!$C$79/1000000,0)</f>
        <v>75.835999999999999</v>
      </c>
      <c r="AO18" s="44">
        <f>AO$5*IF(AND(AO$4&gt;=Teams!$C$80,Teams!$C$49=1),Teams!$C$44*Params!$F$10*Teams!$C$45*Teams!$C$75+Teams!$C$44*Params!$F$10*Teams!$C$47*Teams!$C$76/1000000+Teams!$C$77+Teams!$C$50*Teams!$C$78+AO12*Teams!$C$51*Teams!$C$79/1000000,0)</f>
        <v>0</v>
      </c>
      <c r="AP18" s="44">
        <f>AP$5*IF(AND(AP$4&gt;=Teams!$C$80,Teams!$C$49=1),Teams!$C$44*Params!$F$10*Teams!$C$45*Teams!$C$75+Teams!$C$44*Params!$F$10*Teams!$C$47*Teams!$C$76/1000000+Teams!$C$77+Teams!$C$50*Teams!$C$78+AP12*Teams!$C$51*Teams!$C$79/1000000,0)</f>
        <v>0</v>
      </c>
      <c r="AQ18" s="44">
        <f>AQ$5*IF(AND(AQ$4&gt;=Teams!$C$80,Teams!$C$49=1),Teams!$C$44*Params!$F$10*Teams!$C$45*Teams!$C$75+Teams!$C$44*Params!$F$10*Teams!$C$47*Teams!$C$76/1000000+Teams!$C$77+Teams!$C$50*Teams!$C$78+AQ12*Teams!$C$51*Teams!$C$79/1000000,0)</f>
        <v>0</v>
      </c>
      <c r="AR18" s="44">
        <f>AR$5*IF(AND(AR$4&gt;=Teams!$C$80,Teams!$C$49=1),Teams!$C$44*Params!$F$10*Teams!$C$45*Teams!$C$75+Teams!$C$44*Params!$F$10*Teams!$C$47*Teams!$C$76/1000000+Teams!$C$77+Teams!$C$50*Teams!$C$78+AR12*Teams!$C$51*Teams!$C$79/1000000,0)</f>
        <v>0</v>
      </c>
      <c r="AS18" s="44">
        <f>AS$5*IF(AND(AS$4&gt;=Teams!$C$80,Teams!$C$49=1),Teams!$C$44*Params!$F$10*Teams!$C$45*Teams!$C$75+Teams!$C$44*Params!$F$10*Teams!$C$47*Teams!$C$76/1000000+Teams!$C$77+Teams!$C$50*Teams!$C$78+AS12*Teams!$C$51*Teams!$C$79/1000000,0)</f>
        <v>0</v>
      </c>
      <c r="AT18" s="44">
        <f>AT$5*IF(AND(AT$4&gt;=Teams!$C$80,Teams!$C$49=1),Teams!$C$44*Params!$F$10*Teams!$C$45*Teams!$C$75+Teams!$C$44*Params!$F$10*Teams!$C$47*Teams!$C$76/1000000+Teams!$C$77+Teams!$C$50*Teams!$C$78+AT12*Teams!$C$51*Teams!$C$79/1000000,0)</f>
        <v>0</v>
      </c>
      <c r="AU18" s="44">
        <f>AU$5*IF(AND(AU$4&gt;=Teams!$C$80,Teams!$C$49=1),Teams!$C$44*Params!$F$10*Teams!$C$45*Teams!$C$75+Teams!$C$44*Params!$F$10*Teams!$C$47*Teams!$C$76/1000000+Teams!$C$77+Teams!$C$50*Teams!$C$78+AU12*Teams!$C$51*Teams!$C$79/1000000,0)</f>
        <v>0</v>
      </c>
      <c r="AV18" s="44">
        <f>AV$5*IF(AND(AV$4&gt;=Teams!$C$80,Teams!$C$49=1),Teams!$C$44*Params!$F$10*Teams!$C$45*Teams!$C$75+Teams!$C$44*Params!$F$10*Teams!$C$47*Teams!$C$76/1000000+Teams!$C$77+Teams!$C$50*Teams!$C$78+AV12*Teams!$C$51*Teams!$C$79/1000000,0)</f>
        <v>0</v>
      </c>
      <c r="AW18" s="44">
        <f>AW$5*IF(AND(AW$4&gt;=Teams!$C$80,Teams!$C$49=1),Teams!$C$44*Params!$F$10*Teams!$C$45*Teams!$C$75+Teams!$C$44*Params!$F$10*Teams!$C$47*Teams!$C$76/1000000+Teams!$C$77+Teams!$C$50*Teams!$C$78+AW12*Teams!$C$51*Teams!$C$79/1000000,0)</f>
        <v>0</v>
      </c>
      <c r="AX18" s="44">
        <f>AX$5*IF(AND(AX$4&gt;=Teams!$C$80,Teams!$C$49=1),Teams!$C$44*Params!$F$10*Teams!$C$45*Teams!$C$75+Teams!$C$44*Params!$F$10*Teams!$C$47*Teams!$C$76/1000000+Teams!$C$77+Teams!$C$50*Teams!$C$78+AX12*Teams!$C$51*Teams!$C$79/1000000,0)</f>
        <v>0</v>
      </c>
      <c r="AY18" s="44">
        <f>AY$5*IF(AND(AY$4&gt;=Teams!$C$80,Teams!$C$49=1),Teams!$C$44*Params!$F$10*Teams!$C$45*Teams!$C$75+Teams!$C$44*Params!$F$10*Teams!$C$47*Teams!$C$76/1000000+Teams!$C$77+Teams!$C$50*Teams!$C$78+AY12*Teams!$C$51*Teams!$C$79/1000000,0)</f>
        <v>0</v>
      </c>
      <c r="AZ18" s="44">
        <f>AZ$5*IF(AND(AZ$4&gt;=Teams!$C$80,Teams!$C$49=1),Teams!$C$44*Params!$F$10*Teams!$C$45*Teams!$C$75+Teams!$C$44*Params!$F$10*Teams!$C$47*Teams!$C$76/1000000+Teams!$C$77+Teams!$C$50*Teams!$C$78+AZ12*Teams!$C$51*Teams!$C$79/1000000,0)</f>
        <v>0</v>
      </c>
      <c r="BA18" s="44">
        <f>BA$5*IF(AND(BA$4&gt;=Teams!$C$80,Teams!$C$49=1),Teams!$C$44*Params!$F$10*Teams!$C$45*Teams!$C$75+Teams!$C$44*Params!$F$10*Teams!$C$47*Teams!$C$76/1000000+Teams!$C$77+Teams!$C$50*Teams!$C$78+BA12*Teams!$C$51*Teams!$C$79/1000000,0)</f>
        <v>0</v>
      </c>
      <c r="BB18" s="44">
        <f>BB$5*IF(AND(BB$4&gt;=Teams!$C$80,Teams!$C$49=1),Teams!$C$44*Params!$F$10*Teams!$C$45*Teams!$C$75+Teams!$C$44*Params!$F$10*Teams!$C$47*Teams!$C$76/1000000+Teams!$C$77+Teams!$C$50*Teams!$C$78+BB12*Teams!$C$51*Teams!$C$79/1000000,0)</f>
        <v>0</v>
      </c>
      <c r="BC18" s="44">
        <f>BC$5*IF(AND(BC$4&gt;=Teams!$C$80,Teams!$C$49=1),Teams!$C$44*Params!$F$10*Teams!$C$45*Teams!$C$75+Teams!$C$44*Params!$F$10*Teams!$C$47*Teams!$C$76/1000000+Teams!$C$77+Teams!$C$50*Teams!$C$78+BC12*Teams!$C$51*Teams!$C$79/1000000,0)</f>
        <v>0</v>
      </c>
      <c r="BD18" s="44">
        <f>BD$5*IF(AND(BD$4&gt;=Teams!$C$80,Teams!$C$49=1),Teams!$C$44*Params!$F$10*Teams!$C$45*Teams!$C$75+Teams!$C$44*Params!$F$10*Teams!$C$47*Teams!$C$76/1000000+Teams!$C$77+Teams!$C$50*Teams!$C$78+BD12*Teams!$C$51*Teams!$C$79/1000000,0)</f>
        <v>0</v>
      </c>
      <c r="BE18" s="44">
        <f>BE$5*IF(AND(BE$4&gt;=Teams!$C$80,Teams!$C$49=1),Teams!$C$44*Params!$F$10*Teams!$C$45*Teams!$C$75+Teams!$C$44*Params!$F$10*Teams!$C$47*Teams!$C$76/1000000+Teams!$C$77+Teams!$C$50*Teams!$C$78+BE12*Teams!$C$51*Teams!$C$79/1000000,0)</f>
        <v>0</v>
      </c>
      <c r="BF18" s="44">
        <f>BF$5*IF(AND(BF$4&gt;=Teams!$C$80,Teams!$C$49=1),Teams!$C$44*Params!$F$10*Teams!$C$45*Teams!$C$75+Teams!$C$44*Params!$F$10*Teams!$C$47*Teams!$C$76/1000000+Teams!$C$77+Teams!$C$50*Teams!$C$78+BF12*Teams!$C$51*Teams!$C$79/1000000,0)</f>
        <v>0</v>
      </c>
      <c r="BG18" s="44">
        <f>BG$5*IF(AND(BG$4&gt;=Teams!$C$80,Teams!$C$49=1),Teams!$C$44*Params!$F$10*Teams!$C$45*Teams!$C$75+Teams!$C$44*Params!$F$10*Teams!$C$47*Teams!$C$76/1000000+Teams!$C$77+Teams!$C$50*Teams!$C$78+BG12*Teams!$C$51*Teams!$C$79/1000000,0)</f>
        <v>0</v>
      </c>
      <c r="BH18" s="44">
        <f>BH$5*IF(AND(BH$4&gt;=Teams!$C$80,Teams!$C$49=1),Teams!$C$44*Params!$F$10*Teams!$C$45*Teams!$C$75+Teams!$C$44*Params!$F$10*Teams!$C$47*Teams!$C$76/1000000+Teams!$C$77+Teams!$C$50*Teams!$C$78+BH12*Teams!$C$51*Teams!$C$79/1000000,0)</f>
        <v>0</v>
      </c>
      <c r="BI18" s="44">
        <f>BI$5*IF(AND(BI$4&gt;=Teams!$C$80,Teams!$C$49=1),Teams!$C$44*Params!$F$10*Teams!$C$45*Teams!$C$75+Teams!$C$44*Params!$F$10*Teams!$C$47*Teams!$C$76/1000000+Teams!$C$77+Teams!$C$50*Teams!$C$78+BI12*Teams!$C$51*Teams!$C$79/1000000,0)</f>
        <v>0</v>
      </c>
      <c r="BJ18" s="44">
        <f>BJ$5*IF(AND(BJ$4&gt;=Teams!$C$80,Teams!$C$49=1),Teams!$C$44*Params!$F$10*Teams!$C$45*Teams!$C$75+Teams!$C$44*Params!$F$10*Teams!$C$47*Teams!$C$76/1000000+Teams!$C$77+Teams!$C$50*Teams!$C$78+BJ12*Teams!$C$51*Teams!$C$79/1000000,0)</f>
        <v>0</v>
      </c>
      <c r="BK18" s="44">
        <f>BK$5*IF(AND(BK$4&gt;=Teams!$C$80,Teams!$C$49=1),Teams!$C$44*Params!$F$10*Teams!$C$45*Teams!$C$75+Teams!$C$44*Params!$F$10*Teams!$C$47*Teams!$C$76/1000000+Teams!$C$77+Teams!$C$50*Teams!$C$78+BK12*Teams!$C$51*Teams!$C$79/1000000,0)</f>
        <v>0</v>
      </c>
      <c r="BL18" s="44">
        <f>BL$5*IF(AND(BL$4&gt;=Teams!$C$80,Teams!$C$49=1),Teams!$C$44*Params!$F$10*Teams!$C$45*Teams!$C$75+Teams!$C$44*Params!$F$10*Teams!$C$47*Teams!$C$76/1000000+Teams!$C$77+Teams!$C$50*Teams!$C$78+BL12*Teams!$C$51*Teams!$C$79/1000000,0)</f>
        <v>0</v>
      </c>
    </row>
    <row r="19" spans="1:64" x14ac:dyDescent="0.3">
      <c r="A19" s="8" t="s">
        <v>671</v>
      </c>
      <c r="B19" s="18" t="s">
        <v>169</v>
      </c>
      <c r="C19" s="44">
        <f t="shared" si="2"/>
        <v>45000</v>
      </c>
      <c r="E19" s="44">
        <f>E$5*IF(E$4&gt;=Teams!$C$80,Teams!$C$43*Params!$F$6*Org!$B$10*Params!$F$7/12,0)</f>
        <v>1250</v>
      </c>
      <c r="F19" s="44">
        <f>F$5*IF(F$4&gt;=Teams!$C$80,Teams!$C$43*Params!$F$6*Org!$B$10*Params!$F$7/12,0)</f>
        <v>1250</v>
      </c>
      <c r="G19" s="44">
        <f>G$5*IF(G$4&gt;=Teams!$C$80,Teams!$C$43*Params!$F$6*Org!$B$10*Params!$F$7/12,0)</f>
        <v>1250</v>
      </c>
      <c r="H19" s="44">
        <f>H$5*IF(H$4&gt;=Teams!$C$80,Teams!$C$43*Params!$F$6*Org!$B$10*Params!$F$7/12,0)</f>
        <v>1250</v>
      </c>
      <c r="I19" s="44">
        <f>I$5*IF(I$4&gt;=Teams!$C$80,Teams!$C$43*Params!$F$6*Org!$B$10*Params!$F$7/12,0)</f>
        <v>1250</v>
      </c>
      <c r="J19" s="44">
        <f>J$5*IF(J$4&gt;=Teams!$C$80,Teams!$C$43*Params!$F$6*Org!$B$10*Params!$F$7/12,0)</f>
        <v>1250</v>
      </c>
      <c r="K19" s="44">
        <f>K$5*IF(K$4&gt;=Teams!$C$80,Teams!$C$43*Params!$F$6*Org!$B$10*Params!$F$7/12,0)</f>
        <v>1250</v>
      </c>
      <c r="L19" s="44">
        <f>L$5*IF(L$4&gt;=Teams!$C$80,Teams!$C$43*Params!$F$6*Org!$B$10*Params!$F$7/12,0)</f>
        <v>1250</v>
      </c>
      <c r="M19" s="44">
        <f>M$5*IF(M$4&gt;=Teams!$C$80,Teams!$C$43*Params!$F$6*Org!$B$10*Params!$F$7/12,0)</f>
        <v>1250</v>
      </c>
      <c r="N19" s="44">
        <f>N$5*IF(N$4&gt;=Teams!$C$80,Teams!$C$43*Params!$F$6*Org!$B$10*Params!$F$7/12,0)</f>
        <v>1250</v>
      </c>
      <c r="O19" s="44">
        <f>O$5*IF(O$4&gt;=Teams!$C$80,Teams!$C$43*Params!$F$6*Org!$B$10*Params!$F$7/12,0)</f>
        <v>1250</v>
      </c>
      <c r="P19" s="44">
        <f>P$5*IF(P$4&gt;=Teams!$C$80,Teams!$C$43*Params!$F$6*Org!$B$10*Params!$F$7/12,0)</f>
        <v>1250</v>
      </c>
      <c r="Q19" s="44">
        <f>Q$5*IF(Q$4&gt;=Teams!$C$80,Teams!$C$43*Params!$F$6*Org!$B$10*Params!$F$7/12,0)</f>
        <v>1250</v>
      </c>
      <c r="R19" s="44">
        <f>R$5*IF(R$4&gt;=Teams!$C$80,Teams!$C$43*Params!$F$6*Org!$B$10*Params!$F$7/12,0)</f>
        <v>1250</v>
      </c>
      <c r="S19" s="44">
        <f>S$5*IF(S$4&gt;=Teams!$C$80,Teams!$C$43*Params!$F$6*Org!$B$10*Params!$F$7/12,0)</f>
        <v>1250</v>
      </c>
      <c r="T19" s="44">
        <f>T$5*IF(T$4&gt;=Teams!$C$80,Teams!$C$43*Params!$F$6*Org!$B$10*Params!$F$7/12,0)</f>
        <v>1250</v>
      </c>
      <c r="U19" s="44">
        <f>U$5*IF(U$4&gt;=Teams!$C$80,Teams!$C$43*Params!$F$6*Org!$B$10*Params!$F$7/12,0)</f>
        <v>1250</v>
      </c>
      <c r="V19" s="44">
        <f>V$5*IF(V$4&gt;=Teams!$C$80,Teams!$C$43*Params!$F$6*Org!$B$10*Params!$F$7/12,0)</f>
        <v>1250</v>
      </c>
      <c r="W19" s="44">
        <f>W$5*IF(W$4&gt;=Teams!$C$80,Teams!$C$43*Params!$F$6*Org!$B$10*Params!$F$7/12,0)</f>
        <v>1250</v>
      </c>
      <c r="X19" s="44">
        <f>X$5*IF(X$4&gt;=Teams!$C$80,Teams!$C$43*Params!$F$6*Org!$B$10*Params!$F$7/12,0)</f>
        <v>1250</v>
      </c>
      <c r="Y19" s="44">
        <f>Y$5*IF(Y$4&gt;=Teams!$C$80,Teams!$C$43*Params!$F$6*Org!$B$10*Params!$F$7/12,0)</f>
        <v>1250</v>
      </c>
      <c r="Z19" s="44">
        <f>Z$5*IF(Z$4&gt;=Teams!$C$80,Teams!$C$43*Params!$F$6*Org!$B$10*Params!$F$7/12,0)</f>
        <v>1250</v>
      </c>
      <c r="AA19" s="44">
        <f>AA$5*IF(AA$4&gt;=Teams!$C$80,Teams!$C$43*Params!$F$6*Org!$B$10*Params!$F$7/12,0)</f>
        <v>1250</v>
      </c>
      <c r="AB19" s="44">
        <f>AB$5*IF(AB$4&gt;=Teams!$C$80,Teams!$C$43*Params!$F$6*Org!$B$10*Params!$F$7/12,0)</f>
        <v>1250</v>
      </c>
      <c r="AC19" s="44">
        <f>AC$5*IF(AC$4&gt;=Teams!$C$80,Teams!$C$43*Params!$F$6*Org!$B$10*Params!$F$7/12,0)</f>
        <v>1250</v>
      </c>
      <c r="AD19" s="44">
        <f>AD$5*IF(AD$4&gt;=Teams!$C$80,Teams!$C$43*Params!$F$6*Org!$B$10*Params!$F$7/12,0)</f>
        <v>1250</v>
      </c>
      <c r="AE19" s="44">
        <f>AE$5*IF(AE$4&gt;=Teams!$C$80,Teams!$C$43*Params!$F$6*Org!$B$10*Params!$F$7/12,0)</f>
        <v>1250</v>
      </c>
      <c r="AF19" s="44">
        <f>AF$5*IF(AF$4&gt;=Teams!$C$80,Teams!$C$43*Params!$F$6*Org!$B$10*Params!$F$7/12,0)</f>
        <v>1250</v>
      </c>
      <c r="AG19" s="44">
        <f>AG$5*IF(AG$4&gt;=Teams!$C$80,Teams!$C$43*Params!$F$6*Org!$B$10*Params!$F$7/12,0)</f>
        <v>1250</v>
      </c>
      <c r="AH19" s="44">
        <f>AH$5*IF(AH$4&gt;=Teams!$C$80,Teams!$C$43*Params!$F$6*Org!$B$10*Params!$F$7/12,0)</f>
        <v>1250</v>
      </c>
      <c r="AI19" s="44">
        <f>AI$5*IF(AI$4&gt;=Teams!$C$80,Teams!$C$43*Params!$F$6*Org!$B$10*Params!$F$7/12,0)</f>
        <v>1250</v>
      </c>
      <c r="AJ19" s="44">
        <f>AJ$5*IF(AJ$4&gt;=Teams!$C$80,Teams!$C$43*Params!$F$6*Org!$B$10*Params!$F$7/12,0)</f>
        <v>1250</v>
      </c>
      <c r="AK19" s="44">
        <f>AK$5*IF(AK$4&gt;=Teams!$C$80,Teams!$C$43*Params!$F$6*Org!$B$10*Params!$F$7/12,0)</f>
        <v>1250</v>
      </c>
      <c r="AL19" s="44">
        <f>AL$5*IF(AL$4&gt;=Teams!$C$80,Teams!$C$43*Params!$F$6*Org!$B$10*Params!$F$7/12,0)</f>
        <v>1250</v>
      </c>
      <c r="AM19" s="44">
        <f>AM$5*IF(AM$4&gt;=Teams!$C$80,Teams!$C$43*Params!$F$6*Org!$B$10*Params!$F$7/12,0)</f>
        <v>1250</v>
      </c>
      <c r="AN19" s="44">
        <f>AN$5*IF(AN$4&gt;=Teams!$C$80,Teams!$C$43*Params!$F$6*Org!$B$10*Params!$F$7/12,0)</f>
        <v>1250</v>
      </c>
      <c r="AO19" s="44">
        <f>AO$5*IF(AO$4&gt;=Teams!$C$80,Teams!$C$43*Params!$F$6*Org!$B$10*Params!$F$7/12,0)</f>
        <v>0</v>
      </c>
      <c r="AP19" s="44">
        <f>AP$5*IF(AP$4&gt;=Teams!$C$80,Teams!$C$43*Params!$F$6*Org!$B$10*Params!$F$7/12,0)</f>
        <v>0</v>
      </c>
      <c r="AQ19" s="44">
        <f>AQ$5*IF(AQ$4&gt;=Teams!$C$80,Teams!$C$43*Params!$F$6*Org!$B$10*Params!$F$7/12,0)</f>
        <v>0</v>
      </c>
      <c r="AR19" s="44">
        <f>AR$5*IF(AR$4&gt;=Teams!$C$80,Teams!$C$43*Params!$F$6*Org!$B$10*Params!$F$7/12,0)</f>
        <v>0</v>
      </c>
      <c r="AS19" s="44">
        <f>AS$5*IF(AS$4&gt;=Teams!$C$80,Teams!$C$43*Params!$F$6*Org!$B$10*Params!$F$7/12,0)</f>
        <v>0</v>
      </c>
      <c r="AT19" s="44">
        <f>AT$5*IF(AT$4&gt;=Teams!$C$80,Teams!$C$43*Params!$F$6*Org!$B$10*Params!$F$7/12,0)</f>
        <v>0</v>
      </c>
      <c r="AU19" s="44">
        <f>AU$5*IF(AU$4&gt;=Teams!$C$80,Teams!$C$43*Params!$F$6*Org!$B$10*Params!$F$7/12,0)</f>
        <v>0</v>
      </c>
      <c r="AV19" s="44">
        <f>AV$5*IF(AV$4&gt;=Teams!$C$80,Teams!$C$43*Params!$F$6*Org!$B$10*Params!$F$7/12,0)</f>
        <v>0</v>
      </c>
      <c r="AW19" s="44">
        <f>AW$5*IF(AW$4&gt;=Teams!$C$80,Teams!$C$43*Params!$F$6*Org!$B$10*Params!$F$7/12,0)</f>
        <v>0</v>
      </c>
      <c r="AX19" s="44">
        <f>AX$5*IF(AX$4&gt;=Teams!$C$80,Teams!$C$43*Params!$F$6*Org!$B$10*Params!$F$7/12,0)</f>
        <v>0</v>
      </c>
      <c r="AY19" s="44">
        <f>AY$5*IF(AY$4&gt;=Teams!$C$80,Teams!$C$43*Params!$F$6*Org!$B$10*Params!$F$7/12,0)</f>
        <v>0</v>
      </c>
      <c r="AZ19" s="44">
        <f>AZ$5*IF(AZ$4&gt;=Teams!$C$80,Teams!$C$43*Params!$F$6*Org!$B$10*Params!$F$7/12,0)</f>
        <v>0</v>
      </c>
      <c r="BA19" s="44">
        <f>BA$5*IF(BA$4&gt;=Teams!$C$80,Teams!$C$43*Params!$F$6*Org!$B$10*Params!$F$7/12,0)</f>
        <v>0</v>
      </c>
      <c r="BB19" s="44">
        <f>BB$5*IF(BB$4&gt;=Teams!$C$80,Teams!$C$43*Params!$F$6*Org!$B$10*Params!$F$7/12,0)</f>
        <v>0</v>
      </c>
      <c r="BC19" s="44">
        <f>BC$5*IF(BC$4&gt;=Teams!$C$80,Teams!$C$43*Params!$F$6*Org!$B$10*Params!$F$7/12,0)</f>
        <v>0</v>
      </c>
      <c r="BD19" s="44">
        <f>BD$5*IF(BD$4&gt;=Teams!$C$80,Teams!$C$43*Params!$F$6*Org!$B$10*Params!$F$7/12,0)</f>
        <v>0</v>
      </c>
      <c r="BE19" s="44">
        <f>BE$5*IF(BE$4&gt;=Teams!$C$80,Teams!$C$43*Params!$F$6*Org!$B$10*Params!$F$7/12,0)</f>
        <v>0</v>
      </c>
      <c r="BF19" s="44">
        <f>BF$5*IF(BF$4&gt;=Teams!$C$80,Teams!$C$43*Params!$F$6*Org!$B$10*Params!$F$7/12,0)</f>
        <v>0</v>
      </c>
      <c r="BG19" s="44">
        <f>BG$5*IF(BG$4&gt;=Teams!$C$80,Teams!$C$43*Params!$F$6*Org!$B$10*Params!$F$7/12,0)</f>
        <v>0</v>
      </c>
      <c r="BH19" s="44">
        <f>BH$5*IF(BH$4&gt;=Teams!$C$80,Teams!$C$43*Params!$F$6*Org!$B$10*Params!$F$7/12,0)</f>
        <v>0</v>
      </c>
      <c r="BI19" s="44">
        <f>BI$5*IF(BI$4&gt;=Teams!$C$80,Teams!$C$43*Params!$F$6*Org!$B$10*Params!$F$7/12,0)</f>
        <v>0</v>
      </c>
      <c r="BJ19" s="44">
        <f>BJ$5*IF(BJ$4&gt;=Teams!$C$80,Teams!$C$43*Params!$F$6*Org!$B$10*Params!$F$7/12,0)</f>
        <v>0</v>
      </c>
      <c r="BK19" s="44">
        <f>BK$5*IF(BK$4&gt;=Teams!$C$80,Teams!$C$43*Params!$F$6*Org!$B$10*Params!$F$7/12,0)</f>
        <v>0</v>
      </c>
      <c r="BL19" s="44">
        <f>BL$5*IF(BL$4&gt;=Teams!$C$80,Teams!$C$43*Params!$F$6*Org!$B$10*Params!$F$7/12,0)</f>
        <v>0</v>
      </c>
    </row>
    <row r="20" spans="1:64" x14ac:dyDescent="0.3">
      <c r="A20" s="8" t="s">
        <v>672</v>
      </c>
      <c r="B20" s="18" t="s">
        <v>169</v>
      </c>
      <c r="C20" s="44">
        <f t="shared" si="2"/>
        <v>1995599.9999999988</v>
      </c>
      <c r="E20" s="44">
        <f>E$5*IF(E$4&gt;=Teams!$C$80,Params!$F$23*Params!$F$24/60*(Org!$B$10/Org!$B$11)+Params!$F$27/12*Params!$F$13*Org!$B$10+E11/1000*Params!$F$28*Params!$F$29*(Org!$B$10/Org!$B$11),0)</f>
        <v>36933.333333333328</v>
      </c>
      <c r="F20" s="44">
        <f>F$5*IF(F$4&gt;=Teams!$C$80,Params!$F$23*Params!$F$24/60*(Org!$B$10/Org!$B$11)+Params!$F$27/12*Params!$F$13*Org!$B$10+F11/1000*Params!$F$28*Params!$F$29*(Org!$B$10/Org!$B$11),0)</f>
        <v>40933.333333333328</v>
      </c>
      <c r="G20" s="44">
        <f>G$5*IF(G$4&gt;=Teams!$C$80,Params!$F$23*Params!$F$24/60*(Org!$B$10/Org!$B$11)+Params!$F$27/12*Params!$F$13*Org!$B$10+G11/1000*Params!$F$28*Params!$F$29*(Org!$B$10/Org!$B$11),0)</f>
        <v>46133.333333333328</v>
      </c>
      <c r="H20" s="44">
        <f>H$5*IF(H$4&gt;=Teams!$C$80,Params!$F$23*Params!$F$24/60*(Org!$B$10/Org!$B$11)+Params!$F$27/12*Params!$F$13*Org!$B$10+H11/1000*Params!$F$28*Params!$F$29*(Org!$B$10/Org!$B$11),0)</f>
        <v>51333.333333333328</v>
      </c>
      <c r="I20" s="44">
        <f>I$5*IF(I$4&gt;=Teams!$C$80,Params!$F$23*Params!$F$24/60*(Org!$B$10/Org!$B$11)+Params!$F$27/12*Params!$F$13*Org!$B$10+I11/1000*Params!$F$28*Params!$F$29*(Org!$B$10/Org!$B$11),0)</f>
        <v>55333.333333333328</v>
      </c>
      <c r="J20" s="44">
        <f>J$5*IF(J$4&gt;=Teams!$C$80,Params!$F$23*Params!$F$24/60*(Org!$B$10/Org!$B$11)+Params!$F$27/12*Params!$F$13*Org!$B$10+J11/1000*Params!$F$28*Params!$F$29*(Org!$B$10/Org!$B$11),0)</f>
        <v>56933.333333333328</v>
      </c>
      <c r="K20" s="44">
        <f>K$5*IF(K$4&gt;=Teams!$C$80,Params!$F$23*Params!$F$24/60*(Org!$B$10/Org!$B$11)+Params!$F$27/12*Params!$F$13*Org!$B$10+K11/1000*Params!$F$28*Params!$F$29*(Org!$B$10/Org!$B$11),0)</f>
        <v>56933.333333333328</v>
      </c>
      <c r="L20" s="44">
        <f>L$5*IF(L$4&gt;=Teams!$C$80,Params!$F$23*Params!$F$24/60*(Org!$B$10/Org!$B$11)+Params!$F$27/12*Params!$F$13*Org!$B$10+L11/1000*Params!$F$28*Params!$F$29*(Org!$B$10/Org!$B$11),0)</f>
        <v>56933.333333333328</v>
      </c>
      <c r="M20" s="44">
        <f>M$5*IF(M$4&gt;=Teams!$C$80,Params!$F$23*Params!$F$24/60*(Org!$B$10/Org!$B$11)+Params!$F$27/12*Params!$F$13*Org!$B$10+M11/1000*Params!$F$28*Params!$F$29*(Org!$B$10/Org!$B$11),0)</f>
        <v>56933.333333333328</v>
      </c>
      <c r="N20" s="44">
        <f>N$5*IF(N$4&gt;=Teams!$C$80,Params!$F$23*Params!$F$24/60*(Org!$B$10/Org!$B$11)+Params!$F$27/12*Params!$F$13*Org!$B$10+N11/1000*Params!$F$28*Params!$F$29*(Org!$B$10/Org!$B$11),0)</f>
        <v>56933.333333333328</v>
      </c>
      <c r="O20" s="44">
        <f>O$5*IF(O$4&gt;=Teams!$C$80,Params!$F$23*Params!$F$24/60*(Org!$B$10/Org!$B$11)+Params!$F$27/12*Params!$F$13*Org!$B$10+O11/1000*Params!$F$28*Params!$F$29*(Org!$B$10/Org!$B$11),0)</f>
        <v>56933.333333333328</v>
      </c>
      <c r="P20" s="44">
        <f>P$5*IF(P$4&gt;=Teams!$C$80,Params!$F$23*Params!$F$24/60*(Org!$B$10/Org!$B$11)+Params!$F$27/12*Params!$F$13*Org!$B$10+P11/1000*Params!$F$28*Params!$F$29*(Org!$B$10/Org!$B$11),0)</f>
        <v>56933.333333333328</v>
      </c>
      <c r="Q20" s="44">
        <f>Q$5*IF(Q$4&gt;=Teams!$C$80,Params!$F$23*Params!$F$24/60*(Org!$B$10/Org!$B$11)+Params!$F$27/12*Params!$F$13*Org!$B$10+Q11/1000*Params!$F$28*Params!$F$29*(Org!$B$10/Org!$B$11),0)</f>
        <v>56933.333333333328</v>
      </c>
      <c r="R20" s="44">
        <f>R$5*IF(R$4&gt;=Teams!$C$80,Params!$F$23*Params!$F$24/60*(Org!$B$10/Org!$B$11)+Params!$F$27/12*Params!$F$13*Org!$B$10+R11/1000*Params!$F$28*Params!$F$29*(Org!$B$10/Org!$B$11),0)</f>
        <v>56933.333333333328</v>
      </c>
      <c r="S20" s="44">
        <f>S$5*IF(S$4&gt;=Teams!$C$80,Params!$F$23*Params!$F$24/60*(Org!$B$10/Org!$B$11)+Params!$F$27/12*Params!$F$13*Org!$B$10+S11/1000*Params!$F$28*Params!$F$29*(Org!$B$10/Org!$B$11),0)</f>
        <v>56933.333333333328</v>
      </c>
      <c r="T20" s="44">
        <f>T$5*IF(T$4&gt;=Teams!$C$80,Params!$F$23*Params!$F$24/60*(Org!$B$10/Org!$B$11)+Params!$F$27/12*Params!$F$13*Org!$B$10+T11/1000*Params!$F$28*Params!$F$29*(Org!$B$10/Org!$B$11),0)</f>
        <v>56933.333333333328</v>
      </c>
      <c r="U20" s="44">
        <f>U$5*IF(U$4&gt;=Teams!$C$80,Params!$F$23*Params!$F$24/60*(Org!$B$10/Org!$B$11)+Params!$F$27/12*Params!$F$13*Org!$B$10+U11/1000*Params!$F$28*Params!$F$29*(Org!$B$10/Org!$B$11),0)</f>
        <v>56933.333333333328</v>
      </c>
      <c r="V20" s="44">
        <f>V$5*IF(V$4&gt;=Teams!$C$80,Params!$F$23*Params!$F$24/60*(Org!$B$10/Org!$B$11)+Params!$F$27/12*Params!$F$13*Org!$B$10+V11/1000*Params!$F$28*Params!$F$29*(Org!$B$10/Org!$B$11),0)</f>
        <v>56933.333333333328</v>
      </c>
      <c r="W20" s="44">
        <f>W$5*IF(W$4&gt;=Teams!$C$80,Params!$F$23*Params!$F$24/60*(Org!$B$10/Org!$B$11)+Params!$F$27/12*Params!$F$13*Org!$B$10+W11/1000*Params!$F$28*Params!$F$29*(Org!$B$10/Org!$B$11),0)</f>
        <v>56933.333333333328</v>
      </c>
      <c r="X20" s="44">
        <f>X$5*IF(X$4&gt;=Teams!$C$80,Params!$F$23*Params!$F$24/60*(Org!$B$10/Org!$B$11)+Params!$F$27/12*Params!$F$13*Org!$B$10+X11/1000*Params!$F$28*Params!$F$29*(Org!$B$10/Org!$B$11),0)</f>
        <v>56933.333333333328</v>
      </c>
      <c r="Y20" s="44">
        <f>Y$5*IF(Y$4&gt;=Teams!$C$80,Params!$F$23*Params!$F$24/60*(Org!$B$10/Org!$B$11)+Params!$F$27/12*Params!$F$13*Org!$B$10+Y11/1000*Params!$F$28*Params!$F$29*(Org!$B$10/Org!$B$11),0)</f>
        <v>56933.333333333328</v>
      </c>
      <c r="Z20" s="44">
        <f>Z$5*IF(Z$4&gt;=Teams!$C$80,Params!$F$23*Params!$F$24/60*(Org!$B$10/Org!$B$11)+Params!$F$27/12*Params!$F$13*Org!$B$10+Z11/1000*Params!$F$28*Params!$F$29*(Org!$B$10/Org!$B$11),0)</f>
        <v>56933.333333333328</v>
      </c>
      <c r="AA20" s="44">
        <f>AA$5*IF(AA$4&gt;=Teams!$C$80,Params!$F$23*Params!$F$24/60*(Org!$B$10/Org!$B$11)+Params!$F$27/12*Params!$F$13*Org!$B$10+AA11/1000*Params!$F$28*Params!$F$29*(Org!$B$10/Org!$B$11),0)</f>
        <v>56933.333333333328</v>
      </c>
      <c r="AB20" s="44">
        <f>AB$5*IF(AB$4&gt;=Teams!$C$80,Params!$F$23*Params!$F$24/60*(Org!$B$10/Org!$B$11)+Params!$F$27/12*Params!$F$13*Org!$B$10+AB11/1000*Params!$F$28*Params!$F$29*(Org!$B$10/Org!$B$11),0)</f>
        <v>56933.333333333328</v>
      </c>
      <c r="AC20" s="44">
        <f>AC$5*IF(AC$4&gt;=Teams!$C$80,Params!$F$23*Params!$F$24/60*(Org!$B$10/Org!$B$11)+Params!$F$27/12*Params!$F$13*Org!$B$10+AC11/1000*Params!$F$28*Params!$F$29*(Org!$B$10/Org!$B$11),0)</f>
        <v>56933.333333333328</v>
      </c>
      <c r="AD20" s="44">
        <f>AD$5*IF(AD$4&gt;=Teams!$C$80,Params!$F$23*Params!$F$24/60*(Org!$B$10/Org!$B$11)+Params!$F$27/12*Params!$F$13*Org!$B$10+AD11/1000*Params!$F$28*Params!$F$29*(Org!$B$10/Org!$B$11),0)</f>
        <v>56933.333333333328</v>
      </c>
      <c r="AE20" s="44">
        <f>AE$5*IF(AE$4&gt;=Teams!$C$80,Params!$F$23*Params!$F$24/60*(Org!$B$10/Org!$B$11)+Params!$F$27/12*Params!$F$13*Org!$B$10+AE11/1000*Params!$F$28*Params!$F$29*(Org!$B$10/Org!$B$11),0)</f>
        <v>56933.333333333328</v>
      </c>
      <c r="AF20" s="44">
        <f>AF$5*IF(AF$4&gt;=Teams!$C$80,Params!$F$23*Params!$F$24/60*(Org!$B$10/Org!$B$11)+Params!$F$27/12*Params!$F$13*Org!$B$10+AF11/1000*Params!$F$28*Params!$F$29*(Org!$B$10/Org!$B$11),0)</f>
        <v>56933.333333333328</v>
      </c>
      <c r="AG20" s="44">
        <f>AG$5*IF(AG$4&gt;=Teams!$C$80,Params!$F$23*Params!$F$24/60*(Org!$B$10/Org!$B$11)+Params!$F$27/12*Params!$F$13*Org!$B$10+AG11/1000*Params!$F$28*Params!$F$29*(Org!$B$10/Org!$B$11),0)</f>
        <v>56933.333333333328</v>
      </c>
      <c r="AH20" s="44">
        <f>AH$5*IF(AH$4&gt;=Teams!$C$80,Params!$F$23*Params!$F$24/60*(Org!$B$10/Org!$B$11)+Params!$F$27/12*Params!$F$13*Org!$B$10+AH11/1000*Params!$F$28*Params!$F$29*(Org!$B$10/Org!$B$11),0)</f>
        <v>56933.333333333328</v>
      </c>
      <c r="AI20" s="44">
        <f>AI$5*IF(AI$4&gt;=Teams!$C$80,Params!$F$23*Params!$F$24/60*(Org!$B$10/Org!$B$11)+Params!$F$27/12*Params!$F$13*Org!$B$10+AI11/1000*Params!$F$28*Params!$F$29*(Org!$B$10/Org!$B$11),0)</f>
        <v>56933.333333333328</v>
      </c>
      <c r="AJ20" s="44">
        <f>AJ$5*IF(AJ$4&gt;=Teams!$C$80,Params!$F$23*Params!$F$24/60*(Org!$B$10/Org!$B$11)+Params!$F$27/12*Params!$F$13*Org!$B$10+AJ11/1000*Params!$F$28*Params!$F$29*(Org!$B$10/Org!$B$11),0)</f>
        <v>56933.333333333328</v>
      </c>
      <c r="AK20" s="44">
        <f>AK$5*IF(AK$4&gt;=Teams!$C$80,Params!$F$23*Params!$F$24/60*(Org!$B$10/Org!$B$11)+Params!$F$27/12*Params!$F$13*Org!$B$10+AK11/1000*Params!$F$28*Params!$F$29*(Org!$B$10/Org!$B$11),0)</f>
        <v>56933.333333333328</v>
      </c>
      <c r="AL20" s="44">
        <f>AL$5*IF(AL$4&gt;=Teams!$C$80,Params!$F$23*Params!$F$24/60*(Org!$B$10/Org!$B$11)+Params!$F$27/12*Params!$F$13*Org!$B$10+AL11/1000*Params!$F$28*Params!$F$29*(Org!$B$10/Org!$B$11),0)</f>
        <v>56933.333333333328</v>
      </c>
      <c r="AM20" s="44">
        <f>AM$5*IF(AM$4&gt;=Teams!$C$80,Params!$F$23*Params!$F$24/60*(Org!$B$10/Org!$B$11)+Params!$F$27/12*Params!$F$13*Org!$B$10+AM11/1000*Params!$F$28*Params!$F$29*(Org!$B$10/Org!$B$11),0)</f>
        <v>56933.333333333328</v>
      </c>
      <c r="AN20" s="44">
        <f>AN$5*IF(AN$4&gt;=Teams!$C$80,Params!$F$23*Params!$F$24/60*(Org!$B$10/Org!$B$11)+Params!$F$27/12*Params!$F$13*Org!$B$10+AN11/1000*Params!$F$28*Params!$F$29*(Org!$B$10/Org!$B$11),0)</f>
        <v>56933.333333333328</v>
      </c>
      <c r="AO20" s="44">
        <f>AO$5*IF(AO$4&gt;=Teams!$C$80,Params!$F$23*Params!$F$24/60*(Org!$B$10/Org!$B$11)+Params!$F$27/12*Params!$F$13*Org!$B$10+AO11/1000*Params!$F$28*Params!$F$29*(Org!$B$10/Org!$B$11),0)</f>
        <v>0</v>
      </c>
      <c r="AP20" s="44">
        <f>AP$5*IF(AP$4&gt;=Teams!$C$80,Params!$F$23*Params!$F$24/60*(Org!$B$10/Org!$B$11)+Params!$F$27/12*Params!$F$13*Org!$B$10+AP11/1000*Params!$F$28*Params!$F$29*(Org!$B$10/Org!$B$11),0)</f>
        <v>0</v>
      </c>
      <c r="AQ20" s="44">
        <f>AQ$5*IF(AQ$4&gt;=Teams!$C$80,Params!$F$23*Params!$F$24/60*(Org!$B$10/Org!$B$11)+Params!$F$27/12*Params!$F$13*Org!$B$10+AQ11/1000*Params!$F$28*Params!$F$29*(Org!$B$10/Org!$B$11),0)</f>
        <v>0</v>
      </c>
      <c r="AR20" s="44">
        <f>AR$5*IF(AR$4&gt;=Teams!$C$80,Params!$F$23*Params!$F$24/60*(Org!$B$10/Org!$B$11)+Params!$F$27/12*Params!$F$13*Org!$B$10+AR11/1000*Params!$F$28*Params!$F$29*(Org!$B$10/Org!$B$11),0)</f>
        <v>0</v>
      </c>
      <c r="AS20" s="44">
        <f>AS$5*IF(AS$4&gt;=Teams!$C$80,Params!$F$23*Params!$F$24/60*(Org!$B$10/Org!$B$11)+Params!$F$27/12*Params!$F$13*Org!$B$10+AS11/1000*Params!$F$28*Params!$F$29*(Org!$B$10/Org!$B$11),0)</f>
        <v>0</v>
      </c>
      <c r="AT20" s="44">
        <f>AT$5*IF(AT$4&gt;=Teams!$C$80,Params!$F$23*Params!$F$24/60*(Org!$B$10/Org!$B$11)+Params!$F$27/12*Params!$F$13*Org!$B$10+AT11/1000*Params!$F$28*Params!$F$29*(Org!$B$10/Org!$B$11),0)</f>
        <v>0</v>
      </c>
      <c r="AU20" s="44">
        <f>AU$5*IF(AU$4&gt;=Teams!$C$80,Params!$F$23*Params!$F$24/60*(Org!$B$10/Org!$B$11)+Params!$F$27/12*Params!$F$13*Org!$B$10+AU11/1000*Params!$F$28*Params!$F$29*(Org!$B$10/Org!$B$11),0)</f>
        <v>0</v>
      </c>
      <c r="AV20" s="44">
        <f>AV$5*IF(AV$4&gt;=Teams!$C$80,Params!$F$23*Params!$F$24/60*(Org!$B$10/Org!$B$11)+Params!$F$27/12*Params!$F$13*Org!$B$10+AV11/1000*Params!$F$28*Params!$F$29*(Org!$B$10/Org!$B$11),0)</f>
        <v>0</v>
      </c>
      <c r="AW20" s="44">
        <f>AW$5*IF(AW$4&gt;=Teams!$C$80,Params!$F$23*Params!$F$24/60*(Org!$B$10/Org!$B$11)+Params!$F$27/12*Params!$F$13*Org!$B$10+AW11/1000*Params!$F$28*Params!$F$29*(Org!$B$10/Org!$B$11),0)</f>
        <v>0</v>
      </c>
      <c r="AX20" s="44">
        <f>AX$5*IF(AX$4&gt;=Teams!$C$80,Params!$F$23*Params!$F$24/60*(Org!$B$10/Org!$B$11)+Params!$F$27/12*Params!$F$13*Org!$B$10+AX11/1000*Params!$F$28*Params!$F$29*(Org!$B$10/Org!$B$11),0)</f>
        <v>0</v>
      </c>
      <c r="AY20" s="44">
        <f>AY$5*IF(AY$4&gt;=Teams!$C$80,Params!$F$23*Params!$F$24/60*(Org!$B$10/Org!$B$11)+Params!$F$27/12*Params!$F$13*Org!$B$10+AY11/1000*Params!$F$28*Params!$F$29*(Org!$B$10/Org!$B$11),0)</f>
        <v>0</v>
      </c>
      <c r="AZ20" s="44">
        <f>AZ$5*IF(AZ$4&gt;=Teams!$C$80,Params!$F$23*Params!$F$24/60*(Org!$B$10/Org!$B$11)+Params!$F$27/12*Params!$F$13*Org!$B$10+AZ11/1000*Params!$F$28*Params!$F$29*(Org!$B$10/Org!$B$11),0)</f>
        <v>0</v>
      </c>
      <c r="BA20" s="44">
        <f>BA$5*IF(BA$4&gt;=Teams!$C$80,Params!$F$23*Params!$F$24/60*(Org!$B$10/Org!$B$11)+Params!$F$27/12*Params!$F$13*Org!$B$10+BA11/1000*Params!$F$28*Params!$F$29*(Org!$B$10/Org!$B$11),0)</f>
        <v>0</v>
      </c>
      <c r="BB20" s="44">
        <f>BB$5*IF(BB$4&gt;=Teams!$C$80,Params!$F$23*Params!$F$24/60*(Org!$B$10/Org!$B$11)+Params!$F$27/12*Params!$F$13*Org!$B$10+BB11/1000*Params!$F$28*Params!$F$29*(Org!$B$10/Org!$B$11),0)</f>
        <v>0</v>
      </c>
      <c r="BC20" s="44">
        <f>BC$5*IF(BC$4&gt;=Teams!$C$80,Params!$F$23*Params!$F$24/60*(Org!$B$10/Org!$B$11)+Params!$F$27/12*Params!$F$13*Org!$B$10+BC11/1000*Params!$F$28*Params!$F$29*(Org!$B$10/Org!$B$11),0)</f>
        <v>0</v>
      </c>
      <c r="BD20" s="44">
        <f>BD$5*IF(BD$4&gt;=Teams!$C$80,Params!$F$23*Params!$F$24/60*(Org!$B$10/Org!$B$11)+Params!$F$27/12*Params!$F$13*Org!$B$10+BD11/1000*Params!$F$28*Params!$F$29*(Org!$B$10/Org!$B$11),0)</f>
        <v>0</v>
      </c>
      <c r="BE20" s="44">
        <f>BE$5*IF(BE$4&gt;=Teams!$C$80,Params!$F$23*Params!$F$24/60*(Org!$B$10/Org!$B$11)+Params!$F$27/12*Params!$F$13*Org!$B$10+BE11/1000*Params!$F$28*Params!$F$29*(Org!$B$10/Org!$B$11),0)</f>
        <v>0</v>
      </c>
      <c r="BF20" s="44">
        <f>BF$5*IF(BF$4&gt;=Teams!$C$80,Params!$F$23*Params!$F$24/60*(Org!$B$10/Org!$B$11)+Params!$F$27/12*Params!$F$13*Org!$B$10+BF11/1000*Params!$F$28*Params!$F$29*(Org!$B$10/Org!$B$11),0)</f>
        <v>0</v>
      </c>
      <c r="BG20" s="44">
        <f>BG$5*IF(BG$4&gt;=Teams!$C$80,Params!$F$23*Params!$F$24/60*(Org!$B$10/Org!$B$11)+Params!$F$27/12*Params!$F$13*Org!$B$10+BG11/1000*Params!$F$28*Params!$F$29*(Org!$B$10/Org!$B$11),0)</f>
        <v>0</v>
      </c>
      <c r="BH20" s="44">
        <f>BH$5*IF(BH$4&gt;=Teams!$C$80,Params!$F$23*Params!$F$24/60*(Org!$B$10/Org!$B$11)+Params!$F$27/12*Params!$F$13*Org!$B$10+BH11/1000*Params!$F$28*Params!$F$29*(Org!$B$10/Org!$B$11),0)</f>
        <v>0</v>
      </c>
      <c r="BI20" s="44">
        <f>BI$5*IF(BI$4&gt;=Teams!$C$80,Params!$F$23*Params!$F$24/60*(Org!$B$10/Org!$B$11)+Params!$F$27/12*Params!$F$13*Org!$B$10+BI11/1000*Params!$F$28*Params!$F$29*(Org!$B$10/Org!$B$11),0)</f>
        <v>0</v>
      </c>
      <c r="BJ20" s="44">
        <f>BJ$5*IF(BJ$4&gt;=Teams!$C$80,Params!$F$23*Params!$F$24/60*(Org!$B$10/Org!$B$11)+Params!$F$27/12*Params!$F$13*Org!$B$10+BJ11/1000*Params!$F$28*Params!$F$29*(Org!$B$10/Org!$B$11),0)</f>
        <v>0</v>
      </c>
      <c r="BK20" s="44">
        <f>BK$5*IF(BK$4&gt;=Teams!$C$80,Params!$F$23*Params!$F$24/60*(Org!$B$10/Org!$B$11)+Params!$F$27/12*Params!$F$13*Org!$B$10+BK11/1000*Params!$F$28*Params!$F$29*(Org!$B$10/Org!$B$11),0)</f>
        <v>0</v>
      </c>
      <c r="BL20" s="44">
        <f>BL$5*IF(BL$4&gt;=Teams!$C$80,Params!$F$23*Params!$F$24/60*(Org!$B$10/Org!$B$11)+Params!$F$27/12*Params!$F$13*Org!$B$10+BL11/1000*Params!$F$28*Params!$F$29*(Org!$B$10/Org!$B$11),0)</f>
        <v>0</v>
      </c>
    </row>
    <row r="21" spans="1:64" x14ac:dyDescent="0.3">
      <c r="A21" s="8" t="s">
        <v>673</v>
      </c>
      <c r="B21" s="18" t="s">
        <v>604</v>
      </c>
      <c r="C21" s="44">
        <f t="shared" si="2"/>
        <v>54400</v>
      </c>
      <c r="E21" s="44">
        <f>E$5*IF(AND(E$4&gt;Teams!$C$80,MOD(E$4-Teams!$C$80,MAX(1,ROUND(Params!$F$25,0)))=0),(Params!$F$26+Params!$F$17*Params!$F$16)*Org!$B$10,0)</f>
        <v>0</v>
      </c>
      <c r="F21" s="44">
        <f>F$5*IF(AND(F$4&gt;Teams!$C$80,MOD(F$4-Teams!$C$80,MAX(1,ROUND(Params!$F$25,0)))=0),(Params!$F$26+Params!$F$17*Params!$F$16)*Org!$B$10,0)</f>
        <v>0</v>
      </c>
      <c r="G21" s="44">
        <f>G$5*IF(AND(G$4&gt;Teams!$C$80,MOD(G$4-Teams!$C$80,MAX(1,ROUND(Params!$F$25,0)))=0),(Params!$F$26+Params!$F$17*Params!$F$16)*Org!$B$10,0)</f>
        <v>0</v>
      </c>
      <c r="H21" s="44">
        <f>H$5*IF(AND(H$4&gt;Teams!$C$80,MOD(H$4-Teams!$C$80,MAX(1,ROUND(Params!$F$25,0)))=0),(Params!$F$26+Params!$F$17*Params!$F$16)*Org!$B$10,0)</f>
        <v>0</v>
      </c>
      <c r="I21" s="44">
        <f>I$5*IF(AND(I$4&gt;Teams!$C$80,MOD(I$4-Teams!$C$80,MAX(1,ROUND(Params!$F$25,0)))=0),(Params!$F$26+Params!$F$17*Params!$F$16)*Org!$B$10,0)</f>
        <v>0</v>
      </c>
      <c r="J21" s="44">
        <f>J$5*IF(AND(J$4&gt;Teams!$C$80,MOD(J$4-Teams!$C$80,MAX(1,ROUND(Params!$F$25,0)))=0),(Params!$F$26+Params!$F$17*Params!$F$16)*Org!$B$10,0)</f>
        <v>0</v>
      </c>
      <c r="K21" s="44">
        <f>K$5*IF(AND(K$4&gt;Teams!$C$80,MOD(K$4-Teams!$C$80,MAX(1,ROUND(Params!$F$25,0)))=0),(Params!$F$26+Params!$F$17*Params!$F$16)*Org!$B$10,0)</f>
        <v>0</v>
      </c>
      <c r="L21" s="44">
        <f>L$5*IF(AND(L$4&gt;Teams!$C$80,MOD(L$4-Teams!$C$80,MAX(1,ROUND(Params!$F$25,0)))=0),(Params!$F$26+Params!$F$17*Params!$F$16)*Org!$B$10,0)</f>
        <v>0</v>
      </c>
      <c r="M21" s="44">
        <f>M$5*IF(AND(M$4&gt;Teams!$C$80,MOD(M$4-Teams!$C$80,MAX(1,ROUND(Params!$F$25,0)))=0),(Params!$F$26+Params!$F$17*Params!$F$16)*Org!$B$10,0)</f>
        <v>0</v>
      </c>
      <c r="N21" s="44">
        <f>N$5*IF(AND(N$4&gt;Teams!$C$80,MOD(N$4-Teams!$C$80,MAX(1,ROUND(Params!$F$25,0)))=0),(Params!$F$26+Params!$F$17*Params!$F$16)*Org!$B$10,0)</f>
        <v>0</v>
      </c>
      <c r="O21" s="44">
        <f>O$5*IF(AND(O$4&gt;Teams!$C$80,MOD(O$4-Teams!$C$80,MAX(1,ROUND(Params!$F$25,0)))=0),(Params!$F$26+Params!$F$17*Params!$F$16)*Org!$B$10,0)</f>
        <v>0</v>
      </c>
      <c r="P21" s="44">
        <f>P$5*IF(AND(P$4&gt;Teams!$C$80,MOD(P$4-Teams!$C$80,MAX(1,ROUND(Params!$F$25,0)))=0),(Params!$F$26+Params!$F$17*Params!$F$16)*Org!$B$10,0)</f>
        <v>0</v>
      </c>
      <c r="Q21" s="44">
        <f>Q$5*IF(AND(Q$4&gt;Teams!$C$80,MOD(Q$4-Teams!$C$80,MAX(1,ROUND(Params!$F$25,0)))=0),(Params!$F$26+Params!$F$17*Params!$F$16)*Org!$B$10,0)</f>
        <v>27200</v>
      </c>
      <c r="R21" s="44">
        <f>R$5*IF(AND(R$4&gt;Teams!$C$80,MOD(R$4-Teams!$C$80,MAX(1,ROUND(Params!$F$25,0)))=0),(Params!$F$26+Params!$F$17*Params!$F$16)*Org!$B$10,0)</f>
        <v>0</v>
      </c>
      <c r="S21" s="44">
        <f>S$5*IF(AND(S$4&gt;Teams!$C$80,MOD(S$4-Teams!$C$80,MAX(1,ROUND(Params!$F$25,0)))=0),(Params!$F$26+Params!$F$17*Params!$F$16)*Org!$B$10,0)</f>
        <v>0</v>
      </c>
      <c r="T21" s="44">
        <f>T$5*IF(AND(T$4&gt;Teams!$C$80,MOD(T$4-Teams!$C$80,MAX(1,ROUND(Params!$F$25,0)))=0),(Params!$F$26+Params!$F$17*Params!$F$16)*Org!$B$10,0)</f>
        <v>0</v>
      </c>
      <c r="U21" s="44">
        <f>U$5*IF(AND(U$4&gt;Teams!$C$80,MOD(U$4-Teams!$C$80,MAX(1,ROUND(Params!$F$25,0)))=0),(Params!$F$26+Params!$F$17*Params!$F$16)*Org!$B$10,0)</f>
        <v>0</v>
      </c>
      <c r="V21" s="44">
        <f>V$5*IF(AND(V$4&gt;Teams!$C$80,MOD(V$4-Teams!$C$80,MAX(1,ROUND(Params!$F$25,0)))=0),(Params!$F$26+Params!$F$17*Params!$F$16)*Org!$B$10,0)</f>
        <v>0</v>
      </c>
      <c r="W21" s="44">
        <f>W$5*IF(AND(W$4&gt;Teams!$C$80,MOD(W$4-Teams!$C$80,MAX(1,ROUND(Params!$F$25,0)))=0),(Params!$F$26+Params!$F$17*Params!$F$16)*Org!$B$10,0)</f>
        <v>0</v>
      </c>
      <c r="X21" s="44">
        <f>X$5*IF(AND(X$4&gt;Teams!$C$80,MOD(X$4-Teams!$C$80,MAX(1,ROUND(Params!$F$25,0)))=0),(Params!$F$26+Params!$F$17*Params!$F$16)*Org!$B$10,0)</f>
        <v>0</v>
      </c>
      <c r="Y21" s="44">
        <f>Y$5*IF(AND(Y$4&gt;Teams!$C$80,MOD(Y$4-Teams!$C$80,MAX(1,ROUND(Params!$F$25,0)))=0),(Params!$F$26+Params!$F$17*Params!$F$16)*Org!$B$10,0)</f>
        <v>0</v>
      </c>
      <c r="Z21" s="44">
        <f>Z$5*IF(AND(Z$4&gt;Teams!$C$80,MOD(Z$4-Teams!$C$80,MAX(1,ROUND(Params!$F$25,0)))=0),(Params!$F$26+Params!$F$17*Params!$F$16)*Org!$B$10,0)</f>
        <v>0</v>
      </c>
      <c r="AA21" s="44">
        <f>AA$5*IF(AND(AA$4&gt;Teams!$C$80,MOD(AA$4-Teams!$C$80,MAX(1,ROUND(Params!$F$25,0)))=0),(Params!$F$26+Params!$F$17*Params!$F$16)*Org!$B$10,0)</f>
        <v>0</v>
      </c>
      <c r="AB21" s="44">
        <f>AB$5*IF(AND(AB$4&gt;Teams!$C$80,MOD(AB$4-Teams!$C$80,MAX(1,ROUND(Params!$F$25,0)))=0),(Params!$F$26+Params!$F$17*Params!$F$16)*Org!$B$10,0)</f>
        <v>0</v>
      </c>
      <c r="AC21" s="44">
        <f>AC$5*IF(AND(AC$4&gt;Teams!$C$80,MOD(AC$4-Teams!$C$80,MAX(1,ROUND(Params!$F$25,0)))=0),(Params!$F$26+Params!$F$17*Params!$F$16)*Org!$B$10,0)</f>
        <v>27200</v>
      </c>
      <c r="AD21" s="44">
        <f>AD$5*IF(AND(AD$4&gt;Teams!$C$80,MOD(AD$4-Teams!$C$80,MAX(1,ROUND(Params!$F$25,0)))=0),(Params!$F$26+Params!$F$17*Params!$F$16)*Org!$B$10,0)</f>
        <v>0</v>
      </c>
      <c r="AE21" s="44">
        <f>AE$5*IF(AND(AE$4&gt;Teams!$C$80,MOD(AE$4-Teams!$C$80,MAX(1,ROUND(Params!$F$25,0)))=0),(Params!$F$26+Params!$F$17*Params!$F$16)*Org!$B$10,0)</f>
        <v>0</v>
      </c>
      <c r="AF21" s="44">
        <f>AF$5*IF(AND(AF$4&gt;Teams!$C$80,MOD(AF$4-Teams!$C$80,MAX(1,ROUND(Params!$F$25,0)))=0),(Params!$F$26+Params!$F$17*Params!$F$16)*Org!$B$10,0)</f>
        <v>0</v>
      </c>
      <c r="AG21" s="44">
        <f>AG$5*IF(AND(AG$4&gt;Teams!$C$80,MOD(AG$4-Teams!$C$80,MAX(1,ROUND(Params!$F$25,0)))=0),(Params!$F$26+Params!$F$17*Params!$F$16)*Org!$B$10,0)</f>
        <v>0</v>
      </c>
      <c r="AH21" s="44">
        <f>AH$5*IF(AND(AH$4&gt;Teams!$C$80,MOD(AH$4-Teams!$C$80,MAX(1,ROUND(Params!$F$25,0)))=0),(Params!$F$26+Params!$F$17*Params!$F$16)*Org!$B$10,0)</f>
        <v>0</v>
      </c>
      <c r="AI21" s="44">
        <f>AI$5*IF(AND(AI$4&gt;Teams!$C$80,MOD(AI$4-Teams!$C$80,MAX(1,ROUND(Params!$F$25,0)))=0),(Params!$F$26+Params!$F$17*Params!$F$16)*Org!$B$10,0)</f>
        <v>0</v>
      </c>
      <c r="AJ21" s="44">
        <f>AJ$5*IF(AND(AJ$4&gt;Teams!$C$80,MOD(AJ$4-Teams!$C$80,MAX(1,ROUND(Params!$F$25,0)))=0),(Params!$F$26+Params!$F$17*Params!$F$16)*Org!$B$10,0)</f>
        <v>0</v>
      </c>
      <c r="AK21" s="44">
        <f>AK$5*IF(AND(AK$4&gt;Teams!$C$80,MOD(AK$4-Teams!$C$80,MAX(1,ROUND(Params!$F$25,0)))=0),(Params!$F$26+Params!$F$17*Params!$F$16)*Org!$B$10,0)</f>
        <v>0</v>
      </c>
      <c r="AL21" s="44">
        <f>AL$5*IF(AND(AL$4&gt;Teams!$C$80,MOD(AL$4-Teams!$C$80,MAX(1,ROUND(Params!$F$25,0)))=0),(Params!$F$26+Params!$F$17*Params!$F$16)*Org!$B$10,0)</f>
        <v>0</v>
      </c>
      <c r="AM21" s="44">
        <f>AM$5*IF(AND(AM$4&gt;Teams!$C$80,MOD(AM$4-Teams!$C$80,MAX(1,ROUND(Params!$F$25,0)))=0),(Params!$F$26+Params!$F$17*Params!$F$16)*Org!$B$10,0)</f>
        <v>0</v>
      </c>
      <c r="AN21" s="44">
        <f>AN$5*IF(AND(AN$4&gt;Teams!$C$80,MOD(AN$4-Teams!$C$80,MAX(1,ROUND(Params!$F$25,0)))=0),(Params!$F$26+Params!$F$17*Params!$F$16)*Org!$B$10,0)</f>
        <v>0</v>
      </c>
      <c r="AO21" s="44">
        <f>AO$5*IF(AND(AO$4&gt;Teams!$C$80,MOD(AO$4-Teams!$C$80,MAX(1,ROUND(Params!$F$25,0)))=0),(Params!$F$26+Params!$F$17*Params!$F$16)*Org!$B$10,0)</f>
        <v>0</v>
      </c>
      <c r="AP21" s="44">
        <f>AP$5*IF(AND(AP$4&gt;Teams!$C$80,MOD(AP$4-Teams!$C$80,MAX(1,ROUND(Params!$F$25,0)))=0),(Params!$F$26+Params!$F$17*Params!$F$16)*Org!$B$10,0)</f>
        <v>0</v>
      </c>
      <c r="AQ21" s="44">
        <f>AQ$5*IF(AND(AQ$4&gt;Teams!$C$80,MOD(AQ$4-Teams!$C$80,MAX(1,ROUND(Params!$F$25,0)))=0),(Params!$F$26+Params!$F$17*Params!$F$16)*Org!$B$10,0)</f>
        <v>0</v>
      </c>
      <c r="AR21" s="44">
        <f>AR$5*IF(AND(AR$4&gt;Teams!$C$80,MOD(AR$4-Teams!$C$80,MAX(1,ROUND(Params!$F$25,0)))=0),(Params!$F$26+Params!$F$17*Params!$F$16)*Org!$B$10,0)</f>
        <v>0</v>
      </c>
      <c r="AS21" s="44">
        <f>AS$5*IF(AND(AS$4&gt;Teams!$C$80,MOD(AS$4-Teams!$C$80,MAX(1,ROUND(Params!$F$25,0)))=0),(Params!$F$26+Params!$F$17*Params!$F$16)*Org!$B$10,0)</f>
        <v>0</v>
      </c>
      <c r="AT21" s="44">
        <f>AT$5*IF(AND(AT$4&gt;Teams!$C$80,MOD(AT$4-Teams!$C$80,MAX(1,ROUND(Params!$F$25,0)))=0),(Params!$F$26+Params!$F$17*Params!$F$16)*Org!$B$10,0)</f>
        <v>0</v>
      </c>
      <c r="AU21" s="44">
        <f>AU$5*IF(AND(AU$4&gt;Teams!$C$80,MOD(AU$4-Teams!$C$80,MAX(1,ROUND(Params!$F$25,0)))=0),(Params!$F$26+Params!$F$17*Params!$F$16)*Org!$B$10,0)</f>
        <v>0</v>
      </c>
      <c r="AV21" s="44">
        <f>AV$5*IF(AND(AV$4&gt;Teams!$C$80,MOD(AV$4-Teams!$C$80,MAX(1,ROUND(Params!$F$25,0)))=0),(Params!$F$26+Params!$F$17*Params!$F$16)*Org!$B$10,0)</f>
        <v>0</v>
      </c>
      <c r="AW21" s="44">
        <f>AW$5*IF(AND(AW$4&gt;Teams!$C$80,MOD(AW$4-Teams!$C$80,MAX(1,ROUND(Params!$F$25,0)))=0),(Params!$F$26+Params!$F$17*Params!$F$16)*Org!$B$10,0)</f>
        <v>0</v>
      </c>
      <c r="AX21" s="44">
        <f>AX$5*IF(AND(AX$4&gt;Teams!$C$80,MOD(AX$4-Teams!$C$80,MAX(1,ROUND(Params!$F$25,0)))=0),(Params!$F$26+Params!$F$17*Params!$F$16)*Org!$B$10,0)</f>
        <v>0</v>
      </c>
      <c r="AY21" s="44">
        <f>AY$5*IF(AND(AY$4&gt;Teams!$C$80,MOD(AY$4-Teams!$C$80,MAX(1,ROUND(Params!$F$25,0)))=0),(Params!$F$26+Params!$F$17*Params!$F$16)*Org!$B$10,0)</f>
        <v>0</v>
      </c>
      <c r="AZ21" s="44">
        <f>AZ$5*IF(AND(AZ$4&gt;Teams!$C$80,MOD(AZ$4-Teams!$C$80,MAX(1,ROUND(Params!$F$25,0)))=0),(Params!$F$26+Params!$F$17*Params!$F$16)*Org!$B$10,0)</f>
        <v>0</v>
      </c>
      <c r="BA21" s="44">
        <f>BA$5*IF(AND(BA$4&gt;Teams!$C$80,MOD(BA$4-Teams!$C$80,MAX(1,ROUND(Params!$F$25,0)))=0),(Params!$F$26+Params!$F$17*Params!$F$16)*Org!$B$10,0)</f>
        <v>0</v>
      </c>
      <c r="BB21" s="44">
        <f>BB$5*IF(AND(BB$4&gt;Teams!$C$80,MOD(BB$4-Teams!$C$80,MAX(1,ROUND(Params!$F$25,0)))=0),(Params!$F$26+Params!$F$17*Params!$F$16)*Org!$B$10,0)</f>
        <v>0</v>
      </c>
      <c r="BC21" s="44">
        <f>BC$5*IF(AND(BC$4&gt;Teams!$C$80,MOD(BC$4-Teams!$C$80,MAX(1,ROUND(Params!$F$25,0)))=0),(Params!$F$26+Params!$F$17*Params!$F$16)*Org!$B$10,0)</f>
        <v>0</v>
      </c>
      <c r="BD21" s="44">
        <f>BD$5*IF(AND(BD$4&gt;Teams!$C$80,MOD(BD$4-Teams!$C$80,MAX(1,ROUND(Params!$F$25,0)))=0),(Params!$F$26+Params!$F$17*Params!$F$16)*Org!$B$10,0)</f>
        <v>0</v>
      </c>
      <c r="BE21" s="44">
        <f>BE$5*IF(AND(BE$4&gt;Teams!$C$80,MOD(BE$4-Teams!$C$80,MAX(1,ROUND(Params!$F$25,0)))=0),(Params!$F$26+Params!$F$17*Params!$F$16)*Org!$B$10,0)</f>
        <v>0</v>
      </c>
      <c r="BF21" s="44">
        <f>BF$5*IF(AND(BF$4&gt;Teams!$C$80,MOD(BF$4-Teams!$C$80,MAX(1,ROUND(Params!$F$25,0)))=0),(Params!$F$26+Params!$F$17*Params!$F$16)*Org!$B$10,0)</f>
        <v>0</v>
      </c>
      <c r="BG21" s="44">
        <f>BG$5*IF(AND(BG$4&gt;Teams!$C$80,MOD(BG$4-Teams!$C$80,MAX(1,ROUND(Params!$F$25,0)))=0),(Params!$F$26+Params!$F$17*Params!$F$16)*Org!$B$10,0)</f>
        <v>0</v>
      </c>
      <c r="BH21" s="44">
        <f>BH$5*IF(AND(BH$4&gt;Teams!$C$80,MOD(BH$4-Teams!$C$80,MAX(1,ROUND(Params!$F$25,0)))=0),(Params!$F$26+Params!$F$17*Params!$F$16)*Org!$B$10,0)</f>
        <v>0</v>
      </c>
      <c r="BI21" s="44">
        <f>BI$5*IF(AND(BI$4&gt;Teams!$C$80,MOD(BI$4-Teams!$C$80,MAX(1,ROUND(Params!$F$25,0)))=0),(Params!$F$26+Params!$F$17*Params!$F$16)*Org!$B$10,0)</f>
        <v>0</v>
      </c>
      <c r="BJ21" s="44">
        <f>BJ$5*IF(AND(BJ$4&gt;Teams!$C$80,MOD(BJ$4-Teams!$C$80,MAX(1,ROUND(Params!$F$25,0)))=0),(Params!$F$26+Params!$F$17*Params!$F$16)*Org!$B$10,0)</f>
        <v>0</v>
      </c>
      <c r="BK21" s="44">
        <f>BK$5*IF(AND(BK$4&gt;Teams!$C$80,MOD(BK$4-Teams!$C$80,MAX(1,ROUND(Params!$F$25,0)))=0),(Params!$F$26+Params!$F$17*Params!$F$16)*Org!$B$10,0)</f>
        <v>0</v>
      </c>
      <c r="BL21" s="44">
        <f>BL$5*IF(AND(BL$4&gt;Teams!$C$80,MOD(BL$4-Teams!$C$80,MAX(1,ROUND(Params!$F$25,0)))=0),(Params!$F$26+Params!$F$17*Params!$F$16)*Org!$B$10,0)</f>
        <v>0</v>
      </c>
    </row>
    <row r="22" spans="1:64" x14ac:dyDescent="0.3">
      <c r="A22" s="8" t="s">
        <v>674</v>
      </c>
      <c r="B22" s="18" t="s">
        <v>604</v>
      </c>
      <c r="C22" s="44">
        <f t="shared" si="2"/>
        <v>1696480.199999999</v>
      </c>
      <c r="E22" s="44">
        <f>E$5*E12*MIN(1,Teams!$C$41*Params!$F$35)*Params!$F$36/60*Teams!$C$42</f>
        <v>3751.2</v>
      </c>
      <c r="F22" s="44">
        <f>F$5*F12*MIN(1,Teams!$C$41*Params!$F$35)*Params!$F$36/60*Teams!$C$42</f>
        <v>13129.2</v>
      </c>
      <c r="G22" s="44">
        <f>G$5*G12*MIN(1,Teams!$C$41*Params!$F$35)*Params!$F$36/60*Teams!$C$42</f>
        <v>25320.6</v>
      </c>
      <c r="H22" s="44">
        <f>H$5*H12*MIN(1,Teams!$C$41*Params!$F$35)*Params!$F$36/60*Teams!$C$42</f>
        <v>37512</v>
      </c>
      <c r="I22" s="44">
        <f>I$5*I12*MIN(1,Teams!$C$41*Params!$F$35)*Params!$F$36/60*Teams!$C$42</f>
        <v>46890.000000000015</v>
      </c>
      <c r="J22" s="44">
        <f>J$5*J12*MIN(1,Teams!$C$41*Params!$F$35)*Params!$F$36/60*Teams!$C$42</f>
        <v>50641.2</v>
      </c>
      <c r="K22" s="44">
        <f>K$5*K12*MIN(1,Teams!$C$41*Params!$F$35)*Params!$F$36/60*Teams!$C$42</f>
        <v>50641.2</v>
      </c>
      <c r="L22" s="44">
        <f>L$5*L12*MIN(1,Teams!$C$41*Params!$F$35)*Params!$F$36/60*Teams!$C$42</f>
        <v>50641.2</v>
      </c>
      <c r="M22" s="44">
        <f>M$5*M12*MIN(1,Teams!$C$41*Params!$F$35)*Params!$F$36/60*Teams!$C$42</f>
        <v>50641.2</v>
      </c>
      <c r="N22" s="44">
        <f>N$5*N12*MIN(1,Teams!$C$41*Params!$F$35)*Params!$F$36/60*Teams!$C$42</f>
        <v>50641.2</v>
      </c>
      <c r="O22" s="44">
        <f>O$5*O12*MIN(1,Teams!$C$41*Params!$F$35)*Params!$F$36/60*Teams!$C$42</f>
        <v>50641.2</v>
      </c>
      <c r="P22" s="44">
        <f>P$5*P12*MIN(1,Teams!$C$41*Params!$F$35)*Params!$F$36/60*Teams!$C$42</f>
        <v>50641.2</v>
      </c>
      <c r="Q22" s="44">
        <f>Q$5*Q12*MIN(1,Teams!$C$41*Params!$F$35)*Params!$F$36/60*Teams!$C$42</f>
        <v>50641.2</v>
      </c>
      <c r="R22" s="44">
        <f>R$5*R12*MIN(1,Teams!$C$41*Params!$F$35)*Params!$F$36/60*Teams!$C$42</f>
        <v>50641.2</v>
      </c>
      <c r="S22" s="44">
        <f>S$5*S12*MIN(1,Teams!$C$41*Params!$F$35)*Params!$F$36/60*Teams!$C$42</f>
        <v>50641.2</v>
      </c>
      <c r="T22" s="44">
        <f>T$5*T12*MIN(1,Teams!$C$41*Params!$F$35)*Params!$F$36/60*Teams!$C$42</f>
        <v>50641.2</v>
      </c>
      <c r="U22" s="44">
        <f>U$5*U12*MIN(1,Teams!$C$41*Params!$F$35)*Params!$F$36/60*Teams!$C$42</f>
        <v>50641.2</v>
      </c>
      <c r="V22" s="44">
        <f>V$5*V12*MIN(1,Teams!$C$41*Params!$F$35)*Params!$F$36/60*Teams!$C$42</f>
        <v>50641.2</v>
      </c>
      <c r="W22" s="44">
        <f>W$5*W12*MIN(1,Teams!$C$41*Params!$F$35)*Params!$F$36/60*Teams!$C$42</f>
        <v>50641.2</v>
      </c>
      <c r="X22" s="44">
        <f>X$5*X12*MIN(1,Teams!$C$41*Params!$F$35)*Params!$F$36/60*Teams!$C$42</f>
        <v>50641.2</v>
      </c>
      <c r="Y22" s="44">
        <f>Y$5*Y12*MIN(1,Teams!$C$41*Params!$F$35)*Params!$F$36/60*Teams!$C$42</f>
        <v>50641.2</v>
      </c>
      <c r="Z22" s="44">
        <f>Z$5*Z12*MIN(1,Teams!$C$41*Params!$F$35)*Params!$F$36/60*Teams!$C$42</f>
        <v>50641.2</v>
      </c>
      <c r="AA22" s="44">
        <f>AA$5*AA12*MIN(1,Teams!$C$41*Params!$F$35)*Params!$F$36/60*Teams!$C$42</f>
        <v>50641.2</v>
      </c>
      <c r="AB22" s="44">
        <f>AB$5*AB12*MIN(1,Teams!$C$41*Params!$F$35)*Params!$F$36/60*Teams!$C$42</f>
        <v>50641.2</v>
      </c>
      <c r="AC22" s="44">
        <f>AC$5*AC12*MIN(1,Teams!$C$41*Params!$F$35)*Params!$F$36/60*Teams!$C$42</f>
        <v>50641.2</v>
      </c>
      <c r="AD22" s="44">
        <f>AD$5*AD12*MIN(1,Teams!$C$41*Params!$F$35)*Params!$F$36/60*Teams!$C$42</f>
        <v>50641.2</v>
      </c>
      <c r="AE22" s="44">
        <f>AE$5*AE12*MIN(1,Teams!$C$41*Params!$F$35)*Params!$F$36/60*Teams!$C$42</f>
        <v>50641.2</v>
      </c>
      <c r="AF22" s="44">
        <f>AF$5*AF12*MIN(1,Teams!$C$41*Params!$F$35)*Params!$F$36/60*Teams!$C$42</f>
        <v>50641.2</v>
      </c>
      <c r="AG22" s="44">
        <f>AG$5*AG12*MIN(1,Teams!$C$41*Params!$F$35)*Params!$F$36/60*Teams!$C$42</f>
        <v>50641.2</v>
      </c>
      <c r="AH22" s="44">
        <f>AH$5*AH12*MIN(1,Teams!$C$41*Params!$F$35)*Params!$F$36/60*Teams!$C$42</f>
        <v>50641.2</v>
      </c>
      <c r="AI22" s="44">
        <f>AI$5*AI12*MIN(1,Teams!$C$41*Params!$F$35)*Params!$F$36/60*Teams!$C$42</f>
        <v>50641.2</v>
      </c>
      <c r="AJ22" s="44">
        <f>AJ$5*AJ12*MIN(1,Teams!$C$41*Params!$F$35)*Params!$F$36/60*Teams!$C$42</f>
        <v>50641.2</v>
      </c>
      <c r="AK22" s="44">
        <f>AK$5*AK12*MIN(1,Teams!$C$41*Params!$F$35)*Params!$F$36/60*Teams!$C$42</f>
        <v>50641.2</v>
      </c>
      <c r="AL22" s="44">
        <f>AL$5*AL12*MIN(1,Teams!$C$41*Params!$F$35)*Params!$F$36/60*Teams!$C$42</f>
        <v>50641.2</v>
      </c>
      <c r="AM22" s="44">
        <f>AM$5*AM12*MIN(1,Teams!$C$41*Params!$F$35)*Params!$F$36/60*Teams!$C$42</f>
        <v>50641.2</v>
      </c>
      <c r="AN22" s="44">
        <f>AN$5*AN12*MIN(1,Teams!$C$41*Params!$F$35)*Params!$F$36/60*Teams!$C$42</f>
        <v>50641.2</v>
      </c>
      <c r="AO22" s="44">
        <f>AO$5*AO12*MIN(1,Teams!$C$41*Params!$F$35)*Params!$F$36/60*Teams!$C$42</f>
        <v>0</v>
      </c>
      <c r="AP22" s="44">
        <f>AP$5*AP12*MIN(1,Teams!$C$41*Params!$F$35)*Params!$F$36/60*Teams!$C$42</f>
        <v>0</v>
      </c>
      <c r="AQ22" s="44">
        <f>AQ$5*AQ12*MIN(1,Teams!$C$41*Params!$F$35)*Params!$F$36/60*Teams!$C$42</f>
        <v>0</v>
      </c>
      <c r="AR22" s="44">
        <f>AR$5*AR12*MIN(1,Teams!$C$41*Params!$F$35)*Params!$F$36/60*Teams!$C$42</f>
        <v>0</v>
      </c>
      <c r="AS22" s="44">
        <f>AS$5*AS12*MIN(1,Teams!$C$41*Params!$F$35)*Params!$F$36/60*Teams!$C$42</f>
        <v>0</v>
      </c>
      <c r="AT22" s="44">
        <f>AT$5*AT12*MIN(1,Teams!$C$41*Params!$F$35)*Params!$F$36/60*Teams!$C$42</f>
        <v>0</v>
      </c>
      <c r="AU22" s="44">
        <f>AU$5*AU12*MIN(1,Teams!$C$41*Params!$F$35)*Params!$F$36/60*Teams!$C$42</f>
        <v>0</v>
      </c>
      <c r="AV22" s="44">
        <f>AV$5*AV12*MIN(1,Teams!$C$41*Params!$F$35)*Params!$F$36/60*Teams!$C$42</f>
        <v>0</v>
      </c>
      <c r="AW22" s="44">
        <f>AW$5*AW12*MIN(1,Teams!$C$41*Params!$F$35)*Params!$F$36/60*Teams!$C$42</f>
        <v>0</v>
      </c>
      <c r="AX22" s="44">
        <f>AX$5*AX12*MIN(1,Teams!$C$41*Params!$F$35)*Params!$F$36/60*Teams!$C$42</f>
        <v>0</v>
      </c>
      <c r="AY22" s="44">
        <f>AY$5*AY12*MIN(1,Teams!$C$41*Params!$F$35)*Params!$F$36/60*Teams!$C$42</f>
        <v>0</v>
      </c>
      <c r="AZ22" s="44">
        <f>AZ$5*AZ12*MIN(1,Teams!$C$41*Params!$F$35)*Params!$F$36/60*Teams!$C$42</f>
        <v>0</v>
      </c>
      <c r="BA22" s="44">
        <f>BA$5*BA12*MIN(1,Teams!$C$41*Params!$F$35)*Params!$F$36/60*Teams!$C$42</f>
        <v>0</v>
      </c>
      <c r="BB22" s="44">
        <f>BB$5*BB12*MIN(1,Teams!$C$41*Params!$F$35)*Params!$F$36/60*Teams!$C$42</f>
        <v>0</v>
      </c>
      <c r="BC22" s="44">
        <f>BC$5*BC12*MIN(1,Teams!$C$41*Params!$F$35)*Params!$F$36/60*Teams!$C$42</f>
        <v>0</v>
      </c>
      <c r="BD22" s="44">
        <f>BD$5*BD12*MIN(1,Teams!$C$41*Params!$F$35)*Params!$F$36/60*Teams!$C$42</f>
        <v>0</v>
      </c>
      <c r="BE22" s="44">
        <f>BE$5*BE12*MIN(1,Teams!$C$41*Params!$F$35)*Params!$F$36/60*Teams!$C$42</f>
        <v>0</v>
      </c>
      <c r="BF22" s="44">
        <f>BF$5*BF12*MIN(1,Teams!$C$41*Params!$F$35)*Params!$F$36/60*Teams!$C$42</f>
        <v>0</v>
      </c>
      <c r="BG22" s="44">
        <f>BG$5*BG12*MIN(1,Teams!$C$41*Params!$F$35)*Params!$F$36/60*Teams!$C$42</f>
        <v>0</v>
      </c>
      <c r="BH22" s="44">
        <f>BH$5*BH12*MIN(1,Teams!$C$41*Params!$F$35)*Params!$F$36/60*Teams!$C$42</f>
        <v>0</v>
      </c>
      <c r="BI22" s="44">
        <f>BI$5*BI12*MIN(1,Teams!$C$41*Params!$F$35)*Params!$F$36/60*Teams!$C$42</f>
        <v>0</v>
      </c>
      <c r="BJ22" s="44">
        <f>BJ$5*BJ12*MIN(1,Teams!$C$41*Params!$F$35)*Params!$F$36/60*Teams!$C$42</f>
        <v>0</v>
      </c>
      <c r="BK22" s="44">
        <f>BK$5*BK12*MIN(1,Teams!$C$41*Params!$F$35)*Params!$F$36/60*Teams!$C$42</f>
        <v>0</v>
      </c>
      <c r="BL22" s="44">
        <f>BL$5*BL12*MIN(1,Teams!$C$41*Params!$F$35)*Params!$F$36/60*Teams!$C$42</f>
        <v>0</v>
      </c>
    </row>
    <row r="23" spans="1:64" x14ac:dyDescent="0.3">
      <c r="A23" s="8" t="s">
        <v>675</v>
      </c>
      <c r="B23" s="18" t="s">
        <v>169</v>
      </c>
      <c r="C23" s="44">
        <f t="shared" si="2"/>
        <v>528000</v>
      </c>
      <c r="E23" s="44">
        <f>E$5*IF(E$4&gt;=Teams!$C$80,E10/1000*IF(E$4-Teams!$C$80&lt;6,Params!$F$37,Params!$F$38)*Org!$B$10*Org!$B$12/12,0)</f>
        <v>44000</v>
      </c>
      <c r="F23" s="44">
        <f>F$5*IF(F$4&gt;=Teams!$C$80,F10/1000*IF(F$4-Teams!$C$80&lt;6,Params!$F$37,Params!$F$38)*Org!$B$10*Org!$B$12/12,0)</f>
        <v>44000</v>
      </c>
      <c r="G23" s="44">
        <f>G$5*IF(G$4&gt;=Teams!$C$80,G10/1000*IF(G$4-Teams!$C$80&lt;6,Params!$F$37,Params!$F$38)*Org!$B$10*Org!$B$12/12,0)</f>
        <v>44000</v>
      </c>
      <c r="H23" s="44">
        <f>H$5*IF(H$4&gt;=Teams!$C$80,H10/1000*IF(H$4-Teams!$C$80&lt;6,Params!$F$37,Params!$F$38)*Org!$B$10*Org!$B$12/12,0)</f>
        <v>44000</v>
      </c>
      <c r="I23" s="44">
        <f>I$5*IF(I$4&gt;=Teams!$C$80,I10/1000*IF(I$4-Teams!$C$80&lt;6,Params!$F$37,Params!$F$38)*Org!$B$10*Org!$B$12/12,0)</f>
        <v>44000</v>
      </c>
      <c r="J23" s="44">
        <f>J$5*IF(J$4&gt;=Teams!$C$80,J10/1000*IF(J$4-Teams!$C$80&lt;6,Params!$F$37,Params!$F$38)*Org!$B$10*Org!$B$12/12,0)</f>
        <v>44000</v>
      </c>
      <c r="K23" s="44">
        <f>K$5*IF(K$4&gt;=Teams!$C$80,K10/1000*IF(K$4-Teams!$C$80&lt;6,Params!$F$37,Params!$F$38)*Org!$B$10*Org!$B$12/12,0)</f>
        <v>8800.0000000000018</v>
      </c>
      <c r="L23" s="44">
        <f>L$5*IF(L$4&gt;=Teams!$C$80,L10/1000*IF(L$4-Teams!$C$80&lt;6,Params!$F$37,Params!$F$38)*Org!$B$10*Org!$B$12/12,0)</f>
        <v>8800.0000000000018</v>
      </c>
      <c r="M23" s="44">
        <f>M$5*IF(M$4&gt;=Teams!$C$80,M10/1000*IF(M$4-Teams!$C$80&lt;6,Params!$F$37,Params!$F$38)*Org!$B$10*Org!$B$12/12,0)</f>
        <v>8800.0000000000018</v>
      </c>
      <c r="N23" s="44">
        <f>N$5*IF(N$4&gt;=Teams!$C$80,N10/1000*IF(N$4-Teams!$C$80&lt;6,Params!$F$37,Params!$F$38)*Org!$B$10*Org!$B$12/12,0)</f>
        <v>8800.0000000000018</v>
      </c>
      <c r="O23" s="44">
        <f>O$5*IF(O$4&gt;=Teams!$C$80,O10/1000*IF(O$4-Teams!$C$80&lt;6,Params!$F$37,Params!$F$38)*Org!$B$10*Org!$B$12/12,0)</f>
        <v>8800.0000000000018</v>
      </c>
      <c r="P23" s="44">
        <f>P$5*IF(P$4&gt;=Teams!$C$80,P10/1000*IF(P$4-Teams!$C$80&lt;6,Params!$F$37,Params!$F$38)*Org!$B$10*Org!$B$12/12,0)</f>
        <v>8800.0000000000018</v>
      </c>
      <c r="Q23" s="44">
        <f>Q$5*IF(Q$4&gt;=Teams!$C$80,Q10/1000*IF(Q$4-Teams!$C$80&lt;6,Params!$F$37,Params!$F$38)*Org!$B$10*Org!$B$12/12,0)</f>
        <v>8800.0000000000018</v>
      </c>
      <c r="R23" s="44">
        <f>R$5*IF(R$4&gt;=Teams!$C$80,R10/1000*IF(R$4-Teams!$C$80&lt;6,Params!$F$37,Params!$F$38)*Org!$B$10*Org!$B$12/12,0)</f>
        <v>8800.0000000000018</v>
      </c>
      <c r="S23" s="44">
        <f>S$5*IF(S$4&gt;=Teams!$C$80,S10/1000*IF(S$4-Teams!$C$80&lt;6,Params!$F$37,Params!$F$38)*Org!$B$10*Org!$B$12/12,0)</f>
        <v>8800.0000000000018</v>
      </c>
      <c r="T23" s="44">
        <f>T$5*IF(T$4&gt;=Teams!$C$80,T10/1000*IF(T$4-Teams!$C$80&lt;6,Params!$F$37,Params!$F$38)*Org!$B$10*Org!$B$12/12,0)</f>
        <v>8800.0000000000018</v>
      </c>
      <c r="U23" s="44">
        <f>U$5*IF(U$4&gt;=Teams!$C$80,U10/1000*IF(U$4-Teams!$C$80&lt;6,Params!$F$37,Params!$F$38)*Org!$B$10*Org!$B$12/12,0)</f>
        <v>8800.0000000000018</v>
      </c>
      <c r="V23" s="44">
        <f>V$5*IF(V$4&gt;=Teams!$C$80,V10/1000*IF(V$4-Teams!$C$80&lt;6,Params!$F$37,Params!$F$38)*Org!$B$10*Org!$B$12/12,0)</f>
        <v>8800.0000000000018</v>
      </c>
      <c r="W23" s="44">
        <f>W$5*IF(W$4&gt;=Teams!$C$80,W10/1000*IF(W$4-Teams!$C$80&lt;6,Params!$F$37,Params!$F$38)*Org!$B$10*Org!$B$12/12,0)</f>
        <v>8800.0000000000018</v>
      </c>
      <c r="X23" s="44">
        <f>X$5*IF(X$4&gt;=Teams!$C$80,X10/1000*IF(X$4-Teams!$C$80&lt;6,Params!$F$37,Params!$F$38)*Org!$B$10*Org!$B$12/12,0)</f>
        <v>8800.0000000000018</v>
      </c>
      <c r="Y23" s="44">
        <f>Y$5*IF(Y$4&gt;=Teams!$C$80,Y10/1000*IF(Y$4-Teams!$C$80&lt;6,Params!$F$37,Params!$F$38)*Org!$B$10*Org!$B$12/12,0)</f>
        <v>8800.0000000000018</v>
      </c>
      <c r="Z23" s="44">
        <f>Z$5*IF(Z$4&gt;=Teams!$C$80,Z10/1000*IF(Z$4-Teams!$C$80&lt;6,Params!$F$37,Params!$F$38)*Org!$B$10*Org!$B$12/12,0)</f>
        <v>8800.0000000000018</v>
      </c>
      <c r="AA23" s="44">
        <f>AA$5*IF(AA$4&gt;=Teams!$C$80,AA10/1000*IF(AA$4-Teams!$C$80&lt;6,Params!$F$37,Params!$F$38)*Org!$B$10*Org!$B$12/12,0)</f>
        <v>8800.0000000000018</v>
      </c>
      <c r="AB23" s="44">
        <f>AB$5*IF(AB$4&gt;=Teams!$C$80,AB10/1000*IF(AB$4-Teams!$C$80&lt;6,Params!$F$37,Params!$F$38)*Org!$B$10*Org!$B$12/12,0)</f>
        <v>8800.0000000000018</v>
      </c>
      <c r="AC23" s="44">
        <f>AC$5*IF(AC$4&gt;=Teams!$C$80,AC10/1000*IF(AC$4-Teams!$C$80&lt;6,Params!$F$37,Params!$F$38)*Org!$B$10*Org!$B$12/12,0)</f>
        <v>8800.0000000000018</v>
      </c>
      <c r="AD23" s="44">
        <f>AD$5*IF(AD$4&gt;=Teams!$C$80,AD10/1000*IF(AD$4-Teams!$C$80&lt;6,Params!$F$37,Params!$F$38)*Org!$B$10*Org!$B$12/12,0)</f>
        <v>8800.0000000000018</v>
      </c>
      <c r="AE23" s="44">
        <f>AE$5*IF(AE$4&gt;=Teams!$C$80,AE10/1000*IF(AE$4-Teams!$C$80&lt;6,Params!$F$37,Params!$F$38)*Org!$B$10*Org!$B$12/12,0)</f>
        <v>8800.0000000000018</v>
      </c>
      <c r="AF23" s="44">
        <f>AF$5*IF(AF$4&gt;=Teams!$C$80,AF10/1000*IF(AF$4-Teams!$C$80&lt;6,Params!$F$37,Params!$F$38)*Org!$B$10*Org!$B$12/12,0)</f>
        <v>8800.0000000000018</v>
      </c>
      <c r="AG23" s="44">
        <f>AG$5*IF(AG$4&gt;=Teams!$C$80,AG10/1000*IF(AG$4-Teams!$C$80&lt;6,Params!$F$37,Params!$F$38)*Org!$B$10*Org!$B$12/12,0)</f>
        <v>8800.0000000000018</v>
      </c>
      <c r="AH23" s="44">
        <f>AH$5*IF(AH$4&gt;=Teams!$C$80,AH10/1000*IF(AH$4-Teams!$C$80&lt;6,Params!$F$37,Params!$F$38)*Org!$B$10*Org!$B$12/12,0)</f>
        <v>8800.0000000000018</v>
      </c>
      <c r="AI23" s="44">
        <f>AI$5*IF(AI$4&gt;=Teams!$C$80,AI10/1000*IF(AI$4-Teams!$C$80&lt;6,Params!$F$37,Params!$F$38)*Org!$B$10*Org!$B$12/12,0)</f>
        <v>8800.0000000000018</v>
      </c>
      <c r="AJ23" s="44">
        <f>AJ$5*IF(AJ$4&gt;=Teams!$C$80,AJ10/1000*IF(AJ$4-Teams!$C$80&lt;6,Params!$F$37,Params!$F$38)*Org!$B$10*Org!$B$12/12,0)</f>
        <v>8800.0000000000018</v>
      </c>
      <c r="AK23" s="44">
        <f>AK$5*IF(AK$4&gt;=Teams!$C$80,AK10/1000*IF(AK$4-Teams!$C$80&lt;6,Params!$F$37,Params!$F$38)*Org!$B$10*Org!$B$12/12,0)</f>
        <v>8800.0000000000018</v>
      </c>
      <c r="AL23" s="44">
        <f>AL$5*IF(AL$4&gt;=Teams!$C$80,AL10/1000*IF(AL$4-Teams!$C$80&lt;6,Params!$F$37,Params!$F$38)*Org!$B$10*Org!$B$12/12,0)</f>
        <v>8800.0000000000018</v>
      </c>
      <c r="AM23" s="44">
        <f>AM$5*IF(AM$4&gt;=Teams!$C$80,AM10/1000*IF(AM$4-Teams!$C$80&lt;6,Params!$F$37,Params!$F$38)*Org!$B$10*Org!$B$12/12,0)</f>
        <v>8800.0000000000018</v>
      </c>
      <c r="AN23" s="44">
        <f>AN$5*IF(AN$4&gt;=Teams!$C$80,AN10/1000*IF(AN$4-Teams!$C$80&lt;6,Params!$F$37,Params!$F$38)*Org!$B$10*Org!$B$12/12,0)</f>
        <v>8800.0000000000018</v>
      </c>
      <c r="AO23" s="44">
        <f>AO$5*IF(AO$4&gt;=Teams!$C$80,AO10/1000*IF(AO$4-Teams!$C$80&lt;6,Params!$F$37,Params!$F$38)*Org!$B$10*Org!$B$12/12,0)</f>
        <v>0</v>
      </c>
      <c r="AP23" s="44">
        <f>AP$5*IF(AP$4&gt;=Teams!$C$80,AP10/1000*IF(AP$4-Teams!$C$80&lt;6,Params!$F$37,Params!$F$38)*Org!$B$10*Org!$B$12/12,0)</f>
        <v>0</v>
      </c>
      <c r="AQ23" s="44">
        <f>AQ$5*IF(AQ$4&gt;=Teams!$C$80,AQ10/1000*IF(AQ$4-Teams!$C$80&lt;6,Params!$F$37,Params!$F$38)*Org!$B$10*Org!$B$12/12,0)</f>
        <v>0</v>
      </c>
      <c r="AR23" s="44">
        <f>AR$5*IF(AR$4&gt;=Teams!$C$80,AR10/1000*IF(AR$4-Teams!$C$80&lt;6,Params!$F$37,Params!$F$38)*Org!$B$10*Org!$B$12/12,0)</f>
        <v>0</v>
      </c>
      <c r="AS23" s="44">
        <f>AS$5*IF(AS$4&gt;=Teams!$C$80,AS10/1000*IF(AS$4-Teams!$C$80&lt;6,Params!$F$37,Params!$F$38)*Org!$B$10*Org!$B$12/12,0)</f>
        <v>0</v>
      </c>
      <c r="AT23" s="44">
        <f>AT$5*IF(AT$4&gt;=Teams!$C$80,AT10/1000*IF(AT$4-Teams!$C$80&lt;6,Params!$F$37,Params!$F$38)*Org!$B$10*Org!$B$12/12,0)</f>
        <v>0</v>
      </c>
      <c r="AU23" s="44">
        <f>AU$5*IF(AU$4&gt;=Teams!$C$80,AU10/1000*IF(AU$4-Teams!$C$80&lt;6,Params!$F$37,Params!$F$38)*Org!$B$10*Org!$B$12/12,0)</f>
        <v>0</v>
      </c>
      <c r="AV23" s="44">
        <f>AV$5*IF(AV$4&gt;=Teams!$C$80,AV10/1000*IF(AV$4-Teams!$C$80&lt;6,Params!$F$37,Params!$F$38)*Org!$B$10*Org!$B$12/12,0)</f>
        <v>0</v>
      </c>
      <c r="AW23" s="44">
        <f>AW$5*IF(AW$4&gt;=Teams!$C$80,AW10/1000*IF(AW$4-Teams!$C$80&lt;6,Params!$F$37,Params!$F$38)*Org!$B$10*Org!$B$12/12,0)</f>
        <v>0</v>
      </c>
      <c r="AX23" s="44">
        <f>AX$5*IF(AX$4&gt;=Teams!$C$80,AX10/1000*IF(AX$4-Teams!$C$80&lt;6,Params!$F$37,Params!$F$38)*Org!$B$10*Org!$B$12/12,0)</f>
        <v>0</v>
      </c>
      <c r="AY23" s="44">
        <f>AY$5*IF(AY$4&gt;=Teams!$C$80,AY10/1000*IF(AY$4-Teams!$C$80&lt;6,Params!$F$37,Params!$F$38)*Org!$B$10*Org!$B$12/12,0)</f>
        <v>0</v>
      </c>
      <c r="AZ23" s="44">
        <f>AZ$5*IF(AZ$4&gt;=Teams!$C$80,AZ10/1000*IF(AZ$4-Teams!$C$80&lt;6,Params!$F$37,Params!$F$38)*Org!$B$10*Org!$B$12/12,0)</f>
        <v>0</v>
      </c>
      <c r="BA23" s="44">
        <f>BA$5*IF(BA$4&gt;=Teams!$C$80,BA10/1000*IF(BA$4-Teams!$C$80&lt;6,Params!$F$37,Params!$F$38)*Org!$B$10*Org!$B$12/12,0)</f>
        <v>0</v>
      </c>
      <c r="BB23" s="44">
        <f>BB$5*IF(BB$4&gt;=Teams!$C$80,BB10/1000*IF(BB$4-Teams!$C$80&lt;6,Params!$F$37,Params!$F$38)*Org!$B$10*Org!$B$12/12,0)</f>
        <v>0</v>
      </c>
      <c r="BC23" s="44">
        <f>BC$5*IF(BC$4&gt;=Teams!$C$80,BC10/1000*IF(BC$4-Teams!$C$80&lt;6,Params!$F$37,Params!$F$38)*Org!$B$10*Org!$B$12/12,0)</f>
        <v>0</v>
      </c>
      <c r="BD23" s="44">
        <f>BD$5*IF(BD$4&gt;=Teams!$C$80,BD10/1000*IF(BD$4-Teams!$C$80&lt;6,Params!$F$37,Params!$F$38)*Org!$B$10*Org!$B$12/12,0)</f>
        <v>0</v>
      </c>
      <c r="BE23" s="44">
        <f>BE$5*IF(BE$4&gt;=Teams!$C$80,BE10/1000*IF(BE$4-Teams!$C$80&lt;6,Params!$F$37,Params!$F$38)*Org!$B$10*Org!$B$12/12,0)</f>
        <v>0</v>
      </c>
      <c r="BF23" s="44">
        <f>BF$5*IF(BF$4&gt;=Teams!$C$80,BF10/1000*IF(BF$4-Teams!$C$80&lt;6,Params!$F$37,Params!$F$38)*Org!$B$10*Org!$B$12/12,0)</f>
        <v>0</v>
      </c>
      <c r="BG23" s="44">
        <f>BG$5*IF(BG$4&gt;=Teams!$C$80,BG10/1000*IF(BG$4-Teams!$C$80&lt;6,Params!$F$37,Params!$F$38)*Org!$B$10*Org!$B$12/12,0)</f>
        <v>0</v>
      </c>
      <c r="BH23" s="44">
        <f>BH$5*IF(BH$4&gt;=Teams!$C$80,BH10/1000*IF(BH$4-Teams!$C$80&lt;6,Params!$F$37,Params!$F$38)*Org!$B$10*Org!$B$12/12,0)</f>
        <v>0</v>
      </c>
      <c r="BI23" s="44">
        <f>BI$5*IF(BI$4&gt;=Teams!$C$80,BI10/1000*IF(BI$4-Teams!$C$80&lt;6,Params!$F$37,Params!$F$38)*Org!$B$10*Org!$B$12/12,0)</f>
        <v>0</v>
      </c>
      <c r="BJ23" s="44">
        <f>BJ$5*IF(BJ$4&gt;=Teams!$C$80,BJ10/1000*IF(BJ$4-Teams!$C$80&lt;6,Params!$F$37,Params!$F$38)*Org!$B$10*Org!$B$12/12,0)</f>
        <v>0</v>
      </c>
      <c r="BK23" s="44">
        <f>BK$5*IF(BK$4&gt;=Teams!$C$80,BK10/1000*IF(BK$4-Teams!$C$80&lt;6,Params!$F$37,Params!$F$38)*Org!$B$10*Org!$B$12/12,0)</f>
        <v>0</v>
      </c>
      <c r="BL23" s="44">
        <f>BL$5*IF(BL$4&gt;=Teams!$C$80,BL10/1000*IF(BL$4-Teams!$C$80&lt;6,Params!$F$37,Params!$F$38)*Org!$B$10*Org!$B$12/12,0)</f>
        <v>0</v>
      </c>
    </row>
    <row r="24" spans="1:64" x14ac:dyDescent="0.3">
      <c r="A24" s="8" t="s">
        <v>676</v>
      </c>
      <c r="B24" s="18" t="s">
        <v>169</v>
      </c>
      <c r="C24" s="44">
        <f t="shared" si="2"/>
        <v>88800</v>
      </c>
      <c r="D24" s="44">
        <f>Teams!$C$5*((Teams!$C$43*Params!$F$4+Teams!$C$44/100000*Params!$F$5+Teams!$C$43*Params!$F$6)*Org!$B$10)</f>
        <v>88800</v>
      </c>
    </row>
    <row r="25" spans="1:64" x14ac:dyDescent="0.3">
      <c r="A25" s="8" t="s">
        <v>677</v>
      </c>
      <c r="B25" s="18" t="s">
        <v>435</v>
      </c>
      <c r="C25" s="44">
        <f t="shared" si="2"/>
        <v>157.80000000000001</v>
      </c>
      <c r="D25" s="44">
        <f>Teams!$C$5*(Teams!$C$49*(Teams!$C$44*Teams!$C$45*Teams!$C$75+Teams!$C$44*Teams!$C$47*Teams!$C$76/1000000))</f>
        <v>157.80000000000001</v>
      </c>
    </row>
    <row r="26" spans="1:64" x14ac:dyDescent="0.3">
      <c r="A26" s="8" t="s">
        <v>678</v>
      </c>
      <c r="B26" s="18" t="s">
        <v>169</v>
      </c>
      <c r="C26" s="44">
        <f t="shared" si="2"/>
        <v>144000</v>
      </c>
      <c r="D26" s="44">
        <f>Teams!$C$5*((Params!$F$13+Params!$F$16)*Org!$B$10)</f>
        <v>144000</v>
      </c>
    </row>
    <row r="27" spans="1:64" x14ac:dyDescent="0.3">
      <c r="A27" s="8" t="s">
        <v>679</v>
      </c>
      <c r="B27" s="18" t="s">
        <v>169</v>
      </c>
      <c r="C27" s="44">
        <f t="shared" si="2"/>
        <v>2160000</v>
      </c>
      <c r="D27" s="44">
        <f>Teams!$C$5*(Teams!$C$18*Teams!$C$19*Params!$F$34*(Org!$B$10/Org!$B$11))</f>
        <v>2160000</v>
      </c>
    </row>
    <row r="28" spans="1:64" x14ac:dyDescent="0.3">
      <c r="A28" s="8" t="s">
        <v>11</v>
      </c>
      <c r="C28" s="44">
        <f t="shared" si="2"/>
        <v>2544720.2999999998</v>
      </c>
      <c r="E28" s="44">
        <f>E$5*E12*Teams!$C$55/60*Teams!$C$56*INDEX(Params!$D$41:$F$41,Org!$B$17)*Teams!$C$57</f>
        <v>5626.7999999999993</v>
      </c>
      <c r="F28" s="44">
        <f>F$5*F12*Teams!$C$55/60*Teams!$C$56*INDEX(Params!$D$41:$F$41,Org!$B$17)*Teams!$C$57</f>
        <v>19693.8</v>
      </c>
      <c r="G28" s="44">
        <f>G$5*G12*Teams!$C$55/60*Teams!$C$56*INDEX(Params!$D$41:$F$41,Org!$B$17)*Teams!$C$57</f>
        <v>37980.9</v>
      </c>
      <c r="H28" s="44">
        <f>H$5*H12*Teams!$C$55/60*Teams!$C$56*INDEX(Params!$D$41:$F$41,Org!$B$17)*Teams!$C$57</f>
        <v>56268</v>
      </c>
      <c r="I28" s="44">
        <f>I$5*I12*Teams!$C$55/60*Teams!$C$56*INDEX(Params!$D$41:$F$41,Org!$B$17)*Teams!$C$57</f>
        <v>70335.000000000015</v>
      </c>
      <c r="J28" s="44">
        <f>J$5*J12*Teams!$C$55/60*Teams!$C$56*INDEX(Params!$D$41:$F$41,Org!$B$17)*Teams!$C$57</f>
        <v>75961.8</v>
      </c>
      <c r="K28" s="44">
        <f>K$5*K12*Teams!$C$55/60*Teams!$C$56*INDEX(Params!$D$41:$F$41,Org!$B$17)*Teams!$C$57</f>
        <v>75961.8</v>
      </c>
      <c r="L28" s="44">
        <f>L$5*L12*Teams!$C$55/60*Teams!$C$56*INDEX(Params!$D$41:$F$41,Org!$B$17)*Teams!$C$57</f>
        <v>75961.8</v>
      </c>
      <c r="M28" s="44">
        <f>M$5*M12*Teams!$C$55/60*Teams!$C$56*INDEX(Params!$D$41:$F$41,Org!$B$17)*Teams!$C$57</f>
        <v>75961.8</v>
      </c>
      <c r="N28" s="44">
        <f>N$5*N12*Teams!$C$55/60*Teams!$C$56*INDEX(Params!$D$41:$F$41,Org!$B$17)*Teams!$C$57</f>
        <v>75961.8</v>
      </c>
      <c r="O28" s="44">
        <f>O$5*O12*Teams!$C$55/60*Teams!$C$56*INDEX(Params!$D$41:$F$41,Org!$B$17)*Teams!$C$57</f>
        <v>75961.8</v>
      </c>
      <c r="P28" s="44">
        <f>P$5*P12*Teams!$C$55/60*Teams!$C$56*INDEX(Params!$D$41:$F$41,Org!$B$17)*Teams!$C$57</f>
        <v>75961.8</v>
      </c>
      <c r="Q28" s="44">
        <f>Q$5*Q12*Teams!$C$55/60*Teams!$C$56*INDEX(Params!$D$41:$F$41,Org!$B$17)*Teams!$C$57</f>
        <v>75961.8</v>
      </c>
      <c r="R28" s="44">
        <f>R$5*R12*Teams!$C$55/60*Teams!$C$56*INDEX(Params!$D$41:$F$41,Org!$B$17)*Teams!$C$57</f>
        <v>75961.8</v>
      </c>
      <c r="S28" s="44">
        <f>S$5*S12*Teams!$C$55/60*Teams!$C$56*INDEX(Params!$D$41:$F$41,Org!$B$17)*Teams!$C$57</f>
        <v>75961.8</v>
      </c>
      <c r="T28" s="44">
        <f>T$5*T12*Teams!$C$55/60*Teams!$C$56*INDEX(Params!$D$41:$F$41,Org!$B$17)*Teams!$C$57</f>
        <v>75961.8</v>
      </c>
      <c r="U28" s="44">
        <f>U$5*U12*Teams!$C$55/60*Teams!$C$56*INDEX(Params!$D$41:$F$41,Org!$B$17)*Teams!$C$57</f>
        <v>75961.8</v>
      </c>
      <c r="V28" s="44">
        <f>V$5*V12*Teams!$C$55/60*Teams!$C$56*INDEX(Params!$D$41:$F$41,Org!$B$17)*Teams!$C$57</f>
        <v>75961.8</v>
      </c>
      <c r="W28" s="44">
        <f>W$5*W12*Teams!$C$55/60*Teams!$C$56*INDEX(Params!$D$41:$F$41,Org!$B$17)*Teams!$C$57</f>
        <v>75961.8</v>
      </c>
      <c r="X28" s="44">
        <f>X$5*X12*Teams!$C$55/60*Teams!$C$56*INDEX(Params!$D$41:$F$41,Org!$B$17)*Teams!$C$57</f>
        <v>75961.8</v>
      </c>
      <c r="Y28" s="44">
        <f>Y$5*Y12*Teams!$C$55/60*Teams!$C$56*INDEX(Params!$D$41:$F$41,Org!$B$17)*Teams!$C$57</f>
        <v>75961.8</v>
      </c>
      <c r="Z28" s="44">
        <f>Z$5*Z12*Teams!$C$55/60*Teams!$C$56*INDEX(Params!$D$41:$F$41,Org!$B$17)*Teams!$C$57</f>
        <v>75961.8</v>
      </c>
      <c r="AA28" s="44">
        <f>AA$5*AA12*Teams!$C$55/60*Teams!$C$56*INDEX(Params!$D$41:$F$41,Org!$B$17)*Teams!$C$57</f>
        <v>75961.8</v>
      </c>
      <c r="AB28" s="44">
        <f>AB$5*AB12*Teams!$C$55/60*Teams!$C$56*INDEX(Params!$D$41:$F$41,Org!$B$17)*Teams!$C$57</f>
        <v>75961.8</v>
      </c>
      <c r="AC28" s="44">
        <f>AC$5*AC12*Teams!$C$55/60*Teams!$C$56*INDEX(Params!$D$41:$F$41,Org!$B$17)*Teams!$C$57</f>
        <v>75961.8</v>
      </c>
      <c r="AD28" s="44">
        <f>AD$5*AD12*Teams!$C$55/60*Teams!$C$56*INDEX(Params!$D$41:$F$41,Org!$B$17)*Teams!$C$57</f>
        <v>75961.8</v>
      </c>
      <c r="AE28" s="44">
        <f>AE$5*AE12*Teams!$C$55/60*Teams!$C$56*INDEX(Params!$D$41:$F$41,Org!$B$17)*Teams!$C$57</f>
        <v>75961.8</v>
      </c>
      <c r="AF28" s="44">
        <f>AF$5*AF12*Teams!$C$55/60*Teams!$C$56*INDEX(Params!$D$41:$F$41,Org!$B$17)*Teams!$C$57</f>
        <v>75961.8</v>
      </c>
      <c r="AG28" s="44">
        <f>AG$5*AG12*Teams!$C$55/60*Teams!$C$56*INDEX(Params!$D$41:$F$41,Org!$B$17)*Teams!$C$57</f>
        <v>75961.8</v>
      </c>
      <c r="AH28" s="44">
        <f>AH$5*AH12*Teams!$C$55/60*Teams!$C$56*INDEX(Params!$D$41:$F$41,Org!$B$17)*Teams!$C$57</f>
        <v>75961.8</v>
      </c>
      <c r="AI28" s="44">
        <f>AI$5*AI12*Teams!$C$55/60*Teams!$C$56*INDEX(Params!$D$41:$F$41,Org!$B$17)*Teams!$C$57</f>
        <v>75961.8</v>
      </c>
      <c r="AJ28" s="44">
        <f>AJ$5*AJ12*Teams!$C$55/60*Teams!$C$56*INDEX(Params!$D$41:$F$41,Org!$B$17)*Teams!$C$57</f>
        <v>75961.8</v>
      </c>
      <c r="AK28" s="44">
        <f>AK$5*AK12*Teams!$C$55/60*Teams!$C$56*INDEX(Params!$D$41:$F$41,Org!$B$17)*Teams!$C$57</f>
        <v>75961.8</v>
      </c>
      <c r="AL28" s="44">
        <f>AL$5*AL12*Teams!$C$55/60*Teams!$C$56*INDEX(Params!$D$41:$F$41,Org!$B$17)*Teams!$C$57</f>
        <v>75961.8</v>
      </c>
      <c r="AM28" s="44">
        <f>AM$5*AM12*Teams!$C$55/60*Teams!$C$56*INDEX(Params!$D$41:$F$41,Org!$B$17)*Teams!$C$57</f>
        <v>75961.8</v>
      </c>
      <c r="AN28" s="44">
        <f>AN$5*AN12*Teams!$C$55/60*Teams!$C$56*INDEX(Params!$D$41:$F$41,Org!$B$17)*Teams!$C$57</f>
        <v>75961.8</v>
      </c>
      <c r="AO28" s="44">
        <f>AO$5*AO12*Teams!$C$55/60*Teams!$C$56*INDEX(Params!$D$41:$F$41,Org!$B$17)*Teams!$C$57</f>
        <v>0</v>
      </c>
      <c r="AP28" s="44">
        <f>AP$5*AP12*Teams!$C$55/60*Teams!$C$56*INDEX(Params!$D$41:$F$41,Org!$B$17)*Teams!$C$57</f>
        <v>0</v>
      </c>
      <c r="AQ28" s="44">
        <f>AQ$5*AQ12*Teams!$C$55/60*Teams!$C$56*INDEX(Params!$D$41:$F$41,Org!$B$17)*Teams!$C$57</f>
        <v>0</v>
      </c>
      <c r="AR28" s="44">
        <f>AR$5*AR12*Teams!$C$55/60*Teams!$C$56*INDEX(Params!$D$41:$F$41,Org!$B$17)*Teams!$C$57</f>
        <v>0</v>
      </c>
      <c r="AS28" s="44">
        <f>AS$5*AS12*Teams!$C$55/60*Teams!$C$56*INDEX(Params!$D$41:$F$41,Org!$B$17)*Teams!$C$57</f>
        <v>0</v>
      </c>
      <c r="AT28" s="44">
        <f>AT$5*AT12*Teams!$C$55/60*Teams!$C$56*INDEX(Params!$D$41:$F$41,Org!$B$17)*Teams!$C$57</f>
        <v>0</v>
      </c>
      <c r="AU28" s="44">
        <f>AU$5*AU12*Teams!$C$55/60*Teams!$C$56*INDEX(Params!$D$41:$F$41,Org!$B$17)*Teams!$C$57</f>
        <v>0</v>
      </c>
      <c r="AV28" s="44">
        <f>AV$5*AV12*Teams!$C$55/60*Teams!$C$56*INDEX(Params!$D$41:$F$41,Org!$B$17)*Teams!$C$57</f>
        <v>0</v>
      </c>
      <c r="AW28" s="44">
        <f>AW$5*AW12*Teams!$C$55/60*Teams!$C$56*INDEX(Params!$D$41:$F$41,Org!$B$17)*Teams!$C$57</f>
        <v>0</v>
      </c>
      <c r="AX28" s="44">
        <f>AX$5*AX12*Teams!$C$55/60*Teams!$C$56*INDEX(Params!$D$41:$F$41,Org!$B$17)*Teams!$C$57</f>
        <v>0</v>
      </c>
      <c r="AY28" s="44">
        <f>AY$5*AY12*Teams!$C$55/60*Teams!$C$56*INDEX(Params!$D$41:$F$41,Org!$B$17)*Teams!$C$57</f>
        <v>0</v>
      </c>
      <c r="AZ28" s="44">
        <f>AZ$5*AZ12*Teams!$C$55/60*Teams!$C$56*INDEX(Params!$D$41:$F$41,Org!$B$17)*Teams!$C$57</f>
        <v>0</v>
      </c>
      <c r="BA28" s="44">
        <f>BA$5*BA12*Teams!$C$55/60*Teams!$C$56*INDEX(Params!$D$41:$F$41,Org!$B$17)*Teams!$C$57</f>
        <v>0</v>
      </c>
      <c r="BB28" s="44">
        <f>BB$5*BB12*Teams!$C$55/60*Teams!$C$56*INDEX(Params!$D$41:$F$41,Org!$B$17)*Teams!$C$57</f>
        <v>0</v>
      </c>
      <c r="BC28" s="44">
        <f>BC$5*BC12*Teams!$C$55/60*Teams!$C$56*INDEX(Params!$D$41:$F$41,Org!$B$17)*Teams!$C$57</f>
        <v>0</v>
      </c>
      <c r="BD28" s="44">
        <f>BD$5*BD12*Teams!$C$55/60*Teams!$C$56*INDEX(Params!$D$41:$F$41,Org!$B$17)*Teams!$C$57</f>
        <v>0</v>
      </c>
      <c r="BE28" s="44">
        <f>BE$5*BE12*Teams!$C$55/60*Teams!$C$56*INDEX(Params!$D$41:$F$41,Org!$B$17)*Teams!$C$57</f>
        <v>0</v>
      </c>
      <c r="BF28" s="44">
        <f>BF$5*BF12*Teams!$C$55/60*Teams!$C$56*INDEX(Params!$D$41:$F$41,Org!$B$17)*Teams!$C$57</f>
        <v>0</v>
      </c>
      <c r="BG28" s="44">
        <f>BG$5*BG12*Teams!$C$55/60*Teams!$C$56*INDEX(Params!$D$41:$F$41,Org!$B$17)*Teams!$C$57</f>
        <v>0</v>
      </c>
      <c r="BH28" s="44">
        <f>BH$5*BH12*Teams!$C$55/60*Teams!$C$56*INDEX(Params!$D$41:$F$41,Org!$B$17)*Teams!$C$57</f>
        <v>0</v>
      </c>
      <c r="BI28" s="44">
        <f>BI$5*BI12*Teams!$C$55/60*Teams!$C$56*INDEX(Params!$D$41:$F$41,Org!$B$17)*Teams!$C$57</f>
        <v>0</v>
      </c>
      <c r="BJ28" s="44">
        <f>BJ$5*BJ12*Teams!$C$55/60*Teams!$C$56*INDEX(Params!$D$41:$F$41,Org!$B$17)*Teams!$C$57</f>
        <v>0</v>
      </c>
      <c r="BK28" s="44">
        <f>BK$5*BK12*Teams!$C$55/60*Teams!$C$56*INDEX(Params!$D$41:$F$41,Org!$B$17)*Teams!$C$57</f>
        <v>0</v>
      </c>
      <c r="BL28" s="44">
        <f>BL$5*BL12*Teams!$C$55/60*Teams!$C$56*INDEX(Params!$D$41:$F$41,Org!$B$17)*Teams!$C$57</f>
        <v>0</v>
      </c>
    </row>
    <row r="29" spans="1:64" x14ac:dyDescent="0.3">
      <c r="A29" s="8" t="s">
        <v>701</v>
      </c>
      <c r="C29" s="44">
        <f t="shared" si="2"/>
        <v>9739159.456000004</v>
      </c>
      <c r="D29" s="44">
        <f t="shared" ref="D29:AI29" si="3">SUM(D13:D27)</f>
        <v>2392957.7999999998</v>
      </c>
      <c r="E29" s="44">
        <f t="shared" si="3"/>
        <v>170007.16933333332</v>
      </c>
      <c r="F29" s="44">
        <f t="shared" si="3"/>
        <v>183385.80933333334</v>
      </c>
      <c r="G29" s="44">
        <f t="shared" si="3"/>
        <v>200778.04133333333</v>
      </c>
      <c r="H29" s="44">
        <f t="shared" si="3"/>
        <v>218170.27333333332</v>
      </c>
      <c r="I29" s="44">
        <f t="shared" si="3"/>
        <v>231548.91333333333</v>
      </c>
      <c r="J29" s="44">
        <f t="shared" si="3"/>
        <v>236900.36933333334</v>
      </c>
      <c r="K29" s="44">
        <f t="shared" si="3"/>
        <v>201700.36933333334</v>
      </c>
      <c r="L29" s="44">
        <f t="shared" si="3"/>
        <v>201700.36933333334</v>
      </c>
      <c r="M29" s="44">
        <f t="shared" si="3"/>
        <v>201700.36933333334</v>
      </c>
      <c r="N29" s="44">
        <f t="shared" si="3"/>
        <v>201700.36933333334</v>
      </c>
      <c r="O29" s="44">
        <f t="shared" si="3"/>
        <v>201700.36933333334</v>
      </c>
      <c r="P29" s="44">
        <f t="shared" si="3"/>
        <v>201700.36933333334</v>
      </c>
      <c r="Q29" s="44">
        <f t="shared" si="3"/>
        <v>228900.36933333334</v>
      </c>
      <c r="R29" s="44">
        <f t="shared" si="3"/>
        <v>201700.36933333334</v>
      </c>
      <c r="S29" s="44">
        <f t="shared" si="3"/>
        <v>201700.36933333334</v>
      </c>
      <c r="T29" s="44">
        <f t="shared" si="3"/>
        <v>201700.36933333334</v>
      </c>
      <c r="U29" s="44">
        <f t="shared" si="3"/>
        <v>201700.36933333334</v>
      </c>
      <c r="V29" s="44">
        <f t="shared" si="3"/>
        <v>201700.36933333334</v>
      </c>
      <c r="W29" s="44">
        <f t="shared" si="3"/>
        <v>201700.36933333334</v>
      </c>
      <c r="X29" s="44">
        <f t="shared" si="3"/>
        <v>201700.36933333334</v>
      </c>
      <c r="Y29" s="44">
        <f t="shared" si="3"/>
        <v>201700.36933333334</v>
      </c>
      <c r="Z29" s="44">
        <f t="shared" si="3"/>
        <v>201700.36933333334</v>
      </c>
      <c r="AA29" s="44">
        <f t="shared" si="3"/>
        <v>201700.36933333334</v>
      </c>
      <c r="AB29" s="44">
        <f t="shared" si="3"/>
        <v>201700.36933333334</v>
      </c>
      <c r="AC29" s="44">
        <f t="shared" si="3"/>
        <v>228900.36933333334</v>
      </c>
      <c r="AD29" s="44">
        <f t="shared" si="3"/>
        <v>201700.36933333334</v>
      </c>
      <c r="AE29" s="44">
        <f t="shared" si="3"/>
        <v>201700.36933333334</v>
      </c>
      <c r="AF29" s="44">
        <f t="shared" si="3"/>
        <v>201700.36933333334</v>
      </c>
      <c r="AG29" s="44">
        <f t="shared" si="3"/>
        <v>201700.36933333334</v>
      </c>
      <c r="AH29" s="44">
        <f t="shared" si="3"/>
        <v>201700.36933333334</v>
      </c>
      <c r="AI29" s="44">
        <f t="shared" si="3"/>
        <v>201700.36933333334</v>
      </c>
      <c r="AJ29" s="44">
        <f t="shared" ref="AJ29:BL29" si="4">SUM(AJ13:AJ27)</f>
        <v>201700.36933333334</v>
      </c>
      <c r="AK29" s="44">
        <f t="shared" si="4"/>
        <v>201700.36933333334</v>
      </c>
      <c r="AL29" s="44">
        <f t="shared" si="4"/>
        <v>201700.36933333334</v>
      </c>
      <c r="AM29" s="44">
        <f t="shared" si="4"/>
        <v>201700.36933333334</v>
      </c>
      <c r="AN29" s="44">
        <f t="shared" si="4"/>
        <v>201700.36933333334</v>
      </c>
      <c r="AO29" s="44">
        <f t="shared" si="4"/>
        <v>0</v>
      </c>
      <c r="AP29" s="44">
        <f t="shared" si="4"/>
        <v>0</v>
      </c>
      <c r="AQ29" s="44">
        <f t="shared" si="4"/>
        <v>0</v>
      </c>
      <c r="AR29" s="44">
        <f t="shared" si="4"/>
        <v>0</v>
      </c>
      <c r="AS29" s="44">
        <f t="shared" si="4"/>
        <v>0</v>
      </c>
      <c r="AT29" s="44">
        <f t="shared" si="4"/>
        <v>0</v>
      </c>
      <c r="AU29" s="44">
        <f t="shared" si="4"/>
        <v>0</v>
      </c>
      <c r="AV29" s="44">
        <f t="shared" si="4"/>
        <v>0</v>
      </c>
      <c r="AW29" s="44">
        <f t="shared" si="4"/>
        <v>0</v>
      </c>
      <c r="AX29" s="44">
        <f t="shared" si="4"/>
        <v>0</v>
      </c>
      <c r="AY29" s="44">
        <f t="shared" si="4"/>
        <v>0</v>
      </c>
      <c r="AZ29" s="44">
        <f t="shared" si="4"/>
        <v>0</v>
      </c>
      <c r="BA29" s="44">
        <f t="shared" si="4"/>
        <v>0</v>
      </c>
      <c r="BB29" s="44">
        <f t="shared" si="4"/>
        <v>0</v>
      </c>
      <c r="BC29" s="44">
        <f t="shared" si="4"/>
        <v>0</v>
      </c>
      <c r="BD29" s="44">
        <f t="shared" si="4"/>
        <v>0</v>
      </c>
      <c r="BE29" s="44">
        <f t="shared" si="4"/>
        <v>0</v>
      </c>
      <c r="BF29" s="44">
        <f t="shared" si="4"/>
        <v>0</v>
      </c>
      <c r="BG29" s="44">
        <f t="shared" si="4"/>
        <v>0</v>
      </c>
      <c r="BH29" s="44">
        <f t="shared" si="4"/>
        <v>0</v>
      </c>
      <c r="BI29" s="44">
        <f t="shared" si="4"/>
        <v>0</v>
      </c>
      <c r="BJ29" s="44">
        <f t="shared" si="4"/>
        <v>0</v>
      </c>
      <c r="BK29" s="44">
        <f t="shared" si="4"/>
        <v>0</v>
      </c>
      <c r="BL29" s="44">
        <f t="shared" si="4"/>
        <v>0</v>
      </c>
    </row>
    <row r="30" spans="1:64" x14ac:dyDescent="0.3">
      <c r="A30" s="8" t="s">
        <v>702</v>
      </c>
      <c r="C30" s="44">
        <f t="shared" si="2"/>
        <v>2720359.9652849571</v>
      </c>
      <c r="D30" s="44">
        <f t="shared" ref="D30:AI30" si="5">$B$169*D158</f>
        <v>184634.37921838474</v>
      </c>
      <c r="E30" s="44">
        <f t="shared" si="5"/>
        <v>70402.02189444573</v>
      </c>
      <c r="F30" s="44">
        <f t="shared" si="5"/>
        <v>70410.157277845457</v>
      </c>
      <c r="G30" s="44">
        <f t="shared" si="5"/>
        <v>70420.169361841108</v>
      </c>
      <c r="H30" s="44">
        <f t="shared" si="5"/>
        <v>70430.66228405491</v>
      </c>
      <c r="I30" s="44">
        <f t="shared" si="5"/>
        <v>70436.224253330263</v>
      </c>
      <c r="J30" s="44">
        <f t="shared" si="5"/>
        <v>70439.067091587931</v>
      </c>
      <c r="K30" s="44">
        <f t="shared" si="5"/>
        <v>70439.576130115558</v>
      </c>
      <c r="L30" s="44">
        <f t="shared" si="5"/>
        <v>70439.576130115558</v>
      </c>
      <c r="M30" s="44">
        <f t="shared" si="5"/>
        <v>70439.576130115558</v>
      </c>
      <c r="N30" s="44">
        <f t="shared" si="5"/>
        <v>70439.576130115558</v>
      </c>
      <c r="O30" s="44">
        <f t="shared" si="5"/>
        <v>70439.576130115558</v>
      </c>
      <c r="P30" s="44">
        <f t="shared" si="5"/>
        <v>70439.576130115558</v>
      </c>
      <c r="Q30" s="44">
        <f t="shared" si="5"/>
        <v>70439.576130115558</v>
      </c>
      <c r="R30" s="44">
        <f t="shared" si="5"/>
        <v>70439.576130115558</v>
      </c>
      <c r="S30" s="44">
        <f t="shared" si="5"/>
        <v>70439.576130115558</v>
      </c>
      <c r="T30" s="44">
        <f t="shared" si="5"/>
        <v>70439.576130115558</v>
      </c>
      <c r="U30" s="44">
        <f t="shared" si="5"/>
        <v>70439.576130115558</v>
      </c>
      <c r="V30" s="44">
        <f t="shared" si="5"/>
        <v>70439.576130115558</v>
      </c>
      <c r="W30" s="44">
        <f t="shared" si="5"/>
        <v>70439.576130115558</v>
      </c>
      <c r="X30" s="44">
        <f t="shared" si="5"/>
        <v>70439.576130115558</v>
      </c>
      <c r="Y30" s="44">
        <f t="shared" si="5"/>
        <v>70439.576130115558</v>
      </c>
      <c r="Z30" s="44">
        <f t="shared" si="5"/>
        <v>70439.576130115558</v>
      </c>
      <c r="AA30" s="44">
        <f t="shared" si="5"/>
        <v>70439.576130115558</v>
      </c>
      <c r="AB30" s="44">
        <f t="shared" si="5"/>
        <v>70439.576130115558</v>
      </c>
      <c r="AC30" s="44">
        <f t="shared" si="5"/>
        <v>70439.576130115558</v>
      </c>
      <c r="AD30" s="44">
        <f t="shared" si="5"/>
        <v>70439.576130115558</v>
      </c>
      <c r="AE30" s="44">
        <f t="shared" si="5"/>
        <v>70439.576130115558</v>
      </c>
      <c r="AF30" s="44">
        <f t="shared" si="5"/>
        <v>70439.576130115558</v>
      </c>
      <c r="AG30" s="44">
        <f t="shared" si="5"/>
        <v>70439.576130115558</v>
      </c>
      <c r="AH30" s="44">
        <f t="shared" si="5"/>
        <v>70439.576130115558</v>
      </c>
      <c r="AI30" s="44">
        <f t="shared" si="5"/>
        <v>70439.576130115558</v>
      </c>
      <c r="AJ30" s="44">
        <f t="shared" ref="AJ30:BL30" si="6">$B$169*AJ158</f>
        <v>70439.576130115558</v>
      </c>
      <c r="AK30" s="44">
        <f t="shared" si="6"/>
        <v>70439.576130115558</v>
      </c>
      <c r="AL30" s="44">
        <f t="shared" si="6"/>
        <v>70439.576130115558</v>
      </c>
      <c r="AM30" s="44">
        <f t="shared" si="6"/>
        <v>70439.576130115558</v>
      </c>
      <c r="AN30" s="44">
        <f t="shared" si="6"/>
        <v>70439.576130115558</v>
      </c>
      <c r="AO30" s="44">
        <f t="shared" si="6"/>
        <v>0</v>
      </c>
      <c r="AP30" s="44">
        <f t="shared" si="6"/>
        <v>0</v>
      </c>
      <c r="AQ30" s="44">
        <f t="shared" si="6"/>
        <v>0</v>
      </c>
      <c r="AR30" s="44">
        <f t="shared" si="6"/>
        <v>0</v>
      </c>
      <c r="AS30" s="44">
        <f t="shared" si="6"/>
        <v>0</v>
      </c>
      <c r="AT30" s="44">
        <f t="shared" si="6"/>
        <v>0</v>
      </c>
      <c r="AU30" s="44">
        <f t="shared" si="6"/>
        <v>0</v>
      </c>
      <c r="AV30" s="44">
        <f t="shared" si="6"/>
        <v>0</v>
      </c>
      <c r="AW30" s="44">
        <f t="shared" si="6"/>
        <v>0</v>
      </c>
      <c r="AX30" s="44">
        <f t="shared" si="6"/>
        <v>0</v>
      </c>
      <c r="AY30" s="44">
        <f t="shared" si="6"/>
        <v>0</v>
      </c>
      <c r="AZ30" s="44">
        <f t="shared" si="6"/>
        <v>0</v>
      </c>
      <c r="BA30" s="44">
        <f t="shared" si="6"/>
        <v>0</v>
      </c>
      <c r="BB30" s="44">
        <f t="shared" si="6"/>
        <v>0</v>
      </c>
      <c r="BC30" s="44">
        <f t="shared" si="6"/>
        <v>0</v>
      </c>
      <c r="BD30" s="44">
        <f t="shared" si="6"/>
        <v>0</v>
      </c>
      <c r="BE30" s="44">
        <f t="shared" si="6"/>
        <v>0</v>
      </c>
      <c r="BF30" s="44">
        <f t="shared" si="6"/>
        <v>0</v>
      </c>
      <c r="BG30" s="44">
        <f t="shared" si="6"/>
        <v>0</v>
      </c>
      <c r="BH30" s="44">
        <f t="shared" si="6"/>
        <v>0</v>
      </c>
      <c r="BI30" s="44">
        <f t="shared" si="6"/>
        <v>0</v>
      </c>
      <c r="BJ30" s="44">
        <f t="shared" si="6"/>
        <v>0</v>
      </c>
      <c r="BK30" s="44">
        <f t="shared" si="6"/>
        <v>0</v>
      </c>
      <c r="BL30" s="44">
        <f t="shared" si="6"/>
        <v>0</v>
      </c>
    </row>
    <row r="31" spans="1:64" x14ac:dyDescent="0.3">
      <c r="A31" s="8" t="s">
        <v>1012</v>
      </c>
      <c r="C31" s="44">
        <f t="shared" si="2"/>
        <v>-9914799.1212849505</v>
      </c>
      <c r="D31" s="44">
        <f t="shared" ref="D31:AI31" si="7">D28-D29-D30</f>
        <v>-2577592.1792183844</v>
      </c>
      <c r="E31" s="44">
        <f t="shared" si="7"/>
        <v>-234782.39122777907</v>
      </c>
      <c r="F31" s="44">
        <f t="shared" si="7"/>
        <v>-234102.16661117881</v>
      </c>
      <c r="G31" s="44">
        <f t="shared" si="7"/>
        <v>-233217.31069517444</v>
      </c>
      <c r="H31" s="44">
        <f t="shared" si="7"/>
        <v>-232332.93561738823</v>
      </c>
      <c r="I31" s="44">
        <f t="shared" si="7"/>
        <v>-231650.13758666359</v>
      </c>
      <c r="J31" s="44">
        <f t="shared" si="7"/>
        <v>-231377.63642492128</v>
      </c>
      <c r="K31" s="44">
        <f t="shared" si="7"/>
        <v>-196178.14546344889</v>
      </c>
      <c r="L31" s="44">
        <f t="shared" si="7"/>
        <v>-196178.14546344889</v>
      </c>
      <c r="M31" s="44">
        <f t="shared" si="7"/>
        <v>-196178.14546344889</v>
      </c>
      <c r="N31" s="44">
        <f t="shared" si="7"/>
        <v>-196178.14546344889</v>
      </c>
      <c r="O31" s="44">
        <f t="shared" si="7"/>
        <v>-196178.14546344889</v>
      </c>
      <c r="P31" s="44">
        <f t="shared" si="7"/>
        <v>-196178.14546344889</v>
      </c>
      <c r="Q31" s="44">
        <f t="shared" si="7"/>
        <v>-223378.14546344889</v>
      </c>
      <c r="R31" s="44">
        <f t="shared" si="7"/>
        <v>-196178.14546344889</v>
      </c>
      <c r="S31" s="44">
        <f t="shared" si="7"/>
        <v>-196178.14546344889</v>
      </c>
      <c r="T31" s="44">
        <f t="shared" si="7"/>
        <v>-196178.14546344889</v>
      </c>
      <c r="U31" s="44">
        <f t="shared" si="7"/>
        <v>-196178.14546344889</v>
      </c>
      <c r="V31" s="44">
        <f t="shared" si="7"/>
        <v>-196178.14546344889</v>
      </c>
      <c r="W31" s="44">
        <f t="shared" si="7"/>
        <v>-196178.14546344889</v>
      </c>
      <c r="X31" s="44">
        <f t="shared" si="7"/>
        <v>-196178.14546344889</v>
      </c>
      <c r="Y31" s="44">
        <f t="shared" si="7"/>
        <v>-196178.14546344889</v>
      </c>
      <c r="Z31" s="44">
        <f t="shared" si="7"/>
        <v>-196178.14546344889</v>
      </c>
      <c r="AA31" s="44">
        <f t="shared" si="7"/>
        <v>-196178.14546344889</v>
      </c>
      <c r="AB31" s="44">
        <f t="shared" si="7"/>
        <v>-196178.14546344889</v>
      </c>
      <c r="AC31" s="44">
        <f t="shared" si="7"/>
        <v>-223378.14546344889</v>
      </c>
      <c r="AD31" s="44">
        <f t="shared" si="7"/>
        <v>-196178.14546344889</v>
      </c>
      <c r="AE31" s="44">
        <f t="shared" si="7"/>
        <v>-196178.14546344889</v>
      </c>
      <c r="AF31" s="44">
        <f t="shared" si="7"/>
        <v>-196178.14546344889</v>
      </c>
      <c r="AG31" s="44">
        <f t="shared" si="7"/>
        <v>-196178.14546344889</v>
      </c>
      <c r="AH31" s="44">
        <f t="shared" si="7"/>
        <v>-196178.14546344889</v>
      </c>
      <c r="AI31" s="44">
        <f t="shared" si="7"/>
        <v>-196178.14546344889</v>
      </c>
      <c r="AJ31" s="44">
        <f t="shared" ref="AJ31:BO31" si="8">AJ28-AJ29-AJ30</f>
        <v>-196178.14546344889</v>
      </c>
      <c r="AK31" s="44">
        <f t="shared" si="8"/>
        <v>-196178.14546344889</v>
      </c>
      <c r="AL31" s="44">
        <f t="shared" si="8"/>
        <v>-196178.14546344889</v>
      </c>
      <c r="AM31" s="44">
        <f t="shared" si="8"/>
        <v>-196178.14546344889</v>
      </c>
      <c r="AN31" s="44">
        <f t="shared" si="8"/>
        <v>-196178.14546344889</v>
      </c>
      <c r="AO31" s="44">
        <f t="shared" si="8"/>
        <v>0</v>
      </c>
      <c r="AP31" s="44">
        <f t="shared" si="8"/>
        <v>0</v>
      </c>
      <c r="AQ31" s="44">
        <f t="shared" si="8"/>
        <v>0</v>
      </c>
      <c r="AR31" s="44">
        <f t="shared" si="8"/>
        <v>0</v>
      </c>
      <c r="AS31" s="44">
        <f t="shared" si="8"/>
        <v>0</v>
      </c>
      <c r="AT31" s="44">
        <f t="shared" si="8"/>
        <v>0</v>
      </c>
      <c r="AU31" s="44">
        <f t="shared" si="8"/>
        <v>0</v>
      </c>
      <c r="AV31" s="44">
        <f t="shared" si="8"/>
        <v>0</v>
      </c>
      <c r="AW31" s="44">
        <f t="shared" si="8"/>
        <v>0</v>
      </c>
      <c r="AX31" s="44">
        <f t="shared" si="8"/>
        <v>0</v>
      </c>
      <c r="AY31" s="44">
        <f t="shared" si="8"/>
        <v>0</v>
      </c>
      <c r="AZ31" s="44">
        <f t="shared" si="8"/>
        <v>0</v>
      </c>
      <c r="BA31" s="44">
        <f t="shared" si="8"/>
        <v>0</v>
      </c>
      <c r="BB31" s="44">
        <f t="shared" si="8"/>
        <v>0</v>
      </c>
      <c r="BC31" s="44">
        <f t="shared" si="8"/>
        <v>0</v>
      </c>
      <c r="BD31" s="44">
        <f t="shared" si="8"/>
        <v>0</v>
      </c>
      <c r="BE31" s="44">
        <f t="shared" si="8"/>
        <v>0</v>
      </c>
      <c r="BF31" s="44">
        <f t="shared" si="8"/>
        <v>0</v>
      </c>
      <c r="BG31" s="44">
        <f t="shared" si="8"/>
        <v>0</v>
      </c>
      <c r="BH31" s="44">
        <f t="shared" si="8"/>
        <v>0</v>
      </c>
      <c r="BI31" s="44">
        <f t="shared" si="8"/>
        <v>0</v>
      </c>
      <c r="BJ31" s="44">
        <f t="shared" si="8"/>
        <v>0</v>
      </c>
      <c r="BK31" s="44">
        <f t="shared" si="8"/>
        <v>0</v>
      </c>
      <c r="BL31" s="44">
        <f t="shared" si="8"/>
        <v>0</v>
      </c>
    </row>
    <row r="32" spans="1:64" x14ac:dyDescent="0.3">
      <c r="A32" s="8" t="s">
        <v>1013</v>
      </c>
      <c r="D32" s="44">
        <f>D31</f>
        <v>-2577592.1792183844</v>
      </c>
      <c r="E32" s="44">
        <f t="shared" ref="E32:AJ32" si="9">D32+E31</f>
        <v>-2812374.5704461634</v>
      </c>
      <c r="F32" s="44">
        <f t="shared" si="9"/>
        <v>-3046476.7370573422</v>
      </c>
      <c r="G32" s="44">
        <f t="shared" si="9"/>
        <v>-3279694.0477525168</v>
      </c>
      <c r="H32" s="44">
        <f t="shared" si="9"/>
        <v>-3512026.983369905</v>
      </c>
      <c r="I32" s="44">
        <f t="shared" si="9"/>
        <v>-3743677.1209565685</v>
      </c>
      <c r="J32" s="44">
        <f t="shared" si="9"/>
        <v>-3975054.75738149</v>
      </c>
      <c r="K32" s="44">
        <f t="shared" si="9"/>
        <v>-4171232.9028449389</v>
      </c>
      <c r="L32" s="44">
        <f t="shared" si="9"/>
        <v>-4367411.0483083874</v>
      </c>
      <c r="M32" s="44">
        <f t="shared" si="9"/>
        <v>-4563589.1937718363</v>
      </c>
      <c r="N32" s="44">
        <f t="shared" si="9"/>
        <v>-4759767.3392352853</v>
      </c>
      <c r="O32" s="44">
        <f t="shared" si="9"/>
        <v>-4955945.4846987342</v>
      </c>
      <c r="P32" s="44">
        <f t="shared" si="9"/>
        <v>-5152123.6301621832</v>
      </c>
      <c r="Q32" s="44">
        <f t="shared" si="9"/>
        <v>-5375501.7756256321</v>
      </c>
      <c r="R32" s="44">
        <f t="shared" si="9"/>
        <v>-5571679.9210890811</v>
      </c>
      <c r="S32" s="44">
        <f t="shared" si="9"/>
        <v>-5767858.06655253</v>
      </c>
      <c r="T32" s="44">
        <f t="shared" si="9"/>
        <v>-5964036.212015979</v>
      </c>
      <c r="U32" s="44">
        <f t="shared" si="9"/>
        <v>-6160214.3574794279</v>
      </c>
      <c r="V32" s="44">
        <f t="shared" si="9"/>
        <v>-6356392.5029428769</v>
      </c>
      <c r="W32" s="44">
        <f t="shared" si="9"/>
        <v>-6552570.6484063258</v>
      </c>
      <c r="X32" s="44">
        <f t="shared" si="9"/>
        <v>-6748748.7938697748</v>
      </c>
      <c r="Y32" s="44">
        <f t="shared" si="9"/>
        <v>-6944926.9393332237</v>
      </c>
      <c r="Z32" s="44">
        <f t="shared" si="9"/>
        <v>-7141105.0847966727</v>
      </c>
      <c r="AA32" s="44">
        <f t="shared" si="9"/>
        <v>-7337283.2302601216</v>
      </c>
      <c r="AB32" s="44">
        <f t="shared" si="9"/>
        <v>-7533461.3757235706</v>
      </c>
      <c r="AC32" s="44">
        <f t="shared" si="9"/>
        <v>-7756839.5211870195</v>
      </c>
      <c r="AD32" s="44">
        <f t="shared" si="9"/>
        <v>-7953017.6666504685</v>
      </c>
      <c r="AE32" s="44">
        <f t="shared" si="9"/>
        <v>-8149195.8121139174</v>
      </c>
      <c r="AF32" s="44">
        <f t="shared" si="9"/>
        <v>-8345373.9575773664</v>
      </c>
      <c r="AG32" s="44">
        <f t="shared" si="9"/>
        <v>-8541552.1030408144</v>
      </c>
      <c r="AH32" s="44">
        <f t="shared" si="9"/>
        <v>-8737730.2485042624</v>
      </c>
      <c r="AI32" s="44">
        <f t="shared" si="9"/>
        <v>-8933908.3939677104</v>
      </c>
      <c r="AJ32" s="44">
        <f t="shared" si="9"/>
        <v>-9130086.5394311585</v>
      </c>
      <c r="AK32" s="44">
        <f t="shared" ref="AK32:BP32" si="10">AJ32+AK31</f>
        <v>-9326264.6848946065</v>
      </c>
      <c r="AL32" s="44">
        <f t="shared" si="10"/>
        <v>-9522442.8303580545</v>
      </c>
      <c r="AM32" s="44">
        <f t="shared" si="10"/>
        <v>-9718620.9758215025</v>
      </c>
      <c r="AN32" s="44">
        <f t="shared" si="10"/>
        <v>-9914799.1212849505</v>
      </c>
      <c r="AO32" s="44">
        <f t="shared" si="10"/>
        <v>-9914799.1212849505</v>
      </c>
      <c r="AP32" s="44">
        <f t="shared" si="10"/>
        <v>-9914799.1212849505</v>
      </c>
      <c r="AQ32" s="44">
        <f t="shared" si="10"/>
        <v>-9914799.1212849505</v>
      </c>
      <c r="AR32" s="44">
        <f t="shared" si="10"/>
        <v>-9914799.1212849505</v>
      </c>
      <c r="AS32" s="44">
        <f t="shared" si="10"/>
        <v>-9914799.1212849505</v>
      </c>
      <c r="AT32" s="44">
        <f t="shared" si="10"/>
        <v>-9914799.1212849505</v>
      </c>
      <c r="AU32" s="44">
        <f t="shared" si="10"/>
        <v>-9914799.1212849505</v>
      </c>
      <c r="AV32" s="44">
        <f t="shared" si="10"/>
        <v>-9914799.1212849505</v>
      </c>
      <c r="AW32" s="44">
        <f t="shared" si="10"/>
        <v>-9914799.1212849505</v>
      </c>
      <c r="AX32" s="44">
        <f t="shared" si="10"/>
        <v>-9914799.1212849505</v>
      </c>
      <c r="AY32" s="44">
        <f t="shared" si="10"/>
        <v>-9914799.1212849505</v>
      </c>
      <c r="AZ32" s="44">
        <f t="shared" si="10"/>
        <v>-9914799.1212849505</v>
      </c>
      <c r="BA32" s="44">
        <f t="shared" si="10"/>
        <v>-9914799.1212849505</v>
      </c>
      <c r="BB32" s="44">
        <f t="shared" si="10"/>
        <v>-9914799.1212849505</v>
      </c>
      <c r="BC32" s="44">
        <f t="shared" si="10"/>
        <v>-9914799.1212849505</v>
      </c>
      <c r="BD32" s="44">
        <f t="shared" si="10"/>
        <v>-9914799.1212849505</v>
      </c>
      <c r="BE32" s="44">
        <f t="shared" si="10"/>
        <v>-9914799.1212849505</v>
      </c>
      <c r="BF32" s="44">
        <f t="shared" si="10"/>
        <v>-9914799.1212849505</v>
      </c>
      <c r="BG32" s="44">
        <f t="shared" si="10"/>
        <v>-9914799.1212849505</v>
      </c>
      <c r="BH32" s="44">
        <f t="shared" si="10"/>
        <v>-9914799.1212849505</v>
      </c>
      <c r="BI32" s="44">
        <f t="shared" si="10"/>
        <v>-9914799.1212849505</v>
      </c>
      <c r="BJ32" s="44">
        <f t="shared" si="10"/>
        <v>-9914799.1212849505</v>
      </c>
      <c r="BK32" s="44">
        <f t="shared" si="10"/>
        <v>-9914799.1212849505</v>
      </c>
      <c r="BL32" s="44">
        <f t="shared" si="10"/>
        <v>-9914799.1212849505</v>
      </c>
    </row>
    <row r="33" spans="1:64" x14ac:dyDescent="0.3">
      <c r="A33" s="8" t="s">
        <v>1014</v>
      </c>
      <c r="C33" s="22" t="str">
        <f>IF(COUNT(E33:BL33)=0,"None",MIN(E33:BL33))</f>
        <v>None</v>
      </c>
      <c r="E33" s="22" t="str">
        <f>IF(AND(E$4&lt;=Org!$B$5,E32&gt;=0),E$4,"")</f>
        <v/>
      </c>
      <c r="F33" s="22" t="str">
        <f>IF(AND(F$4&lt;=Org!$B$5,F32&gt;=0),F$4,"")</f>
        <v/>
      </c>
      <c r="G33" s="22" t="str">
        <f>IF(AND(G$4&lt;=Org!$B$5,G32&gt;=0),G$4,"")</f>
        <v/>
      </c>
      <c r="H33" s="22" t="str">
        <f>IF(AND(H$4&lt;=Org!$B$5,H32&gt;=0),H$4,"")</f>
        <v/>
      </c>
      <c r="I33" s="22" t="str">
        <f>IF(AND(I$4&lt;=Org!$B$5,I32&gt;=0),I$4,"")</f>
        <v/>
      </c>
      <c r="J33" s="22" t="str">
        <f>IF(AND(J$4&lt;=Org!$B$5,J32&gt;=0),J$4,"")</f>
        <v/>
      </c>
      <c r="K33" s="22" t="str">
        <f>IF(AND(K$4&lt;=Org!$B$5,K32&gt;=0),K$4,"")</f>
        <v/>
      </c>
      <c r="L33" s="22" t="str">
        <f>IF(AND(L$4&lt;=Org!$B$5,L32&gt;=0),L$4,"")</f>
        <v/>
      </c>
      <c r="M33" s="22" t="str">
        <f>IF(AND(M$4&lt;=Org!$B$5,M32&gt;=0),M$4,"")</f>
        <v/>
      </c>
      <c r="N33" s="22" t="str">
        <f>IF(AND(N$4&lt;=Org!$B$5,N32&gt;=0),N$4,"")</f>
        <v/>
      </c>
      <c r="O33" s="22" t="str">
        <f>IF(AND(O$4&lt;=Org!$B$5,O32&gt;=0),O$4,"")</f>
        <v/>
      </c>
      <c r="P33" s="22" t="str">
        <f>IF(AND(P$4&lt;=Org!$B$5,P32&gt;=0),P$4,"")</f>
        <v/>
      </c>
      <c r="Q33" s="22" t="str">
        <f>IF(AND(Q$4&lt;=Org!$B$5,Q32&gt;=0),Q$4,"")</f>
        <v/>
      </c>
      <c r="R33" s="22" t="str">
        <f>IF(AND(R$4&lt;=Org!$B$5,R32&gt;=0),R$4,"")</f>
        <v/>
      </c>
      <c r="S33" s="22" t="str">
        <f>IF(AND(S$4&lt;=Org!$B$5,S32&gt;=0),S$4,"")</f>
        <v/>
      </c>
      <c r="T33" s="22" t="str">
        <f>IF(AND(T$4&lt;=Org!$B$5,T32&gt;=0),T$4,"")</f>
        <v/>
      </c>
      <c r="U33" s="22" t="str">
        <f>IF(AND(U$4&lt;=Org!$B$5,U32&gt;=0),U$4,"")</f>
        <v/>
      </c>
      <c r="V33" s="22" t="str">
        <f>IF(AND(V$4&lt;=Org!$B$5,V32&gt;=0),V$4,"")</f>
        <v/>
      </c>
      <c r="W33" s="22" t="str">
        <f>IF(AND(W$4&lt;=Org!$B$5,W32&gt;=0),W$4,"")</f>
        <v/>
      </c>
      <c r="X33" s="22" t="str">
        <f>IF(AND(X$4&lt;=Org!$B$5,X32&gt;=0),X$4,"")</f>
        <v/>
      </c>
      <c r="Y33" s="22" t="str">
        <f>IF(AND(Y$4&lt;=Org!$B$5,Y32&gt;=0),Y$4,"")</f>
        <v/>
      </c>
      <c r="Z33" s="22" t="str">
        <f>IF(AND(Z$4&lt;=Org!$B$5,Z32&gt;=0),Z$4,"")</f>
        <v/>
      </c>
      <c r="AA33" s="22" t="str">
        <f>IF(AND(AA$4&lt;=Org!$B$5,AA32&gt;=0),AA$4,"")</f>
        <v/>
      </c>
      <c r="AB33" s="22" t="str">
        <f>IF(AND(AB$4&lt;=Org!$B$5,AB32&gt;=0),AB$4,"")</f>
        <v/>
      </c>
      <c r="AC33" s="22" t="str">
        <f>IF(AND(AC$4&lt;=Org!$B$5,AC32&gt;=0),AC$4,"")</f>
        <v/>
      </c>
      <c r="AD33" s="22" t="str">
        <f>IF(AND(AD$4&lt;=Org!$B$5,AD32&gt;=0),AD$4,"")</f>
        <v/>
      </c>
      <c r="AE33" s="22" t="str">
        <f>IF(AND(AE$4&lt;=Org!$B$5,AE32&gt;=0),AE$4,"")</f>
        <v/>
      </c>
      <c r="AF33" s="22" t="str">
        <f>IF(AND(AF$4&lt;=Org!$B$5,AF32&gt;=0),AF$4,"")</f>
        <v/>
      </c>
      <c r="AG33" s="22" t="str">
        <f>IF(AND(AG$4&lt;=Org!$B$5,AG32&gt;=0),AG$4,"")</f>
        <v/>
      </c>
      <c r="AH33" s="22" t="str">
        <f>IF(AND(AH$4&lt;=Org!$B$5,AH32&gt;=0),AH$4,"")</f>
        <v/>
      </c>
      <c r="AI33" s="22" t="str">
        <f>IF(AND(AI$4&lt;=Org!$B$5,AI32&gt;=0),AI$4,"")</f>
        <v/>
      </c>
      <c r="AJ33" s="22" t="str">
        <f>IF(AND(AJ$4&lt;=Org!$B$5,AJ32&gt;=0),AJ$4,"")</f>
        <v/>
      </c>
      <c r="AK33" s="22" t="str">
        <f>IF(AND(AK$4&lt;=Org!$B$5,AK32&gt;=0),AK$4,"")</f>
        <v/>
      </c>
      <c r="AL33" s="22" t="str">
        <f>IF(AND(AL$4&lt;=Org!$B$5,AL32&gt;=0),AL$4,"")</f>
        <v/>
      </c>
      <c r="AM33" s="22" t="str">
        <f>IF(AND(AM$4&lt;=Org!$B$5,AM32&gt;=0),AM$4,"")</f>
        <v/>
      </c>
      <c r="AN33" s="22" t="str">
        <f>IF(AND(AN$4&lt;=Org!$B$5,AN32&gt;=0),AN$4,"")</f>
        <v/>
      </c>
      <c r="AO33" s="22" t="str">
        <f>IF(AND(AO$4&lt;=Org!$B$5,AO32&gt;=0),AO$4,"")</f>
        <v/>
      </c>
      <c r="AP33" s="22" t="str">
        <f>IF(AND(AP$4&lt;=Org!$B$5,AP32&gt;=0),AP$4,"")</f>
        <v/>
      </c>
      <c r="AQ33" s="22" t="str">
        <f>IF(AND(AQ$4&lt;=Org!$B$5,AQ32&gt;=0),AQ$4,"")</f>
        <v/>
      </c>
      <c r="AR33" s="22" t="str">
        <f>IF(AND(AR$4&lt;=Org!$B$5,AR32&gt;=0),AR$4,"")</f>
        <v/>
      </c>
      <c r="AS33" s="22" t="str">
        <f>IF(AND(AS$4&lt;=Org!$B$5,AS32&gt;=0),AS$4,"")</f>
        <v/>
      </c>
      <c r="AT33" s="22" t="str">
        <f>IF(AND(AT$4&lt;=Org!$B$5,AT32&gt;=0),AT$4,"")</f>
        <v/>
      </c>
      <c r="AU33" s="22" t="str">
        <f>IF(AND(AU$4&lt;=Org!$B$5,AU32&gt;=0),AU$4,"")</f>
        <v/>
      </c>
      <c r="AV33" s="22" t="str">
        <f>IF(AND(AV$4&lt;=Org!$B$5,AV32&gt;=0),AV$4,"")</f>
        <v/>
      </c>
      <c r="AW33" s="22" t="str">
        <f>IF(AND(AW$4&lt;=Org!$B$5,AW32&gt;=0),AW$4,"")</f>
        <v/>
      </c>
      <c r="AX33" s="22" t="str">
        <f>IF(AND(AX$4&lt;=Org!$B$5,AX32&gt;=0),AX$4,"")</f>
        <v/>
      </c>
      <c r="AY33" s="22" t="str">
        <f>IF(AND(AY$4&lt;=Org!$B$5,AY32&gt;=0),AY$4,"")</f>
        <v/>
      </c>
      <c r="AZ33" s="22" t="str">
        <f>IF(AND(AZ$4&lt;=Org!$B$5,AZ32&gt;=0),AZ$4,"")</f>
        <v/>
      </c>
      <c r="BA33" s="22" t="str">
        <f>IF(AND(BA$4&lt;=Org!$B$5,BA32&gt;=0),BA$4,"")</f>
        <v/>
      </c>
      <c r="BB33" s="22" t="str">
        <f>IF(AND(BB$4&lt;=Org!$B$5,BB32&gt;=0),BB$4,"")</f>
        <v/>
      </c>
      <c r="BC33" s="22" t="str">
        <f>IF(AND(BC$4&lt;=Org!$B$5,BC32&gt;=0),BC$4,"")</f>
        <v/>
      </c>
      <c r="BD33" s="22" t="str">
        <f>IF(AND(BD$4&lt;=Org!$B$5,BD32&gt;=0),BD$4,"")</f>
        <v/>
      </c>
      <c r="BE33" s="22" t="str">
        <f>IF(AND(BE$4&lt;=Org!$B$5,BE32&gt;=0),BE$4,"")</f>
        <v/>
      </c>
      <c r="BF33" s="22" t="str">
        <f>IF(AND(BF$4&lt;=Org!$B$5,BF32&gt;=0),BF$4,"")</f>
        <v/>
      </c>
      <c r="BG33" s="22" t="str">
        <f>IF(AND(BG$4&lt;=Org!$B$5,BG32&gt;=0),BG$4,"")</f>
        <v/>
      </c>
      <c r="BH33" s="22" t="str">
        <f>IF(AND(BH$4&lt;=Org!$B$5,BH32&gt;=0),BH$4,"")</f>
        <v/>
      </c>
      <c r="BI33" s="22" t="str">
        <f>IF(AND(BI$4&lt;=Org!$B$5,BI32&gt;=0),BI$4,"")</f>
        <v/>
      </c>
      <c r="BJ33" s="22" t="str">
        <f>IF(AND(BJ$4&lt;=Org!$B$5,BJ32&gt;=0),BJ$4,"")</f>
        <v/>
      </c>
      <c r="BK33" s="22" t="str">
        <f>IF(AND(BK$4&lt;=Org!$B$5,BK32&gt;=0),BK$4,"")</f>
        <v/>
      </c>
      <c r="BL33" s="22" t="str">
        <f>IF(AND(BL$4&lt;=Org!$B$5,BL32&gt;=0),BL$4,"")</f>
        <v/>
      </c>
    </row>
    <row r="35" spans="1:64" x14ac:dyDescent="0.3">
      <c r="A35" s="17" t="str">
        <f>Teams!$D$4</f>
        <v>Engineering assistant</v>
      </c>
      <c r="B35" s="18" t="s">
        <v>1009</v>
      </c>
      <c r="C35" s="50">
        <f>(Teams!$D$29*(1-Teams!$D$31)*Params!$F$39*Params!$F$21*IF(Teams!$D$36="Yes",Params!$F$22,1)*Teams!$D$68*Teams!$D$70+Teams!$D$30*(1-Teams!$D$31)*Params!$F$39*Params!$F$21*IF(Teams!$D$36="Yes",Params!$F$22,1)*Teams!$D$69)/1000000*Teams!$D$71*Teams!$D$35</f>
        <v>1.1161799999999999</v>
      </c>
    </row>
    <row r="36" spans="1:64" x14ac:dyDescent="0.3">
      <c r="A36" s="8" t="s">
        <v>1010</v>
      </c>
      <c r="E36" s="26">
        <f>IF(E$4&lt;Teams!$D$80,0,IF(Teams!$D$22="S",MIN(1,(E$4-Teams!$D$80+1)/Teams!$D$21)^2*(3-2*MIN(1,(E$4-Teams!$D$80+1)/Teams!$D$21)),MIN(1,(E$4-Teams!$D$80+1)/Teams!$D$21)))</f>
        <v>0.25</v>
      </c>
      <c r="F36" s="26">
        <f>IF(F$4&lt;Teams!$D$80,0,IF(Teams!$D$22="S",MIN(1,(F$4-Teams!$D$80+1)/Teams!$D$21)^2*(3-2*MIN(1,(F$4-Teams!$D$80+1)/Teams!$D$21)),MIN(1,(F$4-Teams!$D$80+1)/Teams!$D$21)))</f>
        <v>0.5</v>
      </c>
      <c r="G36" s="26">
        <f>IF(G$4&lt;Teams!$D$80,0,IF(Teams!$D$22="S",MIN(1,(G$4-Teams!$D$80+1)/Teams!$D$21)^2*(3-2*MIN(1,(G$4-Teams!$D$80+1)/Teams!$D$21)),MIN(1,(G$4-Teams!$D$80+1)/Teams!$D$21)))</f>
        <v>0.75</v>
      </c>
      <c r="H36" s="26">
        <f>IF(H$4&lt;Teams!$D$80,0,IF(Teams!$D$22="S",MIN(1,(H$4-Teams!$D$80+1)/Teams!$D$21)^2*(3-2*MIN(1,(H$4-Teams!$D$80+1)/Teams!$D$21)),MIN(1,(H$4-Teams!$D$80+1)/Teams!$D$21)))</f>
        <v>1</v>
      </c>
      <c r="I36" s="26">
        <f>IF(I$4&lt;Teams!$D$80,0,IF(Teams!$D$22="S",MIN(1,(I$4-Teams!$D$80+1)/Teams!$D$21)^2*(3-2*MIN(1,(I$4-Teams!$D$80+1)/Teams!$D$21)),MIN(1,(I$4-Teams!$D$80+1)/Teams!$D$21)))</f>
        <v>1</v>
      </c>
      <c r="J36" s="26">
        <f>IF(J$4&lt;Teams!$D$80,0,IF(Teams!$D$22="S",MIN(1,(J$4-Teams!$D$80+1)/Teams!$D$21)^2*(3-2*MIN(1,(J$4-Teams!$D$80+1)/Teams!$D$21)),MIN(1,(J$4-Teams!$D$80+1)/Teams!$D$21)))</f>
        <v>1</v>
      </c>
      <c r="K36" s="26">
        <f>IF(K$4&lt;Teams!$D$80,0,IF(Teams!$D$22="S",MIN(1,(K$4-Teams!$D$80+1)/Teams!$D$21)^2*(3-2*MIN(1,(K$4-Teams!$D$80+1)/Teams!$D$21)),MIN(1,(K$4-Teams!$D$80+1)/Teams!$D$21)))</f>
        <v>1</v>
      </c>
      <c r="L36" s="26">
        <f>IF(L$4&lt;Teams!$D$80,0,IF(Teams!$D$22="S",MIN(1,(L$4-Teams!$D$80+1)/Teams!$D$21)^2*(3-2*MIN(1,(L$4-Teams!$D$80+1)/Teams!$D$21)),MIN(1,(L$4-Teams!$D$80+1)/Teams!$D$21)))</f>
        <v>1</v>
      </c>
      <c r="M36" s="26">
        <f>IF(M$4&lt;Teams!$D$80,0,IF(Teams!$D$22="S",MIN(1,(M$4-Teams!$D$80+1)/Teams!$D$21)^2*(3-2*MIN(1,(M$4-Teams!$D$80+1)/Teams!$D$21)),MIN(1,(M$4-Teams!$D$80+1)/Teams!$D$21)))</f>
        <v>1</v>
      </c>
      <c r="N36" s="26">
        <f>IF(N$4&lt;Teams!$D$80,0,IF(Teams!$D$22="S",MIN(1,(N$4-Teams!$D$80+1)/Teams!$D$21)^2*(3-2*MIN(1,(N$4-Teams!$D$80+1)/Teams!$D$21)),MIN(1,(N$4-Teams!$D$80+1)/Teams!$D$21)))</f>
        <v>1</v>
      </c>
      <c r="O36" s="26">
        <f>IF(O$4&lt;Teams!$D$80,0,IF(Teams!$D$22="S",MIN(1,(O$4-Teams!$D$80+1)/Teams!$D$21)^2*(3-2*MIN(1,(O$4-Teams!$D$80+1)/Teams!$D$21)),MIN(1,(O$4-Teams!$D$80+1)/Teams!$D$21)))</f>
        <v>1</v>
      </c>
      <c r="P36" s="26">
        <f>IF(P$4&lt;Teams!$D$80,0,IF(Teams!$D$22="S",MIN(1,(P$4-Teams!$D$80+1)/Teams!$D$21)^2*(3-2*MIN(1,(P$4-Teams!$D$80+1)/Teams!$D$21)),MIN(1,(P$4-Teams!$D$80+1)/Teams!$D$21)))</f>
        <v>1</v>
      </c>
      <c r="Q36" s="26">
        <f>IF(Q$4&lt;Teams!$D$80,0,IF(Teams!$D$22="S",MIN(1,(Q$4-Teams!$D$80+1)/Teams!$D$21)^2*(3-2*MIN(1,(Q$4-Teams!$D$80+1)/Teams!$D$21)),MIN(1,(Q$4-Teams!$D$80+1)/Teams!$D$21)))</f>
        <v>1</v>
      </c>
      <c r="R36" s="26">
        <f>IF(R$4&lt;Teams!$D$80,0,IF(Teams!$D$22="S",MIN(1,(R$4-Teams!$D$80+1)/Teams!$D$21)^2*(3-2*MIN(1,(R$4-Teams!$D$80+1)/Teams!$D$21)),MIN(1,(R$4-Teams!$D$80+1)/Teams!$D$21)))</f>
        <v>1</v>
      </c>
      <c r="S36" s="26">
        <f>IF(S$4&lt;Teams!$D$80,0,IF(Teams!$D$22="S",MIN(1,(S$4-Teams!$D$80+1)/Teams!$D$21)^2*(3-2*MIN(1,(S$4-Teams!$D$80+1)/Teams!$D$21)),MIN(1,(S$4-Teams!$D$80+1)/Teams!$D$21)))</f>
        <v>1</v>
      </c>
      <c r="T36" s="26">
        <f>IF(T$4&lt;Teams!$D$80,0,IF(Teams!$D$22="S",MIN(1,(T$4-Teams!$D$80+1)/Teams!$D$21)^2*(3-2*MIN(1,(T$4-Teams!$D$80+1)/Teams!$D$21)),MIN(1,(T$4-Teams!$D$80+1)/Teams!$D$21)))</f>
        <v>1</v>
      </c>
      <c r="U36" s="26">
        <f>IF(U$4&lt;Teams!$D$80,0,IF(Teams!$D$22="S",MIN(1,(U$4-Teams!$D$80+1)/Teams!$D$21)^2*(3-2*MIN(1,(U$4-Teams!$D$80+1)/Teams!$D$21)),MIN(1,(U$4-Teams!$D$80+1)/Teams!$D$21)))</f>
        <v>1</v>
      </c>
      <c r="V36" s="26">
        <f>IF(V$4&lt;Teams!$D$80,0,IF(Teams!$D$22="S",MIN(1,(V$4-Teams!$D$80+1)/Teams!$D$21)^2*(3-2*MIN(1,(V$4-Teams!$D$80+1)/Teams!$D$21)),MIN(1,(V$4-Teams!$D$80+1)/Teams!$D$21)))</f>
        <v>1</v>
      </c>
      <c r="W36" s="26">
        <f>IF(W$4&lt;Teams!$D$80,0,IF(Teams!$D$22="S",MIN(1,(W$4-Teams!$D$80+1)/Teams!$D$21)^2*(3-2*MIN(1,(W$4-Teams!$D$80+1)/Teams!$D$21)),MIN(1,(W$4-Teams!$D$80+1)/Teams!$D$21)))</f>
        <v>1</v>
      </c>
      <c r="X36" s="26">
        <f>IF(X$4&lt;Teams!$D$80,0,IF(Teams!$D$22="S",MIN(1,(X$4-Teams!$D$80+1)/Teams!$D$21)^2*(3-2*MIN(1,(X$4-Teams!$D$80+1)/Teams!$D$21)),MIN(1,(X$4-Teams!$D$80+1)/Teams!$D$21)))</f>
        <v>1</v>
      </c>
      <c r="Y36" s="26">
        <f>IF(Y$4&lt;Teams!$D$80,0,IF(Teams!$D$22="S",MIN(1,(Y$4-Teams!$D$80+1)/Teams!$D$21)^2*(3-2*MIN(1,(Y$4-Teams!$D$80+1)/Teams!$D$21)),MIN(1,(Y$4-Teams!$D$80+1)/Teams!$D$21)))</f>
        <v>1</v>
      </c>
      <c r="Z36" s="26">
        <f>IF(Z$4&lt;Teams!$D$80,0,IF(Teams!$D$22="S",MIN(1,(Z$4-Teams!$D$80+1)/Teams!$D$21)^2*(3-2*MIN(1,(Z$4-Teams!$D$80+1)/Teams!$D$21)),MIN(1,(Z$4-Teams!$D$80+1)/Teams!$D$21)))</f>
        <v>1</v>
      </c>
      <c r="AA36" s="26">
        <f>IF(AA$4&lt;Teams!$D$80,0,IF(Teams!$D$22="S",MIN(1,(AA$4-Teams!$D$80+1)/Teams!$D$21)^2*(3-2*MIN(1,(AA$4-Teams!$D$80+1)/Teams!$D$21)),MIN(1,(AA$4-Teams!$D$80+1)/Teams!$D$21)))</f>
        <v>1</v>
      </c>
      <c r="AB36" s="26">
        <f>IF(AB$4&lt;Teams!$D$80,0,IF(Teams!$D$22="S",MIN(1,(AB$4-Teams!$D$80+1)/Teams!$D$21)^2*(3-2*MIN(1,(AB$4-Teams!$D$80+1)/Teams!$D$21)),MIN(1,(AB$4-Teams!$D$80+1)/Teams!$D$21)))</f>
        <v>1</v>
      </c>
      <c r="AC36" s="26">
        <f>IF(AC$4&lt;Teams!$D$80,0,IF(Teams!$D$22="S",MIN(1,(AC$4-Teams!$D$80+1)/Teams!$D$21)^2*(3-2*MIN(1,(AC$4-Teams!$D$80+1)/Teams!$D$21)),MIN(1,(AC$4-Teams!$D$80+1)/Teams!$D$21)))</f>
        <v>1</v>
      </c>
      <c r="AD36" s="26">
        <f>IF(AD$4&lt;Teams!$D$80,0,IF(Teams!$D$22="S",MIN(1,(AD$4-Teams!$D$80+1)/Teams!$D$21)^2*(3-2*MIN(1,(AD$4-Teams!$D$80+1)/Teams!$D$21)),MIN(1,(AD$4-Teams!$D$80+1)/Teams!$D$21)))</f>
        <v>1</v>
      </c>
      <c r="AE36" s="26">
        <f>IF(AE$4&lt;Teams!$D$80,0,IF(Teams!$D$22="S",MIN(1,(AE$4-Teams!$D$80+1)/Teams!$D$21)^2*(3-2*MIN(1,(AE$4-Teams!$D$80+1)/Teams!$D$21)),MIN(1,(AE$4-Teams!$D$80+1)/Teams!$D$21)))</f>
        <v>1</v>
      </c>
      <c r="AF36" s="26">
        <f>IF(AF$4&lt;Teams!$D$80,0,IF(Teams!$D$22="S",MIN(1,(AF$4-Teams!$D$80+1)/Teams!$D$21)^2*(3-2*MIN(1,(AF$4-Teams!$D$80+1)/Teams!$D$21)),MIN(1,(AF$4-Teams!$D$80+1)/Teams!$D$21)))</f>
        <v>1</v>
      </c>
      <c r="AG36" s="26">
        <f>IF(AG$4&lt;Teams!$D$80,0,IF(Teams!$D$22="S",MIN(1,(AG$4-Teams!$D$80+1)/Teams!$D$21)^2*(3-2*MIN(1,(AG$4-Teams!$D$80+1)/Teams!$D$21)),MIN(1,(AG$4-Teams!$D$80+1)/Teams!$D$21)))</f>
        <v>1</v>
      </c>
      <c r="AH36" s="26">
        <f>IF(AH$4&lt;Teams!$D$80,0,IF(Teams!$D$22="S",MIN(1,(AH$4-Teams!$D$80+1)/Teams!$D$21)^2*(3-2*MIN(1,(AH$4-Teams!$D$80+1)/Teams!$D$21)),MIN(1,(AH$4-Teams!$D$80+1)/Teams!$D$21)))</f>
        <v>1</v>
      </c>
      <c r="AI36" s="26">
        <f>IF(AI$4&lt;Teams!$D$80,0,IF(Teams!$D$22="S",MIN(1,(AI$4-Teams!$D$80+1)/Teams!$D$21)^2*(3-2*MIN(1,(AI$4-Teams!$D$80+1)/Teams!$D$21)),MIN(1,(AI$4-Teams!$D$80+1)/Teams!$D$21)))</f>
        <v>1</v>
      </c>
      <c r="AJ36" s="26">
        <f>IF(AJ$4&lt;Teams!$D$80,0,IF(Teams!$D$22="S",MIN(1,(AJ$4-Teams!$D$80+1)/Teams!$D$21)^2*(3-2*MIN(1,(AJ$4-Teams!$D$80+1)/Teams!$D$21)),MIN(1,(AJ$4-Teams!$D$80+1)/Teams!$D$21)))</f>
        <v>1</v>
      </c>
      <c r="AK36" s="26">
        <f>IF(AK$4&lt;Teams!$D$80,0,IF(Teams!$D$22="S",MIN(1,(AK$4-Teams!$D$80+1)/Teams!$D$21)^2*(3-2*MIN(1,(AK$4-Teams!$D$80+1)/Teams!$D$21)),MIN(1,(AK$4-Teams!$D$80+1)/Teams!$D$21)))</f>
        <v>1</v>
      </c>
      <c r="AL36" s="26">
        <f>IF(AL$4&lt;Teams!$D$80,0,IF(Teams!$D$22="S",MIN(1,(AL$4-Teams!$D$80+1)/Teams!$D$21)^2*(3-2*MIN(1,(AL$4-Teams!$D$80+1)/Teams!$D$21)),MIN(1,(AL$4-Teams!$D$80+1)/Teams!$D$21)))</f>
        <v>1</v>
      </c>
      <c r="AM36" s="26">
        <f>IF(AM$4&lt;Teams!$D$80,0,IF(Teams!$D$22="S",MIN(1,(AM$4-Teams!$D$80+1)/Teams!$D$21)^2*(3-2*MIN(1,(AM$4-Teams!$D$80+1)/Teams!$D$21)),MIN(1,(AM$4-Teams!$D$80+1)/Teams!$D$21)))</f>
        <v>1</v>
      </c>
      <c r="AN36" s="26">
        <f>IF(AN$4&lt;Teams!$D$80,0,IF(Teams!$D$22="S",MIN(1,(AN$4-Teams!$D$80+1)/Teams!$D$21)^2*(3-2*MIN(1,(AN$4-Teams!$D$80+1)/Teams!$D$21)),MIN(1,(AN$4-Teams!$D$80+1)/Teams!$D$21)))</f>
        <v>1</v>
      </c>
      <c r="AO36" s="26">
        <f>IF(AO$4&lt;Teams!$D$80,0,IF(Teams!$D$22="S",MIN(1,(AO$4-Teams!$D$80+1)/Teams!$D$21)^2*(3-2*MIN(1,(AO$4-Teams!$D$80+1)/Teams!$D$21)),MIN(1,(AO$4-Teams!$D$80+1)/Teams!$D$21)))</f>
        <v>1</v>
      </c>
      <c r="AP36" s="26">
        <f>IF(AP$4&lt;Teams!$D$80,0,IF(Teams!$D$22="S",MIN(1,(AP$4-Teams!$D$80+1)/Teams!$D$21)^2*(3-2*MIN(1,(AP$4-Teams!$D$80+1)/Teams!$D$21)),MIN(1,(AP$4-Teams!$D$80+1)/Teams!$D$21)))</f>
        <v>1</v>
      </c>
      <c r="AQ36" s="26">
        <f>IF(AQ$4&lt;Teams!$D$80,0,IF(Teams!$D$22="S",MIN(1,(AQ$4-Teams!$D$80+1)/Teams!$D$21)^2*(3-2*MIN(1,(AQ$4-Teams!$D$80+1)/Teams!$D$21)),MIN(1,(AQ$4-Teams!$D$80+1)/Teams!$D$21)))</f>
        <v>1</v>
      </c>
      <c r="AR36" s="26">
        <f>IF(AR$4&lt;Teams!$D$80,0,IF(Teams!$D$22="S",MIN(1,(AR$4-Teams!$D$80+1)/Teams!$D$21)^2*(3-2*MIN(1,(AR$4-Teams!$D$80+1)/Teams!$D$21)),MIN(1,(AR$4-Teams!$D$80+1)/Teams!$D$21)))</f>
        <v>1</v>
      </c>
      <c r="AS36" s="26">
        <f>IF(AS$4&lt;Teams!$D$80,0,IF(Teams!$D$22="S",MIN(1,(AS$4-Teams!$D$80+1)/Teams!$D$21)^2*(3-2*MIN(1,(AS$4-Teams!$D$80+1)/Teams!$D$21)),MIN(1,(AS$4-Teams!$D$80+1)/Teams!$D$21)))</f>
        <v>1</v>
      </c>
      <c r="AT36" s="26">
        <f>IF(AT$4&lt;Teams!$D$80,0,IF(Teams!$D$22="S",MIN(1,(AT$4-Teams!$D$80+1)/Teams!$D$21)^2*(3-2*MIN(1,(AT$4-Teams!$D$80+1)/Teams!$D$21)),MIN(1,(AT$4-Teams!$D$80+1)/Teams!$D$21)))</f>
        <v>1</v>
      </c>
      <c r="AU36" s="26">
        <f>IF(AU$4&lt;Teams!$D$80,0,IF(Teams!$D$22="S",MIN(1,(AU$4-Teams!$D$80+1)/Teams!$D$21)^2*(3-2*MIN(1,(AU$4-Teams!$D$80+1)/Teams!$D$21)),MIN(1,(AU$4-Teams!$D$80+1)/Teams!$D$21)))</f>
        <v>1</v>
      </c>
      <c r="AV36" s="26">
        <f>IF(AV$4&lt;Teams!$D$80,0,IF(Teams!$D$22="S",MIN(1,(AV$4-Teams!$D$80+1)/Teams!$D$21)^2*(3-2*MIN(1,(AV$4-Teams!$D$80+1)/Teams!$D$21)),MIN(1,(AV$4-Teams!$D$80+1)/Teams!$D$21)))</f>
        <v>1</v>
      </c>
      <c r="AW36" s="26">
        <f>IF(AW$4&lt;Teams!$D$80,0,IF(Teams!$D$22="S",MIN(1,(AW$4-Teams!$D$80+1)/Teams!$D$21)^2*(3-2*MIN(1,(AW$4-Teams!$D$80+1)/Teams!$D$21)),MIN(1,(AW$4-Teams!$D$80+1)/Teams!$D$21)))</f>
        <v>1</v>
      </c>
      <c r="AX36" s="26">
        <f>IF(AX$4&lt;Teams!$D$80,0,IF(Teams!$D$22="S",MIN(1,(AX$4-Teams!$D$80+1)/Teams!$D$21)^2*(3-2*MIN(1,(AX$4-Teams!$D$80+1)/Teams!$D$21)),MIN(1,(AX$4-Teams!$D$80+1)/Teams!$D$21)))</f>
        <v>1</v>
      </c>
      <c r="AY36" s="26">
        <f>IF(AY$4&lt;Teams!$D$80,0,IF(Teams!$D$22="S",MIN(1,(AY$4-Teams!$D$80+1)/Teams!$D$21)^2*(3-2*MIN(1,(AY$4-Teams!$D$80+1)/Teams!$D$21)),MIN(1,(AY$4-Teams!$D$80+1)/Teams!$D$21)))</f>
        <v>1</v>
      </c>
      <c r="AZ36" s="26">
        <f>IF(AZ$4&lt;Teams!$D$80,0,IF(Teams!$D$22="S",MIN(1,(AZ$4-Teams!$D$80+1)/Teams!$D$21)^2*(3-2*MIN(1,(AZ$4-Teams!$D$80+1)/Teams!$D$21)),MIN(1,(AZ$4-Teams!$D$80+1)/Teams!$D$21)))</f>
        <v>1</v>
      </c>
      <c r="BA36" s="26">
        <f>IF(BA$4&lt;Teams!$D$80,0,IF(Teams!$D$22="S",MIN(1,(BA$4-Teams!$D$80+1)/Teams!$D$21)^2*(3-2*MIN(1,(BA$4-Teams!$D$80+1)/Teams!$D$21)),MIN(1,(BA$4-Teams!$D$80+1)/Teams!$D$21)))</f>
        <v>1</v>
      </c>
      <c r="BB36" s="26">
        <f>IF(BB$4&lt;Teams!$D$80,0,IF(Teams!$D$22="S",MIN(1,(BB$4-Teams!$D$80+1)/Teams!$D$21)^2*(3-2*MIN(1,(BB$4-Teams!$D$80+1)/Teams!$D$21)),MIN(1,(BB$4-Teams!$D$80+1)/Teams!$D$21)))</f>
        <v>1</v>
      </c>
      <c r="BC36" s="26">
        <f>IF(BC$4&lt;Teams!$D$80,0,IF(Teams!$D$22="S",MIN(1,(BC$4-Teams!$D$80+1)/Teams!$D$21)^2*(3-2*MIN(1,(BC$4-Teams!$D$80+1)/Teams!$D$21)),MIN(1,(BC$4-Teams!$D$80+1)/Teams!$D$21)))</f>
        <v>1</v>
      </c>
      <c r="BD36" s="26">
        <f>IF(BD$4&lt;Teams!$D$80,0,IF(Teams!$D$22="S",MIN(1,(BD$4-Teams!$D$80+1)/Teams!$D$21)^2*(3-2*MIN(1,(BD$4-Teams!$D$80+1)/Teams!$D$21)),MIN(1,(BD$4-Teams!$D$80+1)/Teams!$D$21)))</f>
        <v>1</v>
      </c>
      <c r="BE36" s="26">
        <f>IF(BE$4&lt;Teams!$D$80,0,IF(Teams!$D$22="S",MIN(1,(BE$4-Teams!$D$80+1)/Teams!$D$21)^2*(3-2*MIN(1,(BE$4-Teams!$D$80+1)/Teams!$D$21)),MIN(1,(BE$4-Teams!$D$80+1)/Teams!$D$21)))</f>
        <v>1</v>
      </c>
      <c r="BF36" s="26">
        <f>IF(BF$4&lt;Teams!$D$80,0,IF(Teams!$D$22="S",MIN(1,(BF$4-Teams!$D$80+1)/Teams!$D$21)^2*(3-2*MIN(1,(BF$4-Teams!$D$80+1)/Teams!$D$21)),MIN(1,(BF$4-Teams!$D$80+1)/Teams!$D$21)))</f>
        <v>1</v>
      </c>
      <c r="BG36" s="26">
        <f>IF(BG$4&lt;Teams!$D$80,0,IF(Teams!$D$22="S",MIN(1,(BG$4-Teams!$D$80+1)/Teams!$D$21)^2*(3-2*MIN(1,(BG$4-Teams!$D$80+1)/Teams!$D$21)),MIN(1,(BG$4-Teams!$D$80+1)/Teams!$D$21)))</f>
        <v>1</v>
      </c>
      <c r="BH36" s="26">
        <f>IF(BH$4&lt;Teams!$D$80,0,IF(Teams!$D$22="S",MIN(1,(BH$4-Teams!$D$80+1)/Teams!$D$21)^2*(3-2*MIN(1,(BH$4-Teams!$D$80+1)/Teams!$D$21)),MIN(1,(BH$4-Teams!$D$80+1)/Teams!$D$21)))</f>
        <v>1</v>
      </c>
      <c r="BI36" s="26">
        <f>IF(BI$4&lt;Teams!$D$80,0,IF(Teams!$D$22="S",MIN(1,(BI$4-Teams!$D$80+1)/Teams!$D$21)^2*(3-2*MIN(1,(BI$4-Teams!$D$80+1)/Teams!$D$21)),MIN(1,(BI$4-Teams!$D$80+1)/Teams!$D$21)))</f>
        <v>1</v>
      </c>
      <c r="BJ36" s="26">
        <f>IF(BJ$4&lt;Teams!$D$80,0,IF(Teams!$D$22="S",MIN(1,(BJ$4-Teams!$D$80+1)/Teams!$D$21)^2*(3-2*MIN(1,(BJ$4-Teams!$D$80+1)/Teams!$D$21)),MIN(1,(BJ$4-Teams!$D$80+1)/Teams!$D$21)))</f>
        <v>1</v>
      </c>
      <c r="BK36" s="26">
        <f>IF(BK$4&lt;Teams!$D$80,0,IF(Teams!$D$22="S",MIN(1,(BK$4-Teams!$D$80+1)/Teams!$D$21)^2*(3-2*MIN(1,(BK$4-Teams!$D$80+1)/Teams!$D$21)),MIN(1,(BK$4-Teams!$D$80+1)/Teams!$D$21)))</f>
        <v>1</v>
      </c>
      <c r="BL36" s="26">
        <f>IF(BL$4&lt;Teams!$D$80,0,IF(Teams!$D$22="S",MIN(1,(BL$4-Teams!$D$80+1)/Teams!$D$21)^2*(3-2*MIN(1,(BL$4-Teams!$D$80+1)/Teams!$D$21)),MIN(1,(BL$4-Teams!$D$80+1)/Teams!$D$21)))</f>
        <v>1</v>
      </c>
    </row>
    <row r="37" spans="1:64" x14ac:dyDescent="0.3">
      <c r="A37" s="8" t="s">
        <v>160</v>
      </c>
      <c r="E37" s="22">
        <f>IF(E$4&gt;=Teams!$D$80,Teams!$D$18,0)</f>
        <v>400</v>
      </c>
      <c r="F37" s="22">
        <f>IF(F$4&gt;=Teams!$D$80,Teams!$D$18,0)</f>
        <v>400</v>
      </c>
      <c r="G37" s="22">
        <f>IF(G$4&gt;=Teams!$D$80,Teams!$D$18,0)</f>
        <v>400</v>
      </c>
      <c r="H37" s="22">
        <f>IF(H$4&gt;=Teams!$D$80,Teams!$D$18,0)</f>
        <v>400</v>
      </c>
      <c r="I37" s="22">
        <f>IF(I$4&gt;=Teams!$D$80,Teams!$D$18,0)</f>
        <v>400</v>
      </c>
      <c r="J37" s="22">
        <f>IF(J$4&gt;=Teams!$D$80,Teams!$D$18,0)</f>
        <v>400</v>
      </c>
      <c r="K37" s="22">
        <f>IF(K$4&gt;=Teams!$D$80,Teams!$D$18,0)</f>
        <v>400</v>
      </c>
      <c r="L37" s="22">
        <f>IF(L$4&gt;=Teams!$D$80,Teams!$D$18,0)</f>
        <v>400</v>
      </c>
      <c r="M37" s="22">
        <f>IF(M$4&gt;=Teams!$D$80,Teams!$D$18,0)</f>
        <v>400</v>
      </c>
      <c r="N37" s="22">
        <f>IF(N$4&gt;=Teams!$D$80,Teams!$D$18,0)</f>
        <v>400</v>
      </c>
      <c r="O37" s="22">
        <f>IF(O$4&gt;=Teams!$D$80,Teams!$D$18,0)</f>
        <v>400</v>
      </c>
      <c r="P37" s="22">
        <f>IF(P$4&gt;=Teams!$D$80,Teams!$D$18,0)</f>
        <v>400</v>
      </c>
      <c r="Q37" s="22">
        <f>IF(Q$4&gt;=Teams!$D$80,Teams!$D$18,0)</f>
        <v>400</v>
      </c>
      <c r="R37" s="22">
        <f>IF(R$4&gt;=Teams!$D$80,Teams!$D$18,0)</f>
        <v>400</v>
      </c>
      <c r="S37" s="22">
        <f>IF(S$4&gt;=Teams!$D$80,Teams!$D$18,0)</f>
        <v>400</v>
      </c>
      <c r="T37" s="22">
        <f>IF(T$4&gt;=Teams!$D$80,Teams!$D$18,0)</f>
        <v>400</v>
      </c>
      <c r="U37" s="22">
        <f>IF(U$4&gt;=Teams!$D$80,Teams!$D$18,0)</f>
        <v>400</v>
      </c>
      <c r="V37" s="22">
        <f>IF(V$4&gt;=Teams!$D$80,Teams!$D$18,0)</f>
        <v>400</v>
      </c>
      <c r="W37" s="22">
        <f>IF(W$4&gt;=Teams!$D$80,Teams!$D$18,0)</f>
        <v>400</v>
      </c>
      <c r="X37" s="22">
        <f>IF(X$4&gt;=Teams!$D$80,Teams!$D$18,0)</f>
        <v>400</v>
      </c>
      <c r="Y37" s="22">
        <f>IF(Y$4&gt;=Teams!$D$80,Teams!$D$18,0)</f>
        <v>400</v>
      </c>
      <c r="Z37" s="22">
        <f>IF(Z$4&gt;=Teams!$D$80,Teams!$D$18,0)</f>
        <v>400</v>
      </c>
      <c r="AA37" s="22">
        <f>IF(AA$4&gt;=Teams!$D$80,Teams!$D$18,0)</f>
        <v>400</v>
      </c>
      <c r="AB37" s="22">
        <f>IF(AB$4&gt;=Teams!$D$80,Teams!$D$18,0)</f>
        <v>400</v>
      </c>
      <c r="AC37" s="22">
        <f>IF(AC$4&gt;=Teams!$D$80,Teams!$D$18,0)</f>
        <v>400</v>
      </c>
      <c r="AD37" s="22">
        <f>IF(AD$4&gt;=Teams!$D$80,Teams!$D$18,0)</f>
        <v>400</v>
      </c>
      <c r="AE37" s="22">
        <f>IF(AE$4&gt;=Teams!$D$80,Teams!$D$18,0)</f>
        <v>400</v>
      </c>
      <c r="AF37" s="22">
        <f>IF(AF$4&gt;=Teams!$D$80,Teams!$D$18,0)</f>
        <v>400</v>
      </c>
      <c r="AG37" s="22">
        <f>IF(AG$4&gt;=Teams!$D$80,Teams!$D$18,0)</f>
        <v>400</v>
      </c>
      <c r="AH37" s="22">
        <f>IF(AH$4&gt;=Teams!$D$80,Teams!$D$18,0)</f>
        <v>400</v>
      </c>
      <c r="AI37" s="22">
        <f>IF(AI$4&gt;=Teams!$D$80,Teams!$D$18,0)</f>
        <v>400</v>
      </c>
      <c r="AJ37" s="22">
        <f>IF(AJ$4&gt;=Teams!$D$80,Teams!$D$18,0)</f>
        <v>400</v>
      </c>
      <c r="AK37" s="22">
        <f>IF(AK$4&gt;=Teams!$D$80,Teams!$D$18,0)</f>
        <v>400</v>
      </c>
      <c r="AL37" s="22">
        <f>IF(AL$4&gt;=Teams!$D$80,Teams!$D$18,0)</f>
        <v>400</v>
      </c>
      <c r="AM37" s="22">
        <f>IF(AM$4&gt;=Teams!$D$80,Teams!$D$18,0)</f>
        <v>400</v>
      </c>
      <c r="AN37" s="22">
        <f>IF(AN$4&gt;=Teams!$D$80,Teams!$D$18,0)</f>
        <v>400</v>
      </c>
      <c r="AO37" s="22">
        <f>IF(AO$4&gt;=Teams!$D$80,Teams!$D$18,0)</f>
        <v>400</v>
      </c>
      <c r="AP37" s="22">
        <f>IF(AP$4&gt;=Teams!$D$80,Teams!$D$18,0)</f>
        <v>400</v>
      </c>
      <c r="AQ37" s="22">
        <f>IF(AQ$4&gt;=Teams!$D$80,Teams!$D$18,0)</f>
        <v>400</v>
      </c>
      <c r="AR37" s="22">
        <f>IF(AR$4&gt;=Teams!$D$80,Teams!$D$18,0)</f>
        <v>400</v>
      </c>
      <c r="AS37" s="22">
        <f>IF(AS$4&gt;=Teams!$D$80,Teams!$D$18,0)</f>
        <v>400</v>
      </c>
      <c r="AT37" s="22">
        <f>IF(AT$4&gt;=Teams!$D$80,Teams!$D$18,0)</f>
        <v>400</v>
      </c>
      <c r="AU37" s="22">
        <f>IF(AU$4&gt;=Teams!$D$80,Teams!$D$18,0)</f>
        <v>400</v>
      </c>
      <c r="AV37" s="22">
        <f>IF(AV$4&gt;=Teams!$D$80,Teams!$D$18,0)</f>
        <v>400</v>
      </c>
      <c r="AW37" s="22">
        <f>IF(AW$4&gt;=Teams!$D$80,Teams!$D$18,0)</f>
        <v>400</v>
      </c>
      <c r="AX37" s="22">
        <f>IF(AX$4&gt;=Teams!$D$80,Teams!$D$18,0)</f>
        <v>400</v>
      </c>
      <c r="AY37" s="22">
        <f>IF(AY$4&gt;=Teams!$D$80,Teams!$D$18,0)</f>
        <v>400</v>
      </c>
      <c r="AZ37" s="22">
        <f>IF(AZ$4&gt;=Teams!$D$80,Teams!$D$18,0)</f>
        <v>400</v>
      </c>
      <c r="BA37" s="22">
        <f>IF(BA$4&gt;=Teams!$D$80,Teams!$D$18,0)</f>
        <v>400</v>
      </c>
      <c r="BB37" s="22">
        <f>IF(BB$4&gt;=Teams!$D$80,Teams!$D$18,0)</f>
        <v>400</v>
      </c>
      <c r="BC37" s="22">
        <f>IF(BC$4&gt;=Teams!$D$80,Teams!$D$18,0)</f>
        <v>400</v>
      </c>
      <c r="BD37" s="22">
        <f>IF(BD$4&gt;=Teams!$D$80,Teams!$D$18,0)</f>
        <v>400</v>
      </c>
      <c r="BE37" s="22">
        <f>IF(BE$4&gt;=Teams!$D$80,Teams!$D$18,0)</f>
        <v>400</v>
      </c>
      <c r="BF37" s="22">
        <f>IF(BF$4&gt;=Teams!$D$80,Teams!$D$18,0)</f>
        <v>400</v>
      </c>
      <c r="BG37" s="22">
        <f>IF(BG$4&gt;=Teams!$D$80,Teams!$D$18,0)</f>
        <v>400</v>
      </c>
      <c r="BH37" s="22">
        <f>IF(BH$4&gt;=Teams!$D$80,Teams!$D$18,0)</f>
        <v>400</v>
      </c>
      <c r="BI37" s="22">
        <f>IF(BI$4&gt;=Teams!$D$80,Teams!$D$18,0)</f>
        <v>400</v>
      </c>
      <c r="BJ37" s="22">
        <f>IF(BJ$4&gt;=Teams!$D$80,Teams!$D$18,0)</f>
        <v>400</v>
      </c>
      <c r="BK37" s="22">
        <f>IF(BK$4&gt;=Teams!$D$80,Teams!$D$18,0)</f>
        <v>400</v>
      </c>
      <c r="BL37" s="22">
        <f>IF(BL$4&gt;=Teams!$D$80,Teams!$D$18,0)</f>
        <v>400</v>
      </c>
    </row>
    <row r="38" spans="1:64" x14ac:dyDescent="0.3">
      <c r="A38" s="8" t="s">
        <v>1011</v>
      </c>
      <c r="C38" s="22">
        <f>SUMPRODUCT(E38:BL38,E$5:BL$5)</f>
        <v>11040</v>
      </c>
      <c r="E38" s="22">
        <f>E37*Teams!$D$19*E36</f>
        <v>80</v>
      </c>
      <c r="F38" s="22">
        <f>F37*Teams!$D$19*F36</f>
        <v>160</v>
      </c>
      <c r="G38" s="22">
        <f>G37*Teams!$D$19*G36</f>
        <v>240</v>
      </c>
      <c r="H38" s="22">
        <f>H37*Teams!$D$19*H36</f>
        <v>320</v>
      </c>
      <c r="I38" s="22">
        <f>I37*Teams!$D$19*I36</f>
        <v>320</v>
      </c>
      <c r="J38" s="22">
        <f>J37*Teams!$D$19*J36</f>
        <v>320</v>
      </c>
      <c r="K38" s="22">
        <f>K37*Teams!$D$19*K36</f>
        <v>320</v>
      </c>
      <c r="L38" s="22">
        <f>L37*Teams!$D$19*L36</f>
        <v>320</v>
      </c>
      <c r="M38" s="22">
        <f>M37*Teams!$D$19*M36</f>
        <v>320</v>
      </c>
      <c r="N38" s="22">
        <f>N37*Teams!$D$19*N36</f>
        <v>320</v>
      </c>
      <c r="O38" s="22">
        <f>O37*Teams!$D$19*O36</f>
        <v>320</v>
      </c>
      <c r="P38" s="22">
        <f>P37*Teams!$D$19*P36</f>
        <v>320</v>
      </c>
      <c r="Q38" s="22">
        <f>Q37*Teams!$D$19*Q36</f>
        <v>320</v>
      </c>
      <c r="R38" s="22">
        <f>R37*Teams!$D$19*R36</f>
        <v>320</v>
      </c>
      <c r="S38" s="22">
        <f>S37*Teams!$D$19*S36</f>
        <v>320</v>
      </c>
      <c r="T38" s="22">
        <f>T37*Teams!$D$19*T36</f>
        <v>320</v>
      </c>
      <c r="U38" s="22">
        <f>U37*Teams!$D$19*U36</f>
        <v>320</v>
      </c>
      <c r="V38" s="22">
        <f>V37*Teams!$D$19*V36</f>
        <v>320</v>
      </c>
      <c r="W38" s="22">
        <f>W37*Teams!$D$19*W36</f>
        <v>320</v>
      </c>
      <c r="X38" s="22">
        <f>X37*Teams!$D$19*X36</f>
        <v>320</v>
      </c>
      <c r="Y38" s="22">
        <f>Y37*Teams!$D$19*Y36</f>
        <v>320</v>
      </c>
      <c r="Z38" s="22">
        <f>Z37*Teams!$D$19*Z36</f>
        <v>320</v>
      </c>
      <c r="AA38" s="22">
        <f>AA37*Teams!$D$19*AA36</f>
        <v>320</v>
      </c>
      <c r="AB38" s="22">
        <f>AB37*Teams!$D$19*AB36</f>
        <v>320</v>
      </c>
      <c r="AC38" s="22">
        <f>AC37*Teams!$D$19*AC36</f>
        <v>320</v>
      </c>
      <c r="AD38" s="22">
        <f>AD37*Teams!$D$19*AD36</f>
        <v>320</v>
      </c>
      <c r="AE38" s="22">
        <f>AE37*Teams!$D$19*AE36</f>
        <v>320</v>
      </c>
      <c r="AF38" s="22">
        <f>AF37*Teams!$D$19*AF36</f>
        <v>320</v>
      </c>
      <c r="AG38" s="22">
        <f>AG37*Teams!$D$19*AG36</f>
        <v>320</v>
      </c>
      <c r="AH38" s="22">
        <f>AH37*Teams!$D$19*AH36</f>
        <v>320</v>
      </c>
      <c r="AI38" s="22">
        <f>AI37*Teams!$D$19*AI36</f>
        <v>320</v>
      </c>
      <c r="AJ38" s="22">
        <f>AJ37*Teams!$D$19*AJ36</f>
        <v>320</v>
      </c>
      <c r="AK38" s="22">
        <f>AK37*Teams!$D$19*AK36</f>
        <v>320</v>
      </c>
      <c r="AL38" s="22">
        <f>AL37*Teams!$D$19*AL36</f>
        <v>320</v>
      </c>
      <c r="AM38" s="22">
        <f>AM37*Teams!$D$19*AM36</f>
        <v>320</v>
      </c>
      <c r="AN38" s="22">
        <f>AN37*Teams!$D$19*AN36</f>
        <v>320</v>
      </c>
      <c r="AO38" s="22">
        <f>AO37*Teams!$D$19*AO36</f>
        <v>320</v>
      </c>
      <c r="AP38" s="22">
        <f>AP37*Teams!$D$19*AP36</f>
        <v>320</v>
      </c>
      <c r="AQ38" s="22">
        <f>AQ37*Teams!$D$19*AQ36</f>
        <v>320</v>
      </c>
      <c r="AR38" s="22">
        <f>AR37*Teams!$D$19*AR36</f>
        <v>320</v>
      </c>
      <c r="AS38" s="22">
        <f>AS37*Teams!$D$19*AS36</f>
        <v>320</v>
      </c>
      <c r="AT38" s="22">
        <f>AT37*Teams!$D$19*AT36</f>
        <v>320</v>
      </c>
      <c r="AU38" s="22">
        <f>AU37*Teams!$D$19*AU36</f>
        <v>320</v>
      </c>
      <c r="AV38" s="22">
        <f>AV37*Teams!$D$19*AV36</f>
        <v>320</v>
      </c>
      <c r="AW38" s="22">
        <f>AW37*Teams!$D$19*AW36</f>
        <v>320</v>
      </c>
      <c r="AX38" s="22">
        <f>AX37*Teams!$D$19*AX36</f>
        <v>320</v>
      </c>
      <c r="AY38" s="22">
        <f>AY37*Teams!$D$19*AY36</f>
        <v>320</v>
      </c>
      <c r="AZ38" s="22">
        <f>AZ37*Teams!$D$19*AZ36</f>
        <v>320</v>
      </c>
      <c r="BA38" s="22">
        <f>BA37*Teams!$D$19*BA36</f>
        <v>320</v>
      </c>
      <c r="BB38" s="22">
        <f>BB37*Teams!$D$19*BB36</f>
        <v>320</v>
      </c>
      <c r="BC38" s="22">
        <f>BC37*Teams!$D$19*BC36</f>
        <v>320</v>
      </c>
      <c r="BD38" s="22">
        <f>BD37*Teams!$D$19*BD36</f>
        <v>320</v>
      </c>
      <c r="BE38" s="22">
        <f>BE37*Teams!$D$19*BE36</f>
        <v>320</v>
      </c>
      <c r="BF38" s="22">
        <f>BF37*Teams!$D$19*BF36</f>
        <v>320</v>
      </c>
      <c r="BG38" s="22">
        <f>BG37*Teams!$D$19*BG36</f>
        <v>320</v>
      </c>
      <c r="BH38" s="22">
        <f>BH37*Teams!$D$19*BH36</f>
        <v>320</v>
      </c>
      <c r="BI38" s="22">
        <f>BI37*Teams!$D$19*BI36</f>
        <v>320</v>
      </c>
      <c r="BJ38" s="22">
        <f>BJ37*Teams!$D$19*BJ36</f>
        <v>320</v>
      </c>
      <c r="BK38" s="22">
        <f>BK37*Teams!$D$19*BK36</f>
        <v>320</v>
      </c>
      <c r="BL38" s="22">
        <f>BL37*Teams!$D$19*BL36</f>
        <v>320</v>
      </c>
    </row>
    <row r="39" spans="1:64" x14ac:dyDescent="0.3">
      <c r="A39" s="8" t="s">
        <v>28</v>
      </c>
      <c r="C39" s="22">
        <f>SUMPRODUCT(E39:BL39,E$5:BL$5)</f>
        <v>4416000</v>
      </c>
      <c r="E39" s="22">
        <f>IF(Teams!$D$23="per user",E38*Teams!$D$24,Teams!$D$25*E36)</f>
        <v>32000</v>
      </c>
      <c r="F39" s="22">
        <f>IF(Teams!$D$23="per user",F38*Teams!$D$24,Teams!$D$25*F36)</f>
        <v>64000</v>
      </c>
      <c r="G39" s="22">
        <f>IF(Teams!$D$23="per user",G38*Teams!$D$24,Teams!$D$25*G36)</f>
        <v>96000</v>
      </c>
      <c r="H39" s="22">
        <f>IF(Teams!$D$23="per user",H38*Teams!$D$24,Teams!$D$25*H36)</f>
        <v>128000</v>
      </c>
      <c r="I39" s="22">
        <f>IF(Teams!$D$23="per user",I38*Teams!$D$24,Teams!$D$25*I36)</f>
        <v>128000</v>
      </c>
      <c r="J39" s="22">
        <f>IF(Teams!$D$23="per user",J38*Teams!$D$24,Teams!$D$25*J36)</f>
        <v>128000</v>
      </c>
      <c r="K39" s="22">
        <f>IF(Teams!$D$23="per user",K38*Teams!$D$24,Teams!$D$25*K36)</f>
        <v>128000</v>
      </c>
      <c r="L39" s="22">
        <f>IF(Teams!$D$23="per user",L38*Teams!$D$24,Teams!$D$25*L36)</f>
        <v>128000</v>
      </c>
      <c r="M39" s="22">
        <f>IF(Teams!$D$23="per user",M38*Teams!$D$24,Teams!$D$25*M36)</f>
        <v>128000</v>
      </c>
      <c r="N39" s="22">
        <f>IF(Teams!$D$23="per user",N38*Teams!$D$24,Teams!$D$25*N36)</f>
        <v>128000</v>
      </c>
      <c r="O39" s="22">
        <f>IF(Teams!$D$23="per user",O38*Teams!$D$24,Teams!$D$25*O36)</f>
        <v>128000</v>
      </c>
      <c r="P39" s="22">
        <f>IF(Teams!$D$23="per user",P38*Teams!$D$24,Teams!$D$25*P36)</f>
        <v>128000</v>
      </c>
      <c r="Q39" s="22">
        <f>IF(Teams!$D$23="per user",Q38*Teams!$D$24,Teams!$D$25*Q36)</f>
        <v>128000</v>
      </c>
      <c r="R39" s="22">
        <f>IF(Teams!$D$23="per user",R38*Teams!$D$24,Teams!$D$25*R36)</f>
        <v>128000</v>
      </c>
      <c r="S39" s="22">
        <f>IF(Teams!$D$23="per user",S38*Teams!$D$24,Teams!$D$25*S36)</f>
        <v>128000</v>
      </c>
      <c r="T39" s="22">
        <f>IF(Teams!$D$23="per user",T38*Teams!$D$24,Teams!$D$25*T36)</f>
        <v>128000</v>
      </c>
      <c r="U39" s="22">
        <f>IF(Teams!$D$23="per user",U38*Teams!$D$24,Teams!$D$25*U36)</f>
        <v>128000</v>
      </c>
      <c r="V39" s="22">
        <f>IF(Teams!$D$23="per user",V38*Teams!$D$24,Teams!$D$25*V36)</f>
        <v>128000</v>
      </c>
      <c r="W39" s="22">
        <f>IF(Teams!$D$23="per user",W38*Teams!$D$24,Teams!$D$25*W36)</f>
        <v>128000</v>
      </c>
      <c r="X39" s="22">
        <f>IF(Teams!$D$23="per user",X38*Teams!$D$24,Teams!$D$25*X36)</f>
        <v>128000</v>
      </c>
      <c r="Y39" s="22">
        <f>IF(Teams!$D$23="per user",Y38*Teams!$D$24,Teams!$D$25*Y36)</f>
        <v>128000</v>
      </c>
      <c r="Z39" s="22">
        <f>IF(Teams!$D$23="per user",Z38*Teams!$D$24,Teams!$D$25*Z36)</f>
        <v>128000</v>
      </c>
      <c r="AA39" s="22">
        <f>IF(Teams!$D$23="per user",AA38*Teams!$D$24,Teams!$D$25*AA36)</f>
        <v>128000</v>
      </c>
      <c r="AB39" s="22">
        <f>IF(Teams!$D$23="per user",AB38*Teams!$D$24,Teams!$D$25*AB36)</f>
        <v>128000</v>
      </c>
      <c r="AC39" s="22">
        <f>IF(Teams!$D$23="per user",AC38*Teams!$D$24,Teams!$D$25*AC36)</f>
        <v>128000</v>
      </c>
      <c r="AD39" s="22">
        <f>IF(Teams!$D$23="per user",AD38*Teams!$D$24,Teams!$D$25*AD36)</f>
        <v>128000</v>
      </c>
      <c r="AE39" s="22">
        <f>IF(Teams!$D$23="per user",AE38*Teams!$D$24,Teams!$D$25*AE36)</f>
        <v>128000</v>
      </c>
      <c r="AF39" s="22">
        <f>IF(Teams!$D$23="per user",AF38*Teams!$D$24,Teams!$D$25*AF36)</f>
        <v>128000</v>
      </c>
      <c r="AG39" s="22">
        <f>IF(Teams!$D$23="per user",AG38*Teams!$D$24,Teams!$D$25*AG36)</f>
        <v>128000</v>
      </c>
      <c r="AH39" s="22">
        <f>IF(Teams!$D$23="per user",AH38*Teams!$D$24,Teams!$D$25*AH36)</f>
        <v>128000</v>
      </c>
      <c r="AI39" s="22">
        <f>IF(Teams!$D$23="per user",AI38*Teams!$D$24,Teams!$D$25*AI36)</f>
        <v>128000</v>
      </c>
      <c r="AJ39" s="22">
        <f>IF(Teams!$D$23="per user",AJ38*Teams!$D$24,Teams!$D$25*AJ36)</f>
        <v>128000</v>
      </c>
      <c r="AK39" s="22">
        <f>IF(Teams!$D$23="per user",AK38*Teams!$D$24,Teams!$D$25*AK36)</f>
        <v>128000</v>
      </c>
      <c r="AL39" s="22">
        <f>IF(Teams!$D$23="per user",AL38*Teams!$D$24,Teams!$D$25*AL36)</f>
        <v>128000</v>
      </c>
      <c r="AM39" s="22">
        <f>IF(Teams!$D$23="per user",AM38*Teams!$D$24,Teams!$D$25*AM36)</f>
        <v>128000</v>
      </c>
      <c r="AN39" s="22">
        <f>IF(Teams!$D$23="per user",AN38*Teams!$D$24,Teams!$D$25*AN36)</f>
        <v>128000</v>
      </c>
      <c r="AO39" s="22">
        <f>IF(Teams!$D$23="per user",AO38*Teams!$D$24,Teams!$D$25*AO36)</f>
        <v>128000</v>
      </c>
      <c r="AP39" s="22">
        <f>IF(Teams!$D$23="per user",AP38*Teams!$D$24,Teams!$D$25*AP36)</f>
        <v>128000</v>
      </c>
      <c r="AQ39" s="22">
        <f>IF(Teams!$D$23="per user",AQ38*Teams!$D$24,Teams!$D$25*AQ36)</f>
        <v>128000</v>
      </c>
      <c r="AR39" s="22">
        <f>IF(Teams!$D$23="per user",AR38*Teams!$D$24,Teams!$D$25*AR36)</f>
        <v>128000</v>
      </c>
      <c r="AS39" s="22">
        <f>IF(Teams!$D$23="per user",AS38*Teams!$D$24,Teams!$D$25*AS36)</f>
        <v>128000</v>
      </c>
      <c r="AT39" s="22">
        <f>IF(Teams!$D$23="per user",AT38*Teams!$D$24,Teams!$D$25*AT36)</f>
        <v>128000</v>
      </c>
      <c r="AU39" s="22">
        <f>IF(Teams!$D$23="per user",AU38*Teams!$D$24,Teams!$D$25*AU36)</f>
        <v>128000</v>
      </c>
      <c r="AV39" s="22">
        <f>IF(Teams!$D$23="per user",AV38*Teams!$D$24,Teams!$D$25*AV36)</f>
        <v>128000</v>
      </c>
      <c r="AW39" s="22">
        <f>IF(Teams!$D$23="per user",AW38*Teams!$D$24,Teams!$D$25*AW36)</f>
        <v>128000</v>
      </c>
      <c r="AX39" s="22">
        <f>IF(Teams!$D$23="per user",AX38*Teams!$D$24,Teams!$D$25*AX36)</f>
        <v>128000</v>
      </c>
      <c r="AY39" s="22">
        <f>IF(Teams!$D$23="per user",AY38*Teams!$D$24,Teams!$D$25*AY36)</f>
        <v>128000</v>
      </c>
      <c r="AZ39" s="22">
        <f>IF(Teams!$D$23="per user",AZ38*Teams!$D$24,Teams!$D$25*AZ36)</f>
        <v>128000</v>
      </c>
      <c r="BA39" s="22">
        <f>IF(Teams!$D$23="per user",BA38*Teams!$D$24,Teams!$D$25*BA36)</f>
        <v>128000</v>
      </c>
      <c r="BB39" s="22">
        <f>IF(Teams!$D$23="per user",BB38*Teams!$D$24,Teams!$D$25*BB36)</f>
        <v>128000</v>
      </c>
      <c r="BC39" s="22">
        <f>IF(Teams!$D$23="per user",BC38*Teams!$D$24,Teams!$D$25*BC36)</f>
        <v>128000</v>
      </c>
      <c r="BD39" s="22">
        <f>IF(Teams!$D$23="per user",BD38*Teams!$D$24,Teams!$D$25*BD36)</f>
        <v>128000</v>
      </c>
      <c r="BE39" s="22">
        <f>IF(Teams!$D$23="per user",BE38*Teams!$D$24,Teams!$D$25*BE36)</f>
        <v>128000</v>
      </c>
      <c r="BF39" s="22">
        <f>IF(Teams!$D$23="per user",BF38*Teams!$D$24,Teams!$D$25*BF36)</f>
        <v>128000</v>
      </c>
      <c r="BG39" s="22">
        <f>IF(Teams!$D$23="per user",BG38*Teams!$D$24,Teams!$D$25*BG36)</f>
        <v>128000</v>
      </c>
      <c r="BH39" s="22">
        <f>IF(Teams!$D$23="per user",BH38*Teams!$D$24,Teams!$D$25*BH36)</f>
        <v>128000</v>
      </c>
      <c r="BI39" s="22">
        <f>IF(Teams!$D$23="per user",BI38*Teams!$D$24,Teams!$D$25*BI36)</f>
        <v>128000</v>
      </c>
      <c r="BJ39" s="22">
        <f>IF(Teams!$D$23="per user",BJ38*Teams!$D$24,Teams!$D$25*BJ36)</f>
        <v>128000</v>
      </c>
      <c r="BK39" s="22">
        <f>IF(Teams!$D$23="per user",BK38*Teams!$D$24,Teams!$D$25*BK36)</f>
        <v>128000</v>
      </c>
      <c r="BL39" s="22">
        <f>IF(Teams!$D$23="per user",BL38*Teams!$D$24,Teams!$D$25*BL36)</f>
        <v>128000</v>
      </c>
    </row>
    <row r="40" spans="1:64" x14ac:dyDescent="0.3">
      <c r="A40" s="8" t="s">
        <v>665</v>
      </c>
      <c r="B40" s="18" t="s">
        <v>435</v>
      </c>
      <c r="C40" s="44">
        <f t="shared" ref="C40:C58" si="11">SUM(D40:BL40)</f>
        <v>288000</v>
      </c>
      <c r="E40" s="44">
        <f>E$5*Teams!$D$60*E37*Teams!$D$66</f>
        <v>8000</v>
      </c>
      <c r="F40" s="44">
        <f>F$5*Teams!$D$60*F37*Teams!$D$66</f>
        <v>8000</v>
      </c>
      <c r="G40" s="44">
        <f>G$5*Teams!$D$60*G37*Teams!$D$66</f>
        <v>8000</v>
      </c>
      <c r="H40" s="44">
        <f>H$5*Teams!$D$60*H37*Teams!$D$66</f>
        <v>8000</v>
      </c>
      <c r="I40" s="44">
        <f>I$5*Teams!$D$60*I37*Teams!$D$66</f>
        <v>8000</v>
      </c>
      <c r="J40" s="44">
        <f>J$5*Teams!$D$60*J37*Teams!$D$66</f>
        <v>8000</v>
      </c>
      <c r="K40" s="44">
        <f>K$5*Teams!$D$60*K37*Teams!$D$66</f>
        <v>8000</v>
      </c>
      <c r="L40" s="44">
        <f>L$5*Teams!$D$60*L37*Teams!$D$66</f>
        <v>8000</v>
      </c>
      <c r="M40" s="44">
        <f>M$5*Teams!$D$60*M37*Teams!$D$66</f>
        <v>8000</v>
      </c>
      <c r="N40" s="44">
        <f>N$5*Teams!$D$60*N37*Teams!$D$66</f>
        <v>8000</v>
      </c>
      <c r="O40" s="44">
        <f>O$5*Teams!$D$60*O37*Teams!$D$66</f>
        <v>8000</v>
      </c>
      <c r="P40" s="44">
        <f>P$5*Teams!$D$60*P37*Teams!$D$66</f>
        <v>8000</v>
      </c>
      <c r="Q40" s="44">
        <f>Q$5*Teams!$D$60*Q37*Teams!$D$66</f>
        <v>8000</v>
      </c>
      <c r="R40" s="44">
        <f>R$5*Teams!$D$60*R37*Teams!$D$66</f>
        <v>8000</v>
      </c>
      <c r="S40" s="44">
        <f>S$5*Teams!$D$60*S37*Teams!$D$66</f>
        <v>8000</v>
      </c>
      <c r="T40" s="44">
        <f>T$5*Teams!$D$60*T37*Teams!$D$66</f>
        <v>8000</v>
      </c>
      <c r="U40" s="44">
        <f>U$5*Teams!$D$60*U37*Teams!$D$66</f>
        <v>8000</v>
      </c>
      <c r="V40" s="44">
        <f>V$5*Teams!$D$60*V37*Teams!$D$66</f>
        <v>8000</v>
      </c>
      <c r="W40" s="44">
        <f>W$5*Teams!$D$60*W37*Teams!$D$66</f>
        <v>8000</v>
      </c>
      <c r="X40" s="44">
        <f>X$5*Teams!$D$60*X37*Teams!$D$66</f>
        <v>8000</v>
      </c>
      <c r="Y40" s="44">
        <f>Y$5*Teams!$D$60*Y37*Teams!$D$66</f>
        <v>8000</v>
      </c>
      <c r="Z40" s="44">
        <f>Z$5*Teams!$D$60*Z37*Teams!$D$66</f>
        <v>8000</v>
      </c>
      <c r="AA40" s="44">
        <f>AA$5*Teams!$D$60*AA37*Teams!$D$66</f>
        <v>8000</v>
      </c>
      <c r="AB40" s="44">
        <f>AB$5*Teams!$D$60*AB37*Teams!$D$66</f>
        <v>8000</v>
      </c>
      <c r="AC40" s="44">
        <f>AC$5*Teams!$D$60*AC37*Teams!$D$66</f>
        <v>8000</v>
      </c>
      <c r="AD40" s="44">
        <f>AD$5*Teams!$D$60*AD37*Teams!$D$66</f>
        <v>8000</v>
      </c>
      <c r="AE40" s="44">
        <f>AE$5*Teams!$D$60*AE37*Teams!$D$66</f>
        <v>8000</v>
      </c>
      <c r="AF40" s="44">
        <f>AF$5*Teams!$D$60*AF37*Teams!$D$66</f>
        <v>8000</v>
      </c>
      <c r="AG40" s="44">
        <f>AG$5*Teams!$D$60*AG37*Teams!$D$66</f>
        <v>8000</v>
      </c>
      <c r="AH40" s="44">
        <f>AH$5*Teams!$D$60*AH37*Teams!$D$66</f>
        <v>8000</v>
      </c>
      <c r="AI40" s="44">
        <f>AI$5*Teams!$D$60*AI37*Teams!$D$66</f>
        <v>8000</v>
      </c>
      <c r="AJ40" s="44">
        <f>AJ$5*Teams!$D$60*AJ37*Teams!$D$66</f>
        <v>8000</v>
      </c>
      <c r="AK40" s="44">
        <f>AK$5*Teams!$D$60*AK37*Teams!$D$66</f>
        <v>8000</v>
      </c>
      <c r="AL40" s="44">
        <f>AL$5*Teams!$D$60*AL37*Teams!$D$66</f>
        <v>8000</v>
      </c>
      <c r="AM40" s="44">
        <f>AM$5*Teams!$D$60*AM37*Teams!$D$66</f>
        <v>8000</v>
      </c>
      <c r="AN40" s="44">
        <f>AN$5*Teams!$D$60*AN37*Teams!$D$66</f>
        <v>8000</v>
      </c>
      <c r="AO40" s="44">
        <f>AO$5*Teams!$D$60*AO37*Teams!$D$66</f>
        <v>0</v>
      </c>
      <c r="AP40" s="44">
        <f>AP$5*Teams!$D$60*AP37*Teams!$D$66</f>
        <v>0</v>
      </c>
      <c r="AQ40" s="44">
        <f>AQ$5*Teams!$D$60*AQ37*Teams!$D$66</f>
        <v>0</v>
      </c>
      <c r="AR40" s="44">
        <f>AR$5*Teams!$D$60*AR37*Teams!$D$66</f>
        <v>0</v>
      </c>
      <c r="AS40" s="44">
        <f>AS$5*Teams!$D$60*AS37*Teams!$D$66</f>
        <v>0</v>
      </c>
      <c r="AT40" s="44">
        <f>AT$5*Teams!$D$60*AT37*Teams!$D$66</f>
        <v>0</v>
      </c>
      <c r="AU40" s="44">
        <f>AU$5*Teams!$D$60*AU37*Teams!$D$66</f>
        <v>0</v>
      </c>
      <c r="AV40" s="44">
        <f>AV$5*Teams!$D$60*AV37*Teams!$D$66</f>
        <v>0</v>
      </c>
      <c r="AW40" s="44">
        <f>AW$5*Teams!$D$60*AW37*Teams!$D$66</f>
        <v>0</v>
      </c>
      <c r="AX40" s="44">
        <f>AX$5*Teams!$D$60*AX37*Teams!$D$66</f>
        <v>0</v>
      </c>
      <c r="AY40" s="44">
        <f>AY$5*Teams!$D$60*AY37*Teams!$D$66</f>
        <v>0</v>
      </c>
      <c r="AZ40" s="44">
        <f>AZ$5*Teams!$D$60*AZ37*Teams!$D$66</f>
        <v>0</v>
      </c>
      <c r="BA40" s="44">
        <f>BA$5*Teams!$D$60*BA37*Teams!$D$66</f>
        <v>0</v>
      </c>
      <c r="BB40" s="44">
        <f>BB$5*Teams!$D$60*BB37*Teams!$D$66</f>
        <v>0</v>
      </c>
      <c r="BC40" s="44">
        <f>BC$5*Teams!$D$60*BC37*Teams!$D$66</f>
        <v>0</v>
      </c>
      <c r="BD40" s="44">
        <f>BD$5*Teams!$D$60*BD37*Teams!$D$66</f>
        <v>0</v>
      </c>
      <c r="BE40" s="44">
        <f>BE$5*Teams!$D$60*BE37*Teams!$D$66</f>
        <v>0</v>
      </c>
      <c r="BF40" s="44">
        <f>BF$5*Teams!$D$60*BF37*Teams!$D$66</f>
        <v>0</v>
      </c>
      <c r="BG40" s="44">
        <f>BG$5*Teams!$D$60*BG37*Teams!$D$66</f>
        <v>0</v>
      </c>
      <c r="BH40" s="44">
        <f>BH$5*Teams!$D$60*BH37*Teams!$D$66</f>
        <v>0</v>
      </c>
      <c r="BI40" s="44">
        <f>BI$5*Teams!$D$60*BI37*Teams!$D$66</f>
        <v>0</v>
      </c>
      <c r="BJ40" s="44">
        <f>BJ$5*Teams!$D$60*BJ37*Teams!$D$66</f>
        <v>0</v>
      </c>
      <c r="BK40" s="44">
        <f>BK$5*Teams!$D$60*BK37*Teams!$D$66</f>
        <v>0</v>
      </c>
      <c r="BL40" s="44">
        <f>BL$5*Teams!$D$60*BL37*Teams!$D$66</f>
        <v>0</v>
      </c>
    </row>
    <row r="41" spans="1:64" x14ac:dyDescent="0.3">
      <c r="A41" s="8" t="s">
        <v>666</v>
      </c>
      <c r="B41" s="18" t="s">
        <v>435</v>
      </c>
      <c r="C41" s="44">
        <f t="shared" si="11"/>
        <v>4929050.8800000008</v>
      </c>
      <c r="E41" s="44">
        <f>E$5*IF(Teams!$D$61=1,E38*((1-Teams!$D$13)*MAX(0,Teams!$D$72*$C$35-Teams!$D$12)+Teams!$D$13*MAX(0,Teams!$D$73*$C$35-Teams!$D$12)),IF(Teams!$D$62=1,E39*$C$35,0))</f>
        <v>35717.759999999995</v>
      </c>
      <c r="F41" s="44">
        <f>F$5*IF(Teams!$D$61=1,F38*((1-Teams!$D$13)*MAX(0,Teams!$D$72*$C$35-Teams!$D$12)+Teams!$D$13*MAX(0,Teams!$D$73*$C$35-Teams!$D$12)),IF(Teams!$D$62=1,F39*$C$35,0))</f>
        <v>71435.51999999999</v>
      </c>
      <c r="G41" s="44">
        <f>G$5*IF(Teams!$D$61=1,G38*((1-Teams!$D$13)*MAX(0,Teams!$D$72*$C$35-Teams!$D$12)+Teams!$D$13*MAX(0,Teams!$D$73*$C$35-Teams!$D$12)),IF(Teams!$D$62=1,G39*$C$35,0))</f>
        <v>107153.28</v>
      </c>
      <c r="H41" s="44">
        <f>H$5*IF(Teams!$D$61=1,H38*((1-Teams!$D$13)*MAX(0,Teams!$D$72*$C$35-Teams!$D$12)+Teams!$D$13*MAX(0,Teams!$D$73*$C$35-Teams!$D$12)),IF(Teams!$D$62=1,H39*$C$35,0))</f>
        <v>142871.03999999998</v>
      </c>
      <c r="I41" s="44">
        <f>I$5*IF(Teams!$D$61=1,I38*((1-Teams!$D$13)*MAX(0,Teams!$D$72*$C$35-Teams!$D$12)+Teams!$D$13*MAX(0,Teams!$D$73*$C$35-Teams!$D$12)),IF(Teams!$D$62=1,I39*$C$35,0))</f>
        <v>142871.03999999998</v>
      </c>
      <c r="J41" s="44">
        <f>J$5*IF(Teams!$D$61=1,J38*((1-Teams!$D$13)*MAX(0,Teams!$D$72*$C$35-Teams!$D$12)+Teams!$D$13*MAX(0,Teams!$D$73*$C$35-Teams!$D$12)),IF(Teams!$D$62=1,J39*$C$35,0))</f>
        <v>142871.03999999998</v>
      </c>
      <c r="K41" s="44">
        <f>K$5*IF(Teams!$D$61=1,K38*((1-Teams!$D$13)*MAX(0,Teams!$D$72*$C$35-Teams!$D$12)+Teams!$D$13*MAX(0,Teams!$D$73*$C$35-Teams!$D$12)),IF(Teams!$D$62=1,K39*$C$35,0))</f>
        <v>142871.03999999998</v>
      </c>
      <c r="L41" s="44">
        <f>L$5*IF(Teams!$D$61=1,L38*((1-Teams!$D$13)*MAX(0,Teams!$D$72*$C$35-Teams!$D$12)+Teams!$D$13*MAX(0,Teams!$D$73*$C$35-Teams!$D$12)),IF(Teams!$D$62=1,L39*$C$35,0))</f>
        <v>142871.03999999998</v>
      </c>
      <c r="M41" s="44">
        <f>M$5*IF(Teams!$D$61=1,M38*((1-Teams!$D$13)*MAX(0,Teams!$D$72*$C$35-Teams!$D$12)+Teams!$D$13*MAX(0,Teams!$D$73*$C$35-Teams!$D$12)),IF(Teams!$D$62=1,M39*$C$35,0))</f>
        <v>142871.03999999998</v>
      </c>
      <c r="N41" s="44">
        <f>N$5*IF(Teams!$D$61=1,N38*((1-Teams!$D$13)*MAX(0,Teams!$D$72*$C$35-Teams!$D$12)+Teams!$D$13*MAX(0,Teams!$D$73*$C$35-Teams!$D$12)),IF(Teams!$D$62=1,N39*$C$35,0))</f>
        <v>142871.03999999998</v>
      </c>
      <c r="O41" s="44">
        <f>O$5*IF(Teams!$D$61=1,O38*((1-Teams!$D$13)*MAX(0,Teams!$D$72*$C$35-Teams!$D$12)+Teams!$D$13*MAX(0,Teams!$D$73*$C$35-Teams!$D$12)),IF(Teams!$D$62=1,O39*$C$35,0))</f>
        <v>142871.03999999998</v>
      </c>
      <c r="P41" s="44">
        <f>P$5*IF(Teams!$D$61=1,P38*((1-Teams!$D$13)*MAX(0,Teams!$D$72*$C$35-Teams!$D$12)+Teams!$D$13*MAX(0,Teams!$D$73*$C$35-Teams!$D$12)),IF(Teams!$D$62=1,P39*$C$35,0))</f>
        <v>142871.03999999998</v>
      </c>
      <c r="Q41" s="44">
        <f>Q$5*IF(Teams!$D$61=1,Q38*((1-Teams!$D$13)*MAX(0,Teams!$D$72*$C$35-Teams!$D$12)+Teams!$D$13*MAX(0,Teams!$D$73*$C$35-Teams!$D$12)),IF(Teams!$D$62=1,Q39*$C$35,0))</f>
        <v>142871.03999999998</v>
      </c>
      <c r="R41" s="44">
        <f>R$5*IF(Teams!$D$61=1,R38*((1-Teams!$D$13)*MAX(0,Teams!$D$72*$C$35-Teams!$D$12)+Teams!$D$13*MAX(0,Teams!$D$73*$C$35-Teams!$D$12)),IF(Teams!$D$62=1,R39*$C$35,0))</f>
        <v>142871.03999999998</v>
      </c>
      <c r="S41" s="44">
        <f>S$5*IF(Teams!$D$61=1,S38*((1-Teams!$D$13)*MAX(0,Teams!$D$72*$C$35-Teams!$D$12)+Teams!$D$13*MAX(0,Teams!$D$73*$C$35-Teams!$D$12)),IF(Teams!$D$62=1,S39*$C$35,0))</f>
        <v>142871.03999999998</v>
      </c>
      <c r="T41" s="44">
        <f>T$5*IF(Teams!$D$61=1,T38*((1-Teams!$D$13)*MAX(0,Teams!$D$72*$C$35-Teams!$D$12)+Teams!$D$13*MAX(0,Teams!$D$73*$C$35-Teams!$D$12)),IF(Teams!$D$62=1,T39*$C$35,0))</f>
        <v>142871.03999999998</v>
      </c>
      <c r="U41" s="44">
        <f>U$5*IF(Teams!$D$61=1,U38*((1-Teams!$D$13)*MAX(0,Teams!$D$72*$C$35-Teams!$D$12)+Teams!$D$13*MAX(0,Teams!$D$73*$C$35-Teams!$D$12)),IF(Teams!$D$62=1,U39*$C$35,0))</f>
        <v>142871.03999999998</v>
      </c>
      <c r="V41" s="44">
        <f>V$5*IF(Teams!$D$61=1,V38*((1-Teams!$D$13)*MAX(0,Teams!$D$72*$C$35-Teams!$D$12)+Teams!$D$13*MAX(0,Teams!$D$73*$C$35-Teams!$D$12)),IF(Teams!$D$62=1,V39*$C$35,0))</f>
        <v>142871.03999999998</v>
      </c>
      <c r="W41" s="44">
        <f>W$5*IF(Teams!$D$61=1,W38*((1-Teams!$D$13)*MAX(0,Teams!$D$72*$C$35-Teams!$D$12)+Teams!$D$13*MAX(0,Teams!$D$73*$C$35-Teams!$D$12)),IF(Teams!$D$62=1,W39*$C$35,0))</f>
        <v>142871.03999999998</v>
      </c>
      <c r="X41" s="44">
        <f>X$5*IF(Teams!$D$61=1,X38*((1-Teams!$D$13)*MAX(0,Teams!$D$72*$C$35-Teams!$D$12)+Teams!$D$13*MAX(0,Teams!$D$73*$C$35-Teams!$D$12)),IF(Teams!$D$62=1,X39*$C$35,0))</f>
        <v>142871.03999999998</v>
      </c>
      <c r="Y41" s="44">
        <f>Y$5*IF(Teams!$D$61=1,Y38*((1-Teams!$D$13)*MAX(0,Teams!$D$72*$C$35-Teams!$D$12)+Teams!$D$13*MAX(0,Teams!$D$73*$C$35-Teams!$D$12)),IF(Teams!$D$62=1,Y39*$C$35,0))</f>
        <v>142871.03999999998</v>
      </c>
      <c r="Z41" s="44">
        <f>Z$5*IF(Teams!$D$61=1,Z38*((1-Teams!$D$13)*MAX(0,Teams!$D$72*$C$35-Teams!$D$12)+Teams!$D$13*MAX(0,Teams!$D$73*$C$35-Teams!$D$12)),IF(Teams!$D$62=1,Z39*$C$35,0))</f>
        <v>142871.03999999998</v>
      </c>
      <c r="AA41" s="44">
        <f>AA$5*IF(Teams!$D$61=1,AA38*((1-Teams!$D$13)*MAX(0,Teams!$D$72*$C$35-Teams!$D$12)+Teams!$D$13*MAX(0,Teams!$D$73*$C$35-Teams!$D$12)),IF(Teams!$D$62=1,AA39*$C$35,0))</f>
        <v>142871.03999999998</v>
      </c>
      <c r="AB41" s="44">
        <f>AB$5*IF(Teams!$D$61=1,AB38*((1-Teams!$D$13)*MAX(0,Teams!$D$72*$C$35-Teams!$D$12)+Teams!$D$13*MAX(0,Teams!$D$73*$C$35-Teams!$D$12)),IF(Teams!$D$62=1,AB39*$C$35,0))</f>
        <v>142871.03999999998</v>
      </c>
      <c r="AC41" s="44">
        <f>AC$5*IF(Teams!$D$61=1,AC38*((1-Teams!$D$13)*MAX(0,Teams!$D$72*$C$35-Teams!$D$12)+Teams!$D$13*MAX(0,Teams!$D$73*$C$35-Teams!$D$12)),IF(Teams!$D$62=1,AC39*$C$35,0))</f>
        <v>142871.03999999998</v>
      </c>
      <c r="AD41" s="44">
        <f>AD$5*IF(Teams!$D$61=1,AD38*((1-Teams!$D$13)*MAX(0,Teams!$D$72*$C$35-Teams!$D$12)+Teams!$D$13*MAX(0,Teams!$D$73*$C$35-Teams!$D$12)),IF(Teams!$D$62=1,AD39*$C$35,0))</f>
        <v>142871.03999999998</v>
      </c>
      <c r="AE41" s="44">
        <f>AE$5*IF(Teams!$D$61=1,AE38*((1-Teams!$D$13)*MAX(0,Teams!$D$72*$C$35-Teams!$D$12)+Teams!$D$13*MAX(0,Teams!$D$73*$C$35-Teams!$D$12)),IF(Teams!$D$62=1,AE39*$C$35,0))</f>
        <v>142871.03999999998</v>
      </c>
      <c r="AF41" s="44">
        <f>AF$5*IF(Teams!$D$61=1,AF38*((1-Teams!$D$13)*MAX(0,Teams!$D$72*$C$35-Teams!$D$12)+Teams!$D$13*MAX(0,Teams!$D$73*$C$35-Teams!$D$12)),IF(Teams!$D$62=1,AF39*$C$35,0))</f>
        <v>142871.03999999998</v>
      </c>
      <c r="AG41" s="44">
        <f>AG$5*IF(Teams!$D$61=1,AG38*((1-Teams!$D$13)*MAX(0,Teams!$D$72*$C$35-Teams!$D$12)+Teams!$D$13*MAX(0,Teams!$D$73*$C$35-Teams!$D$12)),IF(Teams!$D$62=1,AG39*$C$35,0))</f>
        <v>142871.03999999998</v>
      </c>
      <c r="AH41" s="44">
        <f>AH$5*IF(Teams!$D$61=1,AH38*((1-Teams!$D$13)*MAX(0,Teams!$D$72*$C$35-Teams!$D$12)+Teams!$D$13*MAX(0,Teams!$D$73*$C$35-Teams!$D$12)),IF(Teams!$D$62=1,AH39*$C$35,0))</f>
        <v>142871.03999999998</v>
      </c>
      <c r="AI41" s="44">
        <f>AI$5*IF(Teams!$D$61=1,AI38*((1-Teams!$D$13)*MAX(0,Teams!$D$72*$C$35-Teams!$D$12)+Teams!$D$13*MAX(0,Teams!$D$73*$C$35-Teams!$D$12)),IF(Teams!$D$62=1,AI39*$C$35,0))</f>
        <v>142871.03999999998</v>
      </c>
      <c r="AJ41" s="44">
        <f>AJ$5*IF(Teams!$D$61=1,AJ38*((1-Teams!$D$13)*MAX(0,Teams!$D$72*$C$35-Teams!$D$12)+Teams!$D$13*MAX(0,Teams!$D$73*$C$35-Teams!$D$12)),IF(Teams!$D$62=1,AJ39*$C$35,0))</f>
        <v>142871.03999999998</v>
      </c>
      <c r="AK41" s="44">
        <f>AK$5*IF(Teams!$D$61=1,AK38*((1-Teams!$D$13)*MAX(0,Teams!$D$72*$C$35-Teams!$D$12)+Teams!$D$13*MAX(0,Teams!$D$73*$C$35-Teams!$D$12)),IF(Teams!$D$62=1,AK39*$C$35,0))</f>
        <v>142871.03999999998</v>
      </c>
      <c r="AL41" s="44">
        <f>AL$5*IF(Teams!$D$61=1,AL38*((1-Teams!$D$13)*MAX(0,Teams!$D$72*$C$35-Teams!$D$12)+Teams!$D$13*MAX(0,Teams!$D$73*$C$35-Teams!$D$12)),IF(Teams!$D$62=1,AL39*$C$35,0))</f>
        <v>142871.03999999998</v>
      </c>
      <c r="AM41" s="44">
        <f>AM$5*IF(Teams!$D$61=1,AM38*((1-Teams!$D$13)*MAX(0,Teams!$D$72*$C$35-Teams!$D$12)+Teams!$D$13*MAX(0,Teams!$D$73*$C$35-Teams!$D$12)),IF(Teams!$D$62=1,AM39*$C$35,0))</f>
        <v>142871.03999999998</v>
      </c>
      <c r="AN41" s="44">
        <f>AN$5*IF(Teams!$D$61=1,AN38*((1-Teams!$D$13)*MAX(0,Teams!$D$72*$C$35-Teams!$D$12)+Teams!$D$13*MAX(0,Teams!$D$73*$C$35-Teams!$D$12)),IF(Teams!$D$62=1,AN39*$C$35,0))</f>
        <v>142871.03999999998</v>
      </c>
      <c r="AO41" s="44">
        <f>AO$5*IF(Teams!$D$61=1,AO38*((1-Teams!$D$13)*MAX(0,Teams!$D$72*$C$35-Teams!$D$12)+Teams!$D$13*MAX(0,Teams!$D$73*$C$35-Teams!$D$12)),IF(Teams!$D$62=1,AO39*$C$35,0))</f>
        <v>0</v>
      </c>
      <c r="AP41" s="44">
        <f>AP$5*IF(Teams!$D$61=1,AP38*((1-Teams!$D$13)*MAX(0,Teams!$D$72*$C$35-Teams!$D$12)+Teams!$D$13*MAX(0,Teams!$D$73*$C$35-Teams!$D$12)),IF(Teams!$D$62=1,AP39*$C$35,0))</f>
        <v>0</v>
      </c>
      <c r="AQ41" s="44">
        <f>AQ$5*IF(Teams!$D$61=1,AQ38*((1-Teams!$D$13)*MAX(0,Teams!$D$72*$C$35-Teams!$D$12)+Teams!$D$13*MAX(0,Teams!$D$73*$C$35-Teams!$D$12)),IF(Teams!$D$62=1,AQ39*$C$35,0))</f>
        <v>0</v>
      </c>
      <c r="AR41" s="44">
        <f>AR$5*IF(Teams!$D$61=1,AR38*((1-Teams!$D$13)*MAX(0,Teams!$D$72*$C$35-Teams!$D$12)+Teams!$D$13*MAX(0,Teams!$D$73*$C$35-Teams!$D$12)),IF(Teams!$D$62=1,AR39*$C$35,0))</f>
        <v>0</v>
      </c>
      <c r="AS41" s="44">
        <f>AS$5*IF(Teams!$D$61=1,AS38*((1-Teams!$D$13)*MAX(0,Teams!$D$72*$C$35-Teams!$D$12)+Teams!$D$13*MAX(0,Teams!$D$73*$C$35-Teams!$D$12)),IF(Teams!$D$62=1,AS39*$C$35,0))</f>
        <v>0</v>
      </c>
      <c r="AT41" s="44">
        <f>AT$5*IF(Teams!$D$61=1,AT38*((1-Teams!$D$13)*MAX(0,Teams!$D$72*$C$35-Teams!$D$12)+Teams!$D$13*MAX(0,Teams!$D$73*$C$35-Teams!$D$12)),IF(Teams!$D$62=1,AT39*$C$35,0))</f>
        <v>0</v>
      </c>
      <c r="AU41" s="44">
        <f>AU$5*IF(Teams!$D$61=1,AU38*((1-Teams!$D$13)*MAX(0,Teams!$D$72*$C$35-Teams!$D$12)+Teams!$D$13*MAX(0,Teams!$D$73*$C$35-Teams!$D$12)),IF(Teams!$D$62=1,AU39*$C$35,0))</f>
        <v>0</v>
      </c>
      <c r="AV41" s="44">
        <f>AV$5*IF(Teams!$D$61=1,AV38*((1-Teams!$D$13)*MAX(0,Teams!$D$72*$C$35-Teams!$D$12)+Teams!$D$13*MAX(0,Teams!$D$73*$C$35-Teams!$D$12)),IF(Teams!$D$62=1,AV39*$C$35,0))</f>
        <v>0</v>
      </c>
      <c r="AW41" s="44">
        <f>AW$5*IF(Teams!$D$61=1,AW38*((1-Teams!$D$13)*MAX(0,Teams!$D$72*$C$35-Teams!$D$12)+Teams!$D$13*MAX(0,Teams!$D$73*$C$35-Teams!$D$12)),IF(Teams!$D$62=1,AW39*$C$35,0))</f>
        <v>0</v>
      </c>
      <c r="AX41" s="44">
        <f>AX$5*IF(Teams!$D$61=1,AX38*((1-Teams!$D$13)*MAX(0,Teams!$D$72*$C$35-Teams!$D$12)+Teams!$D$13*MAX(0,Teams!$D$73*$C$35-Teams!$D$12)),IF(Teams!$D$62=1,AX39*$C$35,0))</f>
        <v>0</v>
      </c>
      <c r="AY41" s="44">
        <f>AY$5*IF(Teams!$D$61=1,AY38*((1-Teams!$D$13)*MAX(0,Teams!$D$72*$C$35-Teams!$D$12)+Teams!$D$13*MAX(0,Teams!$D$73*$C$35-Teams!$D$12)),IF(Teams!$D$62=1,AY39*$C$35,0))</f>
        <v>0</v>
      </c>
      <c r="AZ41" s="44">
        <f>AZ$5*IF(Teams!$D$61=1,AZ38*((1-Teams!$D$13)*MAX(0,Teams!$D$72*$C$35-Teams!$D$12)+Teams!$D$13*MAX(0,Teams!$D$73*$C$35-Teams!$D$12)),IF(Teams!$D$62=1,AZ39*$C$35,0))</f>
        <v>0</v>
      </c>
      <c r="BA41" s="44">
        <f>BA$5*IF(Teams!$D$61=1,BA38*((1-Teams!$D$13)*MAX(0,Teams!$D$72*$C$35-Teams!$D$12)+Teams!$D$13*MAX(0,Teams!$D$73*$C$35-Teams!$D$12)),IF(Teams!$D$62=1,BA39*$C$35,0))</f>
        <v>0</v>
      </c>
      <c r="BB41" s="44">
        <f>BB$5*IF(Teams!$D$61=1,BB38*((1-Teams!$D$13)*MAX(0,Teams!$D$72*$C$35-Teams!$D$12)+Teams!$D$13*MAX(0,Teams!$D$73*$C$35-Teams!$D$12)),IF(Teams!$D$62=1,BB39*$C$35,0))</f>
        <v>0</v>
      </c>
      <c r="BC41" s="44">
        <f>BC$5*IF(Teams!$D$61=1,BC38*((1-Teams!$D$13)*MAX(0,Teams!$D$72*$C$35-Teams!$D$12)+Teams!$D$13*MAX(0,Teams!$D$73*$C$35-Teams!$D$12)),IF(Teams!$D$62=1,BC39*$C$35,0))</f>
        <v>0</v>
      </c>
      <c r="BD41" s="44">
        <f>BD$5*IF(Teams!$D$61=1,BD38*((1-Teams!$D$13)*MAX(0,Teams!$D$72*$C$35-Teams!$D$12)+Teams!$D$13*MAX(0,Teams!$D$73*$C$35-Teams!$D$12)),IF(Teams!$D$62=1,BD39*$C$35,0))</f>
        <v>0</v>
      </c>
      <c r="BE41" s="44">
        <f>BE$5*IF(Teams!$D$61=1,BE38*((1-Teams!$D$13)*MAX(0,Teams!$D$72*$C$35-Teams!$D$12)+Teams!$D$13*MAX(0,Teams!$D$73*$C$35-Teams!$D$12)),IF(Teams!$D$62=1,BE39*$C$35,0))</f>
        <v>0</v>
      </c>
      <c r="BF41" s="44">
        <f>BF$5*IF(Teams!$D$61=1,BF38*((1-Teams!$D$13)*MAX(0,Teams!$D$72*$C$35-Teams!$D$12)+Teams!$D$13*MAX(0,Teams!$D$73*$C$35-Teams!$D$12)),IF(Teams!$D$62=1,BF39*$C$35,0))</f>
        <v>0</v>
      </c>
      <c r="BG41" s="44">
        <f>BG$5*IF(Teams!$D$61=1,BG38*((1-Teams!$D$13)*MAX(0,Teams!$D$72*$C$35-Teams!$D$12)+Teams!$D$13*MAX(0,Teams!$D$73*$C$35-Teams!$D$12)),IF(Teams!$D$62=1,BG39*$C$35,0))</f>
        <v>0</v>
      </c>
      <c r="BH41" s="44">
        <f>BH$5*IF(Teams!$D$61=1,BH38*((1-Teams!$D$13)*MAX(0,Teams!$D$72*$C$35-Teams!$D$12)+Teams!$D$13*MAX(0,Teams!$D$73*$C$35-Teams!$D$12)),IF(Teams!$D$62=1,BH39*$C$35,0))</f>
        <v>0</v>
      </c>
      <c r="BI41" s="44">
        <f>BI$5*IF(Teams!$D$61=1,BI38*((1-Teams!$D$13)*MAX(0,Teams!$D$72*$C$35-Teams!$D$12)+Teams!$D$13*MAX(0,Teams!$D$73*$C$35-Teams!$D$12)),IF(Teams!$D$62=1,BI39*$C$35,0))</f>
        <v>0</v>
      </c>
      <c r="BJ41" s="44">
        <f>BJ$5*IF(Teams!$D$61=1,BJ38*((1-Teams!$D$13)*MAX(0,Teams!$D$72*$C$35-Teams!$D$12)+Teams!$D$13*MAX(0,Teams!$D$73*$C$35-Teams!$D$12)),IF(Teams!$D$62=1,BJ39*$C$35,0))</f>
        <v>0</v>
      </c>
      <c r="BK41" s="44">
        <f>BK$5*IF(Teams!$D$61=1,BK38*((1-Teams!$D$13)*MAX(0,Teams!$D$72*$C$35-Teams!$D$12)+Teams!$D$13*MAX(0,Teams!$D$73*$C$35-Teams!$D$12)),IF(Teams!$D$62=1,BK39*$C$35,0))</f>
        <v>0</v>
      </c>
      <c r="BL41" s="44">
        <f>BL$5*IF(Teams!$D$61=1,BL38*((1-Teams!$D$13)*MAX(0,Teams!$D$72*$C$35-Teams!$D$12)+Teams!$D$13*MAX(0,Teams!$D$73*$C$35-Teams!$D$12)),IF(Teams!$D$62=1,BL39*$C$35,0))</f>
        <v>0</v>
      </c>
    </row>
    <row r="42" spans="1:64" x14ac:dyDescent="0.3">
      <c r="A42" s="8" t="s">
        <v>667</v>
      </c>
      <c r="B42" s="18" t="s">
        <v>435</v>
      </c>
      <c r="C42" s="44">
        <f t="shared" si="11"/>
        <v>0</v>
      </c>
      <c r="E42" s="44">
        <f>E$5*Teams!$D$63*E39*Teams!$D$67</f>
        <v>0</v>
      </c>
      <c r="F42" s="44">
        <f>F$5*Teams!$D$63*F39*Teams!$D$67</f>
        <v>0</v>
      </c>
      <c r="G42" s="44">
        <f>G$5*Teams!$D$63*G39*Teams!$D$67</f>
        <v>0</v>
      </c>
      <c r="H42" s="44">
        <f>H$5*Teams!$D$63*H39*Teams!$D$67</f>
        <v>0</v>
      </c>
      <c r="I42" s="44">
        <f>I$5*Teams!$D$63*I39*Teams!$D$67</f>
        <v>0</v>
      </c>
      <c r="J42" s="44">
        <f>J$5*Teams!$D$63*J39*Teams!$D$67</f>
        <v>0</v>
      </c>
      <c r="K42" s="44">
        <f>K$5*Teams!$D$63*K39*Teams!$D$67</f>
        <v>0</v>
      </c>
      <c r="L42" s="44">
        <f>L$5*Teams!$D$63*L39*Teams!$D$67</f>
        <v>0</v>
      </c>
      <c r="M42" s="44">
        <f>M$5*Teams!$D$63*M39*Teams!$D$67</f>
        <v>0</v>
      </c>
      <c r="N42" s="44">
        <f>N$5*Teams!$D$63*N39*Teams!$D$67</f>
        <v>0</v>
      </c>
      <c r="O42" s="44">
        <f>O$5*Teams!$D$63*O39*Teams!$D$67</f>
        <v>0</v>
      </c>
      <c r="P42" s="44">
        <f>P$5*Teams!$D$63*P39*Teams!$D$67</f>
        <v>0</v>
      </c>
      <c r="Q42" s="44">
        <f>Q$5*Teams!$D$63*Q39*Teams!$D$67</f>
        <v>0</v>
      </c>
      <c r="R42" s="44">
        <f>R$5*Teams!$D$63*R39*Teams!$D$67</f>
        <v>0</v>
      </c>
      <c r="S42" s="44">
        <f>S$5*Teams!$D$63*S39*Teams!$D$67</f>
        <v>0</v>
      </c>
      <c r="T42" s="44">
        <f>T$5*Teams!$D$63*T39*Teams!$D$67</f>
        <v>0</v>
      </c>
      <c r="U42" s="44">
        <f>U$5*Teams!$D$63*U39*Teams!$D$67</f>
        <v>0</v>
      </c>
      <c r="V42" s="44">
        <f>V$5*Teams!$D$63*V39*Teams!$D$67</f>
        <v>0</v>
      </c>
      <c r="W42" s="44">
        <f>W$5*Teams!$D$63*W39*Teams!$D$67</f>
        <v>0</v>
      </c>
      <c r="X42" s="44">
        <f>X$5*Teams!$D$63*X39*Teams!$D$67</f>
        <v>0</v>
      </c>
      <c r="Y42" s="44">
        <f>Y$5*Teams!$D$63*Y39*Teams!$D$67</f>
        <v>0</v>
      </c>
      <c r="Z42" s="44">
        <f>Z$5*Teams!$D$63*Z39*Teams!$D$67</f>
        <v>0</v>
      </c>
      <c r="AA42" s="44">
        <f>AA$5*Teams!$D$63*AA39*Teams!$D$67</f>
        <v>0</v>
      </c>
      <c r="AB42" s="44">
        <f>AB$5*Teams!$D$63*AB39*Teams!$D$67</f>
        <v>0</v>
      </c>
      <c r="AC42" s="44">
        <f>AC$5*Teams!$D$63*AC39*Teams!$D$67</f>
        <v>0</v>
      </c>
      <c r="AD42" s="44">
        <f>AD$5*Teams!$D$63*AD39*Teams!$D$67</f>
        <v>0</v>
      </c>
      <c r="AE42" s="44">
        <f>AE$5*Teams!$D$63*AE39*Teams!$D$67</f>
        <v>0</v>
      </c>
      <c r="AF42" s="44">
        <f>AF$5*Teams!$D$63*AF39*Teams!$D$67</f>
        <v>0</v>
      </c>
      <c r="AG42" s="44">
        <f>AG$5*Teams!$D$63*AG39*Teams!$D$67</f>
        <v>0</v>
      </c>
      <c r="AH42" s="44">
        <f>AH$5*Teams!$D$63*AH39*Teams!$D$67</f>
        <v>0</v>
      </c>
      <c r="AI42" s="44">
        <f>AI$5*Teams!$D$63*AI39*Teams!$D$67</f>
        <v>0</v>
      </c>
      <c r="AJ42" s="44">
        <f>AJ$5*Teams!$D$63*AJ39*Teams!$D$67</f>
        <v>0</v>
      </c>
      <c r="AK42" s="44">
        <f>AK$5*Teams!$D$63*AK39*Teams!$D$67</f>
        <v>0</v>
      </c>
      <c r="AL42" s="44">
        <f>AL$5*Teams!$D$63*AL39*Teams!$D$67</f>
        <v>0</v>
      </c>
      <c r="AM42" s="44">
        <f>AM$5*Teams!$D$63*AM39*Teams!$D$67</f>
        <v>0</v>
      </c>
      <c r="AN42" s="44">
        <f>AN$5*Teams!$D$63*AN39*Teams!$D$67</f>
        <v>0</v>
      </c>
      <c r="AO42" s="44">
        <f>AO$5*Teams!$D$63*AO39*Teams!$D$67</f>
        <v>0</v>
      </c>
      <c r="AP42" s="44">
        <f>AP$5*Teams!$D$63*AP39*Teams!$D$67</f>
        <v>0</v>
      </c>
      <c r="AQ42" s="44">
        <f>AQ$5*Teams!$D$63*AQ39*Teams!$D$67</f>
        <v>0</v>
      </c>
      <c r="AR42" s="44">
        <f>AR$5*Teams!$D$63*AR39*Teams!$D$67</f>
        <v>0</v>
      </c>
      <c r="AS42" s="44">
        <f>AS$5*Teams!$D$63*AS39*Teams!$D$67</f>
        <v>0</v>
      </c>
      <c r="AT42" s="44">
        <f>AT$5*Teams!$D$63*AT39*Teams!$D$67</f>
        <v>0</v>
      </c>
      <c r="AU42" s="44">
        <f>AU$5*Teams!$D$63*AU39*Teams!$D$67</f>
        <v>0</v>
      </c>
      <c r="AV42" s="44">
        <f>AV$5*Teams!$D$63*AV39*Teams!$D$67</f>
        <v>0</v>
      </c>
      <c r="AW42" s="44">
        <f>AW$5*Teams!$D$63*AW39*Teams!$D$67</f>
        <v>0</v>
      </c>
      <c r="AX42" s="44">
        <f>AX$5*Teams!$D$63*AX39*Teams!$D$67</f>
        <v>0</v>
      </c>
      <c r="AY42" s="44">
        <f>AY$5*Teams!$D$63*AY39*Teams!$D$67</f>
        <v>0</v>
      </c>
      <c r="AZ42" s="44">
        <f>AZ$5*Teams!$D$63*AZ39*Teams!$D$67</f>
        <v>0</v>
      </c>
      <c r="BA42" s="44">
        <f>BA$5*Teams!$D$63*BA39*Teams!$D$67</f>
        <v>0</v>
      </c>
      <c r="BB42" s="44">
        <f>BB$5*Teams!$D$63*BB39*Teams!$D$67</f>
        <v>0</v>
      </c>
      <c r="BC42" s="44">
        <f>BC$5*Teams!$D$63*BC39*Teams!$D$67</f>
        <v>0</v>
      </c>
      <c r="BD42" s="44">
        <f>BD$5*Teams!$D$63*BD39*Teams!$D$67</f>
        <v>0</v>
      </c>
      <c r="BE42" s="44">
        <f>BE$5*Teams!$D$63*BE39*Teams!$D$67</f>
        <v>0</v>
      </c>
      <c r="BF42" s="44">
        <f>BF$5*Teams!$D$63*BF39*Teams!$D$67</f>
        <v>0</v>
      </c>
      <c r="BG42" s="44">
        <f>BG$5*Teams!$D$63*BG39*Teams!$D$67</f>
        <v>0</v>
      </c>
      <c r="BH42" s="44">
        <f>BH$5*Teams!$D$63*BH39*Teams!$D$67</f>
        <v>0</v>
      </c>
      <c r="BI42" s="44">
        <f>BI$5*Teams!$D$63*BI39*Teams!$D$67</f>
        <v>0</v>
      </c>
      <c r="BJ42" s="44">
        <f>BJ$5*Teams!$D$63*BJ39*Teams!$D$67</f>
        <v>0</v>
      </c>
      <c r="BK42" s="44">
        <f>BK$5*Teams!$D$63*BK39*Teams!$D$67</f>
        <v>0</v>
      </c>
      <c r="BL42" s="44">
        <f>BL$5*Teams!$D$63*BL39*Teams!$D$67</f>
        <v>0</v>
      </c>
    </row>
    <row r="43" spans="1:64" x14ac:dyDescent="0.3">
      <c r="A43" s="8" t="s">
        <v>668</v>
      </c>
      <c r="B43" s="18" t="s">
        <v>435</v>
      </c>
      <c r="C43" s="44">
        <f t="shared" si="11"/>
        <v>0</v>
      </c>
      <c r="E43" s="44">
        <f>E$5*Teams!$D$65*E39*Teams!$D$74</f>
        <v>0</v>
      </c>
      <c r="F43" s="44">
        <f>F$5*Teams!$D$65*F39*Teams!$D$74</f>
        <v>0</v>
      </c>
      <c r="G43" s="44">
        <f>G$5*Teams!$D$65*G39*Teams!$D$74</f>
        <v>0</v>
      </c>
      <c r="H43" s="44">
        <f>H$5*Teams!$D$65*H39*Teams!$D$74</f>
        <v>0</v>
      </c>
      <c r="I43" s="44">
        <f>I$5*Teams!$D$65*I39*Teams!$D$74</f>
        <v>0</v>
      </c>
      <c r="J43" s="44">
        <f>J$5*Teams!$D$65*J39*Teams!$D$74</f>
        <v>0</v>
      </c>
      <c r="K43" s="44">
        <f>K$5*Teams!$D$65*K39*Teams!$D$74</f>
        <v>0</v>
      </c>
      <c r="L43" s="44">
        <f>L$5*Teams!$D$65*L39*Teams!$D$74</f>
        <v>0</v>
      </c>
      <c r="M43" s="44">
        <f>M$5*Teams!$D$65*M39*Teams!$D$74</f>
        <v>0</v>
      </c>
      <c r="N43" s="44">
        <f>N$5*Teams!$D$65*N39*Teams!$D$74</f>
        <v>0</v>
      </c>
      <c r="O43" s="44">
        <f>O$5*Teams!$D$65*O39*Teams!$D$74</f>
        <v>0</v>
      </c>
      <c r="P43" s="44">
        <f>P$5*Teams!$D$65*P39*Teams!$D$74</f>
        <v>0</v>
      </c>
      <c r="Q43" s="44">
        <f>Q$5*Teams!$D$65*Q39*Teams!$D$74</f>
        <v>0</v>
      </c>
      <c r="R43" s="44">
        <f>R$5*Teams!$D$65*R39*Teams!$D$74</f>
        <v>0</v>
      </c>
      <c r="S43" s="44">
        <f>S$5*Teams!$D$65*S39*Teams!$D$74</f>
        <v>0</v>
      </c>
      <c r="T43" s="44">
        <f>T$5*Teams!$D$65*T39*Teams!$D$74</f>
        <v>0</v>
      </c>
      <c r="U43" s="44">
        <f>U$5*Teams!$D$65*U39*Teams!$D$74</f>
        <v>0</v>
      </c>
      <c r="V43" s="44">
        <f>V$5*Teams!$D$65*V39*Teams!$D$74</f>
        <v>0</v>
      </c>
      <c r="W43" s="44">
        <f>W$5*Teams!$D$65*W39*Teams!$D$74</f>
        <v>0</v>
      </c>
      <c r="X43" s="44">
        <f>X$5*Teams!$D$65*X39*Teams!$D$74</f>
        <v>0</v>
      </c>
      <c r="Y43" s="44">
        <f>Y$5*Teams!$D$65*Y39*Teams!$D$74</f>
        <v>0</v>
      </c>
      <c r="Z43" s="44">
        <f>Z$5*Teams!$D$65*Z39*Teams!$D$74</f>
        <v>0</v>
      </c>
      <c r="AA43" s="44">
        <f>AA$5*Teams!$D$65*AA39*Teams!$D$74</f>
        <v>0</v>
      </c>
      <c r="AB43" s="44">
        <f>AB$5*Teams!$D$65*AB39*Teams!$D$74</f>
        <v>0</v>
      </c>
      <c r="AC43" s="44">
        <f>AC$5*Teams!$D$65*AC39*Teams!$D$74</f>
        <v>0</v>
      </c>
      <c r="AD43" s="44">
        <f>AD$5*Teams!$D$65*AD39*Teams!$D$74</f>
        <v>0</v>
      </c>
      <c r="AE43" s="44">
        <f>AE$5*Teams!$D$65*AE39*Teams!$D$74</f>
        <v>0</v>
      </c>
      <c r="AF43" s="44">
        <f>AF$5*Teams!$D$65*AF39*Teams!$D$74</f>
        <v>0</v>
      </c>
      <c r="AG43" s="44">
        <f>AG$5*Teams!$D$65*AG39*Teams!$D$74</f>
        <v>0</v>
      </c>
      <c r="AH43" s="44">
        <f>AH$5*Teams!$D$65*AH39*Teams!$D$74</f>
        <v>0</v>
      </c>
      <c r="AI43" s="44">
        <f>AI$5*Teams!$D$65*AI39*Teams!$D$74</f>
        <v>0</v>
      </c>
      <c r="AJ43" s="44">
        <f>AJ$5*Teams!$D$65*AJ39*Teams!$D$74</f>
        <v>0</v>
      </c>
      <c r="AK43" s="44">
        <f>AK$5*Teams!$D$65*AK39*Teams!$D$74</f>
        <v>0</v>
      </c>
      <c r="AL43" s="44">
        <f>AL$5*Teams!$D$65*AL39*Teams!$D$74</f>
        <v>0</v>
      </c>
      <c r="AM43" s="44">
        <f>AM$5*Teams!$D$65*AM39*Teams!$D$74</f>
        <v>0</v>
      </c>
      <c r="AN43" s="44">
        <f>AN$5*Teams!$D$65*AN39*Teams!$D$74</f>
        <v>0</v>
      </c>
      <c r="AO43" s="44">
        <f>AO$5*Teams!$D$65*AO39*Teams!$D$74</f>
        <v>0</v>
      </c>
      <c r="AP43" s="44">
        <f>AP$5*Teams!$D$65*AP39*Teams!$D$74</f>
        <v>0</v>
      </c>
      <c r="AQ43" s="44">
        <f>AQ$5*Teams!$D$65*AQ39*Teams!$D$74</f>
        <v>0</v>
      </c>
      <c r="AR43" s="44">
        <f>AR$5*Teams!$D$65*AR39*Teams!$D$74</f>
        <v>0</v>
      </c>
      <c r="AS43" s="44">
        <f>AS$5*Teams!$D$65*AS39*Teams!$D$74</f>
        <v>0</v>
      </c>
      <c r="AT43" s="44">
        <f>AT$5*Teams!$D$65*AT39*Teams!$D$74</f>
        <v>0</v>
      </c>
      <c r="AU43" s="44">
        <f>AU$5*Teams!$D$65*AU39*Teams!$D$74</f>
        <v>0</v>
      </c>
      <c r="AV43" s="44">
        <f>AV$5*Teams!$D$65*AV39*Teams!$D$74</f>
        <v>0</v>
      </c>
      <c r="AW43" s="44">
        <f>AW$5*Teams!$D$65*AW39*Teams!$D$74</f>
        <v>0</v>
      </c>
      <c r="AX43" s="44">
        <f>AX$5*Teams!$D$65*AX39*Teams!$D$74</f>
        <v>0</v>
      </c>
      <c r="AY43" s="44">
        <f>AY$5*Teams!$D$65*AY39*Teams!$D$74</f>
        <v>0</v>
      </c>
      <c r="AZ43" s="44">
        <f>AZ$5*Teams!$D$65*AZ39*Teams!$D$74</f>
        <v>0</v>
      </c>
      <c r="BA43" s="44">
        <f>BA$5*Teams!$D$65*BA39*Teams!$D$74</f>
        <v>0</v>
      </c>
      <c r="BB43" s="44">
        <f>BB$5*Teams!$D$65*BB39*Teams!$D$74</f>
        <v>0</v>
      </c>
      <c r="BC43" s="44">
        <f>BC$5*Teams!$D$65*BC39*Teams!$D$74</f>
        <v>0</v>
      </c>
      <c r="BD43" s="44">
        <f>BD$5*Teams!$D$65*BD39*Teams!$D$74</f>
        <v>0</v>
      </c>
      <c r="BE43" s="44">
        <f>BE$5*Teams!$D$65*BE39*Teams!$D$74</f>
        <v>0</v>
      </c>
      <c r="BF43" s="44">
        <f>BF$5*Teams!$D$65*BF39*Teams!$D$74</f>
        <v>0</v>
      </c>
      <c r="BG43" s="44">
        <f>BG$5*Teams!$D$65*BG39*Teams!$D$74</f>
        <v>0</v>
      </c>
      <c r="BH43" s="44">
        <f>BH$5*Teams!$D$65*BH39*Teams!$D$74</f>
        <v>0</v>
      </c>
      <c r="BI43" s="44">
        <f>BI$5*Teams!$D$65*BI39*Teams!$D$74</f>
        <v>0</v>
      </c>
      <c r="BJ43" s="44">
        <f>BJ$5*Teams!$D$65*BJ39*Teams!$D$74</f>
        <v>0</v>
      </c>
      <c r="BK43" s="44">
        <f>BK$5*Teams!$D$65*BK39*Teams!$D$74</f>
        <v>0</v>
      </c>
      <c r="BL43" s="44">
        <f>BL$5*Teams!$D$65*BL39*Teams!$D$74</f>
        <v>0</v>
      </c>
    </row>
    <row r="44" spans="1:64" x14ac:dyDescent="0.3">
      <c r="A44" s="8" t="s">
        <v>669</v>
      </c>
      <c r="B44" s="18" t="s">
        <v>505</v>
      </c>
      <c r="C44" s="44">
        <f t="shared" si="11"/>
        <v>0</v>
      </c>
      <c r="E44" s="44">
        <f>E$5*Teams!$D$64*Teams!$D$16*IF(E$4&gt;=Teams!$D$80,1,0)</f>
        <v>0</v>
      </c>
      <c r="F44" s="44">
        <f>F$5*Teams!$D$64*Teams!$D$16*IF(F$4&gt;=Teams!$D$80,1,0)</f>
        <v>0</v>
      </c>
      <c r="G44" s="44">
        <f>G$5*Teams!$D$64*Teams!$D$16*IF(G$4&gt;=Teams!$D$80,1,0)</f>
        <v>0</v>
      </c>
      <c r="H44" s="44">
        <f>H$5*Teams!$D$64*Teams!$D$16*IF(H$4&gt;=Teams!$D$80,1,0)</f>
        <v>0</v>
      </c>
      <c r="I44" s="44">
        <f>I$5*Teams!$D$64*Teams!$D$16*IF(I$4&gt;=Teams!$D$80,1,0)</f>
        <v>0</v>
      </c>
      <c r="J44" s="44">
        <f>J$5*Teams!$D$64*Teams!$D$16*IF(J$4&gt;=Teams!$D$80,1,0)</f>
        <v>0</v>
      </c>
      <c r="K44" s="44">
        <f>K$5*Teams!$D$64*Teams!$D$16*IF(K$4&gt;=Teams!$D$80,1,0)</f>
        <v>0</v>
      </c>
      <c r="L44" s="44">
        <f>L$5*Teams!$D$64*Teams!$D$16*IF(L$4&gt;=Teams!$D$80,1,0)</f>
        <v>0</v>
      </c>
      <c r="M44" s="44">
        <f>M$5*Teams!$D$64*Teams!$D$16*IF(M$4&gt;=Teams!$D$80,1,0)</f>
        <v>0</v>
      </c>
      <c r="N44" s="44">
        <f>N$5*Teams!$D$64*Teams!$D$16*IF(N$4&gt;=Teams!$D$80,1,0)</f>
        <v>0</v>
      </c>
      <c r="O44" s="44">
        <f>O$5*Teams!$D$64*Teams!$D$16*IF(O$4&gt;=Teams!$D$80,1,0)</f>
        <v>0</v>
      </c>
      <c r="P44" s="44">
        <f>P$5*Teams!$D$64*Teams!$D$16*IF(P$4&gt;=Teams!$D$80,1,0)</f>
        <v>0</v>
      </c>
      <c r="Q44" s="44">
        <f>Q$5*Teams!$D$64*Teams!$D$16*IF(Q$4&gt;=Teams!$D$80,1,0)</f>
        <v>0</v>
      </c>
      <c r="R44" s="44">
        <f>R$5*Teams!$D$64*Teams!$D$16*IF(R$4&gt;=Teams!$D$80,1,0)</f>
        <v>0</v>
      </c>
      <c r="S44" s="44">
        <f>S$5*Teams!$D$64*Teams!$D$16*IF(S$4&gt;=Teams!$D$80,1,0)</f>
        <v>0</v>
      </c>
      <c r="T44" s="44">
        <f>T$5*Teams!$D$64*Teams!$D$16*IF(T$4&gt;=Teams!$D$80,1,0)</f>
        <v>0</v>
      </c>
      <c r="U44" s="44">
        <f>U$5*Teams!$D$64*Teams!$D$16*IF(U$4&gt;=Teams!$D$80,1,0)</f>
        <v>0</v>
      </c>
      <c r="V44" s="44">
        <f>V$5*Teams!$D$64*Teams!$D$16*IF(V$4&gt;=Teams!$D$80,1,0)</f>
        <v>0</v>
      </c>
      <c r="W44" s="44">
        <f>W$5*Teams!$D$64*Teams!$D$16*IF(W$4&gt;=Teams!$D$80,1,0)</f>
        <v>0</v>
      </c>
      <c r="X44" s="44">
        <f>X$5*Teams!$D$64*Teams!$D$16*IF(X$4&gt;=Teams!$D$80,1,0)</f>
        <v>0</v>
      </c>
      <c r="Y44" s="44">
        <f>Y$5*Teams!$D$64*Teams!$D$16*IF(Y$4&gt;=Teams!$D$80,1,0)</f>
        <v>0</v>
      </c>
      <c r="Z44" s="44">
        <f>Z$5*Teams!$D$64*Teams!$D$16*IF(Z$4&gt;=Teams!$D$80,1,0)</f>
        <v>0</v>
      </c>
      <c r="AA44" s="44">
        <f>AA$5*Teams!$D$64*Teams!$D$16*IF(AA$4&gt;=Teams!$D$80,1,0)</f>
        <v>0</v>
      </c>
      <c r="AB44" s="44">
        <f>AB$5*Teams!$D$64*Teams!$D$16*IF(AB$4&gt;=Teams!$D$80,1,0)</f>
        <v>0</v>
      </c>
      <c r="AC44" s="44">
        <f>AC$5*Teams!$D$64*Teams!$D$16*IF(AC$4&gt;=Teams!$D$80,1,0)</f>
        <v>0</v>
      </c>
      <c r="AD44" s="44">
        <f>AD$5*Teams!$D$64*Teams!$D$16*IF(AD$4&gt;=Teams!$D$80,1,0)</f>
        <v>0</v>
      </c>
      <c r="AE44" s="44">
        <f>AE$5*Teams!$D$64*Teams!$D$16*IF(AE$4&gt;=Teams!$D$80,1,0)</f>
        <v>0</v>
      </c>
      <c r="AF44" s="44">
        <f>AF$5*Teams!$D$64*Teams!$D$16*IF(AF$4&gt;=Teams!$D$80,1,0)</f>
        <v>0</v>
      </c>
      <c r="AG44" s="44">
        <f>AG$5*Teams!$D$64*Teams!$D$16*IF(AG$4&gt;=Teams!$D$80,1,0)</f>
        <v>0</v>
      </c>
      <c r="AH44" s="44">
        <f>AH$5*Teams!$D$64*Teams!$D$16*IF(AH$4&gt;=Teams!$D$80,1,0)</f>
        <v>0</v>
      </c>
      <c r="AI44" s="44">
        <f>AI$5*Teams!$D$64*Teams!$D$16*IF(AI$4&gt;=Teams!$D$80,1,0)</f>
        <v>0</v>
      </c>
      <c r="AJ44" s="44">
        <f>AJ$5*Teams!$D$64*Teams!$D$16*IF(AJ$4&gt;=Teams!$D$80,1,0)</f>
        <v>0</v>
      </c>
      <c r="AK44" s="44">
        <f>AK$5*Teams!$D$64*Teams!$D$16*IF(AK$4&gt;=Teams!$D$80,1,0)</f>
        <v>0</v>
      </c>
      <c r="AL44" s="44">
        <f>AL$5*Teams!$D$64*Teams!$D$16*IF(AL$4&gt;=Teams!$D$80,1,0)</f>
        <v>0</v>
      </c>
      <c r="AM44" s="44">
        <f>AM$5*Teams!$D$64*Teams!$D$16*IF(AM$4&gt;=Teams!$D$80,1,0)</f>
        <v>0</v>
      </c>
      <c r="AN44" s="44">
        <f>AN$5*Teams!$D$64*Teams!$D$16*IF(AN$4&gt;=Teams!$D$80,1,0)</f>
        <v>0</v>
      </c>
      <c r="AO44" s="44">
        <f>AO$5*Teams!$D$64*Teams!$D$16*IF(AO$4&gt;=Teams!$D$80,1,0)</f>
        <v>0</v>
      </c>
      <c r="AP44" s="44">
        <f>AP$5*Teams!$D$64*Teams!$D$16*IF(AP$4&gt;=Teams!$D$80,1,0)</f>
        <v>0</v>
      </c>
      <c r="AQ44" s="44">
        <f>AQ$5*Teams!$D$64*Teams!$D$16*IF(AQ$4&gt;=Teams!$D$80,1,0)</f>
        <v>0</v>
      </c>
      <c r="AR44" s="44">
        <f>AR$5*Teams!$D$64*Teams!$D$16*IF(AR$4&gt;=Teams!$D$80,1,0)</f>
        <v>0</v>
      </c>
      <c r="AS44" s="44">
        <f>AS$5*Teams!$D$64*Teams!$D$16*IF(AS$4&gt;=Teams!$D$80,1,0)</f>
        <v>0</v>
      </c>
      <c r="AT44" s="44">
        <f>AT$5*Teams!$D$64*Teams!$D$16*IF(AT$4&gt;=Teams!$D$80,1,0)</f>
        <v>0</v>
      </c>
      <c r="AU44" s="44">
        <f>AU$5*Teams!$D$64*Teams!$D$16*IF(AU$4&gt;=Teams!$D$80,1,0)</f>
        <v>0</v>
      </c>
      <c r="AV44" s="44">
        <f>AV$5*Teams!$D$64*Teams!$D$16*IF(AV$4&gt;=Teams!$D$80,1,0)</f>
        <v>0</v>
      </c>
      <c r="AW44" s="44">
        <f>AW$5*Teams!$D$64*Teams!$D$16*IF(AW$4&gt;=Teams!$D$80,1,0)</f>
        <v>0</v>
      </c>
      <c r="AX44" s="44">
        <f>AX$5*Teams!$D$64*Teams!$D$16*IF(AX$4&gt;=Teams!$D$80,1,0)</f>
        <v>0</v>
      </c>
      <c r="AY44" s="44">
        <f>AY$5*Teams!$D$64*Teams!$D$16*IF(AY$4&gt;=Teams!$D$80,1,0)</f>
        <v>0</v>
      </c>
      <c r="AZ44" s="44">
        <f>AZ$5*Teams!$D$64*Teams!$D$16*IF(AZ$4&gt;=Teams!$D$80,1,0)</f>
        <v>0</v>
      </c>
      <c r="BA44" s="44">
        <f>BA$5*Teams!$D$64*Teams!$D$16*IF(BA$4&gt;=Teams!$D$80,1,0)</f>
        <v>0</v>
      </c>
      <c r="BB44" s="44">
        <f>BB$5*Teams!$D$64*Teams!$D$16*IF(BB$4&gt;=Teams!$D$80,1,0)</f>
        <v>0</v>
      </c>
      <c r="BC44" s="44">
        <f>BC$5*Teams!$D$64*Teams!$D$16*IF(BC$4&gt;=Teams!$D$80,1,0)</f>
        <v>0</v>
      </c>
      <c r="BD44" s="44">
        <f>BD$5*Teams!$D$64*Teams!$D$16*IF(BD$4&gt;=Teams!$D$80,1,0)</f>
        <v>0</v>
      </c>
      <c r="BE44" s="44">
        <f>BE$5*Teams!$D$64*Teams!$D$16*IF(BE$4&gt;=Teams!$D$80,1,0)</f>
        <v>0</v>
      </c>
      <c r="BF44" s="44">
        <f>BF$5*Teams!$D$64*Teams!$D$16*IF(BF$4&gt;=Teams!$D$80,1,0)</f>
        <v>0</v>
      </c>
      <c r="BG44" s="44">
        <f>BG$5*Teams!$D$64*Teams!$D$16*IF(BG$4&gt;=Teams!$D$80,1,0)</f>
        <v>0</v>
      </c>
      <c r="BH44" s="44">
        <f>BH$5*Teams!$D$64*Teams!$D$16*IF(BH$4&gt;=Teams!$D$80,1,0)</f>
        <v>0</v>
      </c>
      <c r="BI44" s="44">
        <f>BI$5*Teams!$D$64*Teams!$D$16*IF(BI$4&gt;=Teams!$D$80,1,0)</f>
        <v>0</v>
      </c>
      <c r="BJ44" s="44">
        <f>BJ$5*Teams!$D$64*Teams!$D$16*IF(BJ$4&gt;=Teams!$D$80,1,0)</f>
        <v>0</v>
      </c>
      <c r="BK44" s="44">
        <f>BK$5*Teams!$D$64*Teams!$D$16*IF(BK$4&gt;=Teams!$D$80,1,0)</f>
        <v>0</v>
      </c>
      <c r="BL44" s="44">
        <f>BL$5*Teams!$D$64*Teams!$D$16*IF(BL$4&gt;=Teams!$D$80,1,0)</f>
        <v>0</v>
      </c>
    </row>
    <row r="45" spans="1:64" x14ac:dyDescent="0.3">
      <c r="A45" s="8" t="s">
        <v>670</v>
      </c>
      <c r="B45" s="18" t="s">
        <v>435</v>
      </c>
      <c r="C45" s="44">
        <f t="shared" si="11"/>
        <v>3532.079999999999</v>
      </c>
      <c r="E45" s="44">
        <f>E$5*IF(AND(E$4&gt;=Teams!$D$80,Teams!$D$49=1),Teams!$D$44*Params!$F$10*Teams!$D$45*Teams!$D$75+Teams!$D$44*Params!$F$10*Teams!$D$47*Teams!$D$76/1000000+Teams!$D$77+Teams!$D$50*Teams!$D$78+E39*Teams!$D$51*Teams!$D$79/1000000,0)</f>
        <v>90.86</v>
      </c>
      <c r="F45" s="44">
        <f>F$5*IF(AND(F$4&gt;=Teams!$D$80,Teams!$D$49=1),Teams!$D$44*Params!$F$10*Teams!$D$45*Teams!$D$75+Teams!$D$44*Params!$F$10*Teams!$D$47*Teams!$D$76/1000000+Teams!$D$77+Teams!$D$50*Teams!$D$78+F39*Teams!$D$51*Teams!$D$79/1000000,0)</f>
        <v>93.42</v>
      </c>
      <c r="G45" s="44">
        <f>G$5*IF(AND(G$4&gt;=Teams!$D$80,Teams!$D$49=1),Teams!$D$44*Params!$F$10*Teams!$D$45*Teams!$D$75+Teams!$D$44*Params!$F$10*Teams!$D$47*Teams!$D$76/1000000+Teams!$D$77+Teams!$D$50*Teams!$D$78+G39*Teams!$D$51*Teams!$D$79/1000000,0)</f>
        <v>95.97999999999999</v>
      </c>
      <c r="H45" s="44">
        <f>H$5*IF(AND(H$4&gt;=Teams!$D$80,Teams!$D$49=1),Teams!$D$44*Params!$F$10*Teams!$D$45*Teams!$D$75+Teams!$D$44*Params!$F$10*Teams!$D$47*Teams!$D$76/1000000+Teams!$D$77+Teams!$D$50*Teams!$D$78+H39*Teams!$D$51*Teams!$D$79/1000000,0)</f>
        <v>98.539999999999992</v>
      </c>
      <c r="I45" s="44">
        <f>I$5*IF(AND(I$4&gt;=Teams!$D$80,Teams!$D$49=1),Teams!$D$44*Params!$F$10*Teams!$D$45*Teams!$D$75+Teams!$D$44*Params!$F$10*Teams!$D$47*Teams!$D$76/1000000+Teams!$D$77+Teams!$D$50*Teams!$D$78+I39*Teams!$D$51*Teams!$D$79/1000000,0)</f>
        <v>98.539999999999992</v>
      </c>
      <c r="J45" s="44">
        <f>J$5*IF(AND(J$4&gt;=Teams!$D$80,Teams!$D$49=1),Teams!$D$44*Params!$F$10*Teams!$D$45*Teams!$D$75+Teams!$D$44*Params!$F$10*Teams!$D$47*Teams!$D$76/1000000+Teams!$D$77+Teams!$D$50*Teams!$D$78+J39*Teams!$D$51*Teams!$D$79/1000000,0)</f>
        <v>98.539999999999992</v>
      </c>
      <c r="K45" s="44">
        <f>K$5*IF(AND(K$4&gt;=Teams!$D$80,Teams!$D$49=1),Teams!$D$44*Params!$F$10*Teams!$D$45*Teams!$D$75+Teams!$D$44*Params!$F$10*Teams!$D$47*Teams!$D$76/1000000+Teams!$D$77+Teams!$D$50*Teams!$D$78+K39*Teams!$D$51*Teams!$D$79/1000000,0)</f>
        <v>98.539999999999992</v>
      </c>
      <c r="L45" s="44">
        <f>L$5*IF(AND(L$4&gt;=Teams!$D$80,Teams!$D$49=1),Teams!$D$44*Params!$F$10*Teams!$D$45*Teams!$D$75+Teams!$D$44*Params!$F$10*Teams!$D$47*Teams!$D$76/1000000+Teams!$D$77+Teams!$D$50*Teams!$D$78+L39*Teams!$D$51*Teams!$D$79/1000000,0)</f>
        <v>98.539999999999992</v>
      </c>
      <c r="M45" s="44">
        <f>M$5*IF(AND(M$4&gt;=Teams!$D$80,Teams!$D$49=1),Teams!$D$44*Params!$F$10*Teams!$D$45*Teams!$D$75+Teams!$D$44*Params!$F$10*Teams!$D$47*Teams!$D$76/1000000+Teams!$D$77+Teams!$D$50*Teams!$D$78+M39*Teams!$D$51*Teams!$D$79/1000000,0)</f>
        <v>98.539999999999992</v>
      </c>
      <c r="N45" s="44">
        <f>N$5*IF(AND(N$4&gt;=Teams!$D$80,Teams!$D$49=1),Teams!$D$44*Params!$F$10*Teams!$D$45*Teams!$D$75+Teams!$D$44*Params!$F$10*Teams!$D$47*Teams!$D$76/1000000+Teams!$D$77+Teams!$D$50*Teams!$D$78+N39*Teams!$D$51*Teams!$D$79/1000000,0)</f>
        <v>98.539999999999992</v>
      </c>
      <c r="O45" s="44">
        <f>O$5*IF(AND(O$4&gt;=Teams!$D$80,Teams!$D$49=1),Teams!$D$44*Params!$F$10*Teams!$D$45*Teams!$D$75+Teams!$D$44*Params!$F$10*Teams!$D$47*Teams!$D$76/1000000+Teams!$D$77+Teams!$D$50*Teams!$D$78+O39*Teams!$D$51*Teams!$D$79/1000000,0)</f>
        <v>98.539999999999992</v>
      </c>
      <c r="P45" s="44">
        <f>P$5*IF(AND(P$4&gt;=Teams!$D$80,Teams!$D$49=1),Teams!$D$44*Params!$F$10*Teams!$D$45*Teams!$D$75+Teams!$D$44*Params!$F$10*Teams!$D$47*Teams!$D$76/1000000+Teams!$D$77+Teams!$D$50*Teams!$D$78+P39*Teams!$D$51*Teams!$D$79/1000000,0)</f>
        <v>98.539999999999992</v>
      </c>
      <c r="Q45" s="44">
        <f>Q$5*IF(AND(Q$4&gt;=Teams!$D$80,Teams!$D$49=1),Teams!$D$44*Params!$F$10*Teams!$D$45*Teams!$D$75+Teams!$D$44*Params!$F$10*Teams!$D$47*Teams!$D$76/1000000+Teams!$D$77+Teams!$D$50*Teams!$D$78+Q39*Teams!$D$51*Teams!$D$79/1000000,0)</f>
        <v>98.539999999999992</v>
      </c>
      <c r="R45" s="44">
        <f>R$5*IF(AND(R$4&gt;=Teams!$D$80,Teams!$D$49=1),Teams!$D$44*Params!$F$10*Teams!$D$45*Teams!$D$75+Teams!$D$44*Params!$F$10*Teams!$D$47*Teams!$D$76/1000000+Teams!$D$77+Teams!$D$50*Teams!$D$78+R39*Teams!$D$51*Teams!$D$79/1000000,0)</f>
        <v>98.539999999999992</v>
      </c>
      <c r="S45" s="44">
        <f>S$5*IF(AND(S$4&gt;=Teams!$D$80,Teams!$D$49=1),Teams!$D$44*Params!$F$10*Teams!$D$45*Teams!$D$75+Teams!$D$44*Params!$F$10*Teams!$D$47*Teams!$D$76/1000000+Teams!$D$77+Teams!$D$50*Teams!$D$78+S39*Teams!$D$51*Teams!$D$79/1000000,0)</f>
        <v>98.539999999999992</v>
      </c>
      <c r="T45" s="44">
        <f>T$5*IF(AND(T$4&gt;=Teams!$D$80,Teams!$D$49=1),Teams!$D$44*Params!$F$10*Teams!$D$45*Teams!$D$75+Teams!$D$44*Params!$F$10*Teams!$D$47*Teams!$D$76/1000000+Teams!$D$77+Teams!$D$50*Teams!$D$78+T39*Teams!$D$51*Teams!$D$79/1000000,0)</f>
        <v>98.539999999999992</v>
      </c>
      <c r="U45" s="44">
        <f>U$5*IF(AND(U$4&gt;=Teams!$D$80,Teams!$D$49=1),Teams!$D$44*Params!$F$10*Teams!$D$45*Teams!$D$75+Teams!$D$44*Params!$F$10*Teams!$D$47*Teams!$D$76/1000000+Teams!$D$77+Teams!$D$50*Teams!$D$78+U39*Teams!$D$51*Teams!$D$79/1000000,0)</f>
        <v>98.539999999999992</v>
      </c>
      <c r="V45" s="44">
        <f>V$5*IF(AND(V$4&gt;=Teams!$D$80,Teams!$D$49=1),Teams!$D$44*Params!$F$10*Teams!$D$45*Teams!$D$75+Teams!$D$44*Params!$F$10*Teams!$D$47*Teams!$D$76/1000000+Teams!$D$77+Teams!$D$50*Teams!$D$78+V39*Teams!$D$51*Teams!$D$79/1000000,0)</f>
        <v>98.539999999999992</v>
      </c>
      <c r="W45" s="44">
        <f>W$5*IF(AND(W$4&gt;=Teams!$D$80,Teams!$D$49=1),Teams!$D$44*Params!$F$10*Teams!$D$45*Teams!$D$75+Teams!$D$44*Params!$F$10*Teams!$D$47*Teams!$D$76/1000000+Teams!$D$77+Teams!$D$50*Teams!$D$78+W39*Teams!$D$51*Teams!$D$79/1000000,0)</f>
        <v>98.539999999999992</v>
      </c>
      <c r="X45" s="44">
        <f>X$5*IF(AND(X$4&gt;=Teams!$D$80,Teams!$D$49=1),Teams!$D$44*Params!$F$10*Teams!$D$45*Teams!$D$75+Teams!$D$44*Params!$F$10*Teams!$D$47*Teams!$D$76/1000000+Teams!$D$77+Teams!$D$50*Teams!$D$78+X39*Teams!$D$51*Teams!$D$79/1000000,0)</f>
        <v>98.539999999999992</v>
      </c>
      <c r="Y45" s="44">
        <f>Y$5*IF(AND(Y$4&gt;=Teams!$D$80,Teams!$D$49=1),Teams!$D$44*Params!$F$10*Teams!$D$45*Teams!$D$75+Teams!$D$44*Params!$F$10*Teams!$D$47*Teams!$D$76/1000000+Teams!$D$77+Teams!$D$50*Teams!$D$78+Y39*Teams!$D$51*Teams!$D$79/1000000,0)</f>
        <v>98.539999999999992</v>
      </c>
      <c r="Z45" s="44">
        <f>Z$5*IF(AND(Z$4&gt;=Teams!$D$80,Teams!$D$49=1),Teams!$D$44*Params!$F$10*Teams!$D$45*Teams!$D$75+Teams!$D$44*Params!$F$10*Teams!$D$47*Teams!$D$76/1000000+Teams!$D$77+Teams!$D$50*Teams!$D$78+Z39*Teams!$D$51*Teams!$D$79/1000000,0)</f>
        <v>98.539999999999992</v>
      </c>
      <c r="AA45" s="44">
        <f>AA$5*IF(AND(AA$4&gt;=Teams!$D$80,Teams!$D$49=1),Teams!$D$44*Params!$F$10*Teams!$D$45*Teams!$D$75+Teams!$D$44*Params!$F$10*Teams!$D$47*Teams!$D$76/1000000+Teams!$D$77+Teams!$D$50*Teams!$D$78+AA39*Teams!$D$51*Teams!$D$79/1000000,0)</f>
        <v>98.539999999999992</v>
      </c>
      <c r="AB45" s="44">
        <f>AB$5*IF(AND(AB$4&gt;=Teams!$D$80,Teams!$D$49=1),Teams!$D$44*Params!$F$10*Teams!$D$45*Teams!$D$75+Teams!$D$44*Params!$F$10*Teams!$D$47*Teams!$D$76/1000000+Teams!$D$77+Teams!$D$50*Teams!$D$78+AB39*Teams!$D$51*Teams!$D$79/1000000,0)</f>
        <v>98.539999999999992</v>
      </c>
      <c r="AC45" s="44">
        <f>AC$5*IF(AND(AC$4&gt;=Teams!$D$80,Teams!$D$49=1),Teams!$D$44*Params!$F$10*Teams!$D$45*Teams!$D$75+Teams!$D$44*Params!$F$10*Teams!$D$47*Teams!$D$76/1000000+Teams!$D$77+Teams!$D$50*Teams!$D$78+AC39*Teams!$D$51*Teams!$D$79/1000000,0)</f>
        <v>98.539999999999992</v>
      </c>
      <c r="AD45" s="44">
        <f>AD$5*IF(AND(AD$4&gt;=Teams!$D$80,Teams!$D$49=1),Teams!$D$44*Params!$F$10*Teams!$D$45*Teams!$D$75+Teams!$D$44*Params!$F$10*Teams!$D$47*Teams!$D$76/1000000+Teams!$D$77+Teams!$D$50*Teams!$D$78+AD39*Teams!$D$51*Teams!$D$79/1000000,0)</f>
        <v>98.539999999999992</v>
      </c>
      <c r="AE45" s="44">
        <f>AE$5*IF(AND(AE$4&gt;=Teams!$D$80,Teams!$D$49=1),Teams!$D$44*Params!$F$10*Teams!$D$45*Teams!$D$75+Teams!$D$44*Params!$F$10*Teams!$D$47*Teams!$D$76/1000000+Teams!$D$77+Teams!$D$50*Teams!$D$78+AE39*Teams!$D$51*Teams!$D$79/1000000,0)</f>
        <v>98.539999999999992</v>
      </c>
      <c r="AF45" s="44">
        <f>AF$5*IF(AND(AF$4&gt;=Teams!$D$80,Teams!$D$49=1),Teams!$D$44*Params!$F$10*Teams!$D$45*Teams!$D$75+Teams!$D$44*Params!$F$10*Teams!$D$47*Teams!$D$76/1000000+Teams!$D$77+Teams!$D$50*Teams!$D$78+AF39*Teams!$D$51*Teams!$D$79/1000000,0)</f>
        <v>98.539999999999992</v>
      </c>
      <c r="AG45" s="44">
        <f>AG$5*IF(AND(AG$4&gt;=Teams!$D$80,Teams!$D$49=1),Teams!$D$44*Params!$F$10*Teams!$D$45*Teams!$D$75+Teams!$D$44*Params!$F$10*Teams!$D$47*Teams!$D$76/1000000+Teams!$D$77+Teams!$D$50*Teams!$D$78+AG39*Teams!$D$51*Teams!$D$79/1000000,0)</f>
        <v>98.539999999999992</v>
      </c>
      <c r="AH45" s="44">
        <f>AH$5*IF(AND(AH$4&gt;=Teams!$D$80,Teams!$D$49=1),Teams!$D$44*Params!$F$10*Teams!$D$45*Teams!$D$75+Teams!$D$44*Params!$F$10*Teams!$D$47*Teams!$D$76/1000000+Teams!$D$77+Teams!$D$50*Teams!$D$78+AH39*Teams!$D$51*Teams!$D$79/1000000,0)</f>
        <v>98.539999999999992</v>
      </c>
      <c r="AI45" s="44">
        <f>AI$5*IF(AND(AI$4&gt;=Teams!$D$80,Teams!$D$49=1),Teams!$D$44*Params!$F$10*Teams!$D$45*Teams!$D$75+Teams!$D$44*Params!$F$10*Teams!$D$47*Teams!$D$76/1000000+Teams!$D$77+Teams!$D$50*Teams!$D$78+AI39*Teams!$D$51*Teams!$D$79/1000000,0)</f>
        <v>98.539999999999992</v>
      </c>
      <c r="AJ45" s="44">
        <f>AJ$5*IF(AND(AJ$4&gt;=Teams!$D$80,Teams!$D$49=1),Teams!$D$44*Params!$F$10*Teams!$D$45*Teams!$D$75+Teams!$D$44*Params!$F$10*Teams!$D$47*Teams!$D$76/1000000+Teams!$D$77+Teams!$D$50*Teams!$D$78+AJ39*Teams!$D$51*Teams!$D$79/1000000,0)</f>
        <v>98.539999999999992</v>
      </c>
      <c r="AK45" s="44">
        <f>AK$5*IF(AND(AK$4&gt;=Teams!$D$80,Teams!$D$49=1),Teams!$D$44*Params!$F$10*Teams!$D$45*Teams!$D$75+Teams!$D$44*Params!$F$10*Teams!$D$47*Teams!$D$76/1000000+Teams!$D$77+Teams!$D$50*Teams!$D$78+AK39*Teams!$D$51*Teams!$D$79/1000000,0)</f>
        <v>98.539999999999992</v>
      </c>
      <c r="AL45" s="44">
        <f>AL$5*IF(AND(AL$4&gt;=Teams!$D$80,Teams!$D$49=1),Teams!$D$44*Params!$F$10*Teams!$D$45*Teams!$D$75+Teams!$D$44*Params!$F$10*Teams!$D$47*Teams!$D$76/1000000+Teams!$D$77+Teams!$D$50*Teams!$D$78+AL39*Teams!$D$51*Teams!$D$79/1000000,0)</f>
        <v>98.539999999999992</v>
      </c>
      <c r="AM45" s="44">
        <f>AM$5*IF(AND(AM$4&gt;=Teams!$D$80,Teams!$D$49=1),Teams!$D$44*Params!$F$10*Teams!$D$45*Teams!$D$75+Teams!$D$44*Params!$F$10*Teams!$D$47*Teams!$D$76/1000000+Teams!$D$77+Teams!$D$50*Teams!$D$78+AM39*Teams!$D$51*Teams!$D$79/1000000,0)</f>
        <v>98.539999999999992</v>
      </c>
      <c r="AN45" s="44">
        <f>AN$5*IF(AND(AN$4&gt;=Teams!$D$80,Teams!$D$49=1),Teams!$D$44*Params!$F$10*Teams!$D$45*Teams!$D$75+Teams!$D$44*Params!$F$10*Teams!$D$47*Teams!$D$76/1000000+Teams!$D$77+Teams!$D$50*Teams!$D$78+AN39*Teams!$D$51*Teams!$D$79/1000000,0)</f>
        <v>98.539999999999992</v>
      </c>
      <c r="AO45" s="44">
        <f>AO$5*IF(AND(AO$4&gt;=Teams!$D$80,Teams!$D$49=1),Teams!$D$44*Params!$F$10*Teams!$D$45*Teams!$D$75+Teams!$D$44*Params!$F$10*Teams!$D$47*Teams!$D$76/1000000+Teams!$D$77+Teams!$D$50*Teams!$D$78+AO39*Teams!$D$51*Teams!$D$79/1000000,0)</f>
        <v>0</v>
      </c>
      <c r="AP45" s="44">
        <f>AP$5*IF(AND(AP$4&gt;=Teams!$D$80,Teams!$D$49=1),Teams!$D$44*Params!$F$10*Teams!$D$45*Teams!$D$75+Teams!$D$44*Params!$F$10*Teams!$D$47*Teams!$D$76/1000000+Teams!$D$77+Teams!$D$50*Teams!$D$78+AP39*Teams!$D$51*Teams!$D$79/1000000,0)</f>
        <v>0</v>
      </c>
      <c r="AQ45" s="44">
        <f>AQ$5*IF(AND(AQ$4&gt;=Teams!$D$80,Teams!$D$49=1),Teams!$D$44*Params!$F$10*Teams!$D$45*Teams!$D$75+Teams!$D$44*Params!$F$10*Teams!$D$47*Teams!$D$76/1000000+Teams!$D$77+Teams!$D$50*Teams!$D$78+AQ39*Teams!$D$51*Teams!$D$79/1000000,0)</f>
        <v>0</v>
      </c>
      <c r="AR45" s="44">
        <f>AR$5*IF(AND(AR$4&gt;=Teams!$D$80,Teams!$D$49=1),Teams!$D$44*Params!$F$10*Teams!$D$45*Teams!$D$75+Teams!$D$44*Params!$F$10*Teams!$D$47*Teams!$D$76/1000000+Teams!$D$77+Teams!$D$50*Teams!$D$78+AR39*Teams!$D$51*Teams!$D$79/1000000,0)</f>
        <v>0</v>
      </c>
      <c r="AS45" s="44">
        <f>AS$5*IF(AND(AS$4&gt;=Teams!$D$80,Teams!$D$49=1),Teams!$D$44*Params!$F$10*Teams!$D$45*Teams!$D$75+Teams!$D$44*Params!$F$10*Teams!$D$47*Teams!$D$76/1000000+Teams!$D$77+Teams!$D$50*Teams!$D$78+AS39*Teams!$D$51*Teams!$D$79/1000000,0)</f>
        <v>0</v>
      </c>
      <c r="AT45" s="44">
        <f>AT$5*IF(AND(AT$4&gt;=Teams!$D$80,Teams!$D$49=1),Teams!$D$44*Params!$F$10*Teams!$D$45*Teams!$D$75+Teams!$D$44*Params!$F$10*Teams!$D$47*Teams!$D$76/1000000+Teams!$D$77+Teams!$D$50*Teams!$D$78+AT39*Teams!$D$51*Teams!$D$79/1000000,0)</f>
        <v>0</v>
      </c>
      <c r="AU45" s="44">
        <f>AU$5*IF(AND(AU$4&gt;=Teams!$D$80,Teams!$D$49=1),Teams!$D$44*Params!$F$10*Teams!$D$45*Teams!$D$75+Teams!$D$44*Params!$F$10*Teams!$D$47*Teams!$D$76/1000000+Teams!$D$77+Teams!$D$50*Teams!$D$78+AU39*Teams!$D$51*Teams!$D$79/1000000,0)</f>
        <v>0</v>
      </c>
      <c r="AV45" s="44">
        <f>AV$5*IF(AND(AV$4&gt;=Teams!$D$80,Teams!$D$49=1),Teams!$D$44*Params!$F$10*Teams!$D$45*Teams!$D$75+Teams!$D$44*Params!$F$10*Teams!$D$47*Teams!$D$76/1000000+Teams!$D$77+Teams!$D$50*Teams!$D$78+AV39*Teams!$D$51*Teams!$D$79/1000000,0)</f>
        <v>0</v>
      </c>
      <c r="AW45" s="44">
        <f>AW$5*IF(AND(AW$4&gt;=Teams!$D$80,Teams!$D$49=1),Teams!$D$44*Params!$F$10*Teams!$D$45*Teams!$D$75+Teams!$D$44*Params!$F$10*Teams!$D$47*Teams!$D$76/1000000+Teams!$D$77+Teams!$D$50*Teams!$D$78+AW39*Teams!$D$51*Teams!$D$79/1000000,0)</f>
        <v>0</v>
      </c>
      <c r="AX45" s="44">
        <f>AX$5*IF(AND(AX$4&gt;=Teams!$D$80,Teams!$D$49=1),Teams!$D$44*Params!$F$10*Teams!$D$45*Teams!$D$75+Teams!$D$44*Params!$F$10*Teams!$D$47*Teams!$D$76/1000000+Teams!$D$77+Teams!$D$50*Teams!$D$78+AX39*Teams!$D$51*Teams!$D$79/1000000,0)</f>
        <v>0</v>
      </c>
      <c r="AY45" s="44">
        <f>AY$5*IF(AND(AY$4&gt;=Teams!$D$80,Teams!$D$49=1),Teams!$D$44*Params!$F$10*Teams!$D$45*Teams!$D$75+Teams!$D$44*Params!$F$10*Teams!$D$47*Teams!$D$76/1000000+Teams!$D$77+Teams!$D$50*Teams!$D$78+AY39*Teams!$D$51*Teams!$D$79/1000000,0)</f>
        <v>0</v>
      </c>
      <c r="AZ45" s="44">
        <f>AZ$5*IF(AND(AZ$4&gt;=Teams!$D$80,Teams!$D$49=1),Teams!$D$44*Params!$F$10*Teams!$D$45*Teams!$D$75+Teams!$D$44*Params!$F$10*Teams!$D$47*Teams!$D$76/1000000+Teams!$D$77+Teams!$D$50*Teams!$D$78+AZ39*Teams!$D$51*Teams!$D$79/1000000,0)</f>
        <v>0</v>
      </c>
      <c r="BA45" s="44">
        <f>BA$5*IF(AND(BA$4&gt;=Teams!$D$80,Teams!$D$49=1),Teams!$D$44*Params!$F$10*Teams!$D$45*Teams!$D$75+Teams!$D$44*Params!$F$10*Teams!$D$47*Teams!$D$76/1000000+Teams!$D$77+Teams!$D$50*Teams!$D$78+BA39*Teams!$D$51*Teams!$D$79/1000000,0)</f>
        <v>0</v>
      </c>
      <c r="BB45" s="44">
        <f>BB$5*IF(AND(BB$4&gt;=Teams!$D$80,Teams!$D$49=1),Teams!$D$44*Params!$F$10*Teams!$D$45*Teams!$D$75+Teams!$D$44*Params!$F$10*Teams!$D$47*Teams!$D$76/1000000+Teams!$D$77+Teams!$D$50*Teams!$D$78+BB39*Teams!$D$51*Teams!$D$79/1000000,0)</f>
        <v>0</v>
      </c>
      <c r="BC45" s="44">
        <f>BC$5*IF(AND(BC$4&gt;=Teams!$D$80,Teams!$D$49=1),Teams!$D$44*Params!$F$10*Teams!$D$45*Teams!$D$75+Teams!$D$44*Params!$F$10*Teams!$D$47*Teams!$D$76/1000000+Teams!$D$77+Teams!$D$50*Teams!$D$78+BC39*Teams!$D$51*Teams!$D$79/1000000,0)</f>
        <v>0</v>
      </c>
      <c r="BD45" s="44">
        <f>BD$5*IF(AND(BD$4&gt;=Teams!$D$80,Teams!$D$49=1),Teams!$D$44*Params!$F$10*Teams!$D$45*Teams!$D$75+Teams!$D$44*Params!$F$10*Teams!$D$47*Teams!$D$76/1000000+Teams!$D$77+Teams!$D$50*Teams!$D$78+BD39*Teams!$D$51*Teams!$D$79/1000000,0)</f>
        <v>0</v>
      </c>
      <c r="BE45" s="44">
        <f>BE$5*IF(AND(BE$4&gt;=Teams!$D$80,Teams!$D$49=1),Teams!$D$44*Params!$F$10*Teams!$D$45*Teams!$D$75+Teams!$D$44*Params!$F$10*Teams!$D$47*Teams!$D$76/1000000+Teams!$D$77+Teams!$D$50*Teams!$D$78+BE39*Teams!$D$51*Teams!$D$79/1000000,0)</f>
        <v>0</v>
      </c>
      <c r="BF45" s="44">
        <f>BF$5*IF(AND(BF$4&gt;=Teams!$D$80,Teams!$D$49=1),Teams!$D$44*Params!$F$10*Teams!$D$45*Teams!$D$75+Teams!$D$44*Params!$F$10*Teams!$D$47*Teams!$D$76/1000000+Teams!$D$77+Teams!$D$50*Teams!$D$78+BF39*Teams!$D$51*Teams!$D$79/1000000,0)</f>
        <v>0</v>
      </c>
      <c r="BG45" s="44">
        <f>BG$5*IF(AND(BG$4&gt;=Teams!$D$80,Teams!$D$49=1),Teams!$D$44*Params!$F$10*Teams!$D$45*Teams!$D$75+Teams!$D$44*Params!$F$10*Teams!$D$47*Teams!$D$76/1000000+Teams!$D$77+Teams!$D$50*Teams!$D$78+BG39*Teams!$D$51*Teams!$D$79/1000000,0)</f>
        <v>0</v>
      </c>
      <c r="BH45" s="44">
        <f>BH$5*IF(AND(BH$4&gt;=Teams!$D$80,Teams!$D$49=1),Teams!$D$44*Params!$F$10*Teams!$D$45*Teams!$D$75+Teams!$D$44*Params!$F$10*Teams!$D$47*Teams!$D$76/1000000+Teams!$D$77+Teams!$D$50*Teams!$D$78+BH39*Teams!$D$51*Teams!$D$79/1000000,0)</f>
        <v>0</v>
      </c>
      <c r="BI45" s="44">
        <f>BI$5*IF(AND(BI$4&gt;=Teams!$D$80,Teams!$D$49=1),Teams!$D$44*Params!$F$10*Teams!$D$45*Teams!$D$75+Teams!$D$44*Params!$F$10*Teams!$D$47*Teams!$D$76/1000000+Teams!$D$77+Teams!$D$50*Teams!$D$78+BI39*Teams!$D$51*Teams!$D$79/1000000,0)</f>
        <v>0</v>
      </c>
      <c r="BJ45" s="44">
        <f>BJ$5*IF(AND(BJ$4&gt;=Teams!$D$80,Teams!$D$49=1),Teams!$D$44*Params!$F$10*Teams!$D$45*Teams!$D$75+Teams!$D$44*Params!$F$10*Teams!$D$47*Teams!$D$76/1000000+Teams!$D$77+Teams!$D$50*Teams!$D$78+BJ39*Teams!$D$51*Teams!$D$79/1000000,0)</f>
        <v>0</v>
      </c>
      <c r="BK45" s="44">
        <f>BK$5*IF(AND(BK$4&gt;=Teams!$D$80,Teams!$D$49=1),Teams!$D$44*Params!$F$10*Teams!$D$45*Teams!$D$75+Teams!$D$44*Params!$F$10*Teams!$D$47*Teams!$D$76/1000000+Teams!$D$77+Teams!$D$50*Teams!$D$78+BK39*Teams!$D$51*Teams!$D$79/1000000,0)</f>
        <v>0</v>
      </c>
      <c r="BL45" s="44">
        <f>BL$5*IF(AND(BL$4&gt;=Teams!$D$80,Teams!$D$49=1),Teams!$D$44*Params!$F$10*Teams!$D$45*Teams!$D$75+Teams!$D$44*Params!$F$10*Teams!$D$47*Teams!$D$76/1000000+Teams!$D$77+Teams!$D$50*Teams!$D$78+BL39*Teams!$D$51*Teams!$D$79/1000000,0)</f>
        <v>0</v>
      </c>
    </row>
    <row r="46" spans="1:64" x14ac:dyDescent="0.3">
      <c r="A46" s="8" t="s">
        <v>671</v>
      </c>
      <c r="B46" s="18" t="s">
        <v>169</v>
      </c>
      <c r="C46" s="44">
        <f t="shared" si="11"/>
        <v>29999.999999999985</v>
      </c>
      <c r="E46" s="44">
        <f>E$5*IF(E$4&gt;=Teams!$D$80,Teams!$D$43*Params!$F$6*Org!$B$10*Params!$F$7/12,0)</f>
        <v>833.33333333333337</v>
      </c>
      <c r="F46" s="44">
        <f>F$5*IF(F$4&gt;=Teams!$D$80,Teams!$D$43*Params!$F$6*Org!$B$10*Params!$F$7/12,0)</f>
        <v>833.33333333333337</v>
      </c>
      <c r="G46" s="44">
        <f>G$5*IF(G$4&gt;=Teams!$D$80,Teams!$D$43*Params!$F$6*Org!$B$10*Params!$F$7/12,0)</f>
        <v>833.33333333333337</v>
      </c>
      <c r="H46" s="44">
        <f>H$5*IF(H$4&gt;=Teams!$D$80,Teams!$D$43*Params!$F$6*Org!$B$10*Params!$F$7/12,0)</f>
        <v>833.33333333333337</v>
      </c>
      <c r="I46" s="44">
        <f>I$5*IF(I$4&gt;=Teams!$D$80,Teams!$D$43*Params!$F$6*Org!$B$10*Params!$F$7/12,0)</f>
        <v>833.33333333333337</v>
      </c>
      <c r="J46" s="44">
        <f>J$5*IF(J$4&gt;=Teams!$D$80,Teams!$D$43*Params!$F$6*Org!$B$10*Params!$F$7/12,0)</f>
        <v>833.33333333333337</v>
      </c>
      <c r="K46" s="44">
        <f>K$5*IF(K$4&gt;=Teams!$D$80,Teams!$D$43*Params!$F$6*Org!$B$10*Params!$F$7/12,0)</f>
        <v>833.33333333333337</v>
      </c>
      <c r="L46" s="44">
        <f>L$5*IF(L$4&gt;=Teams!$D$80,Teams!$D$43*Params!$F$6*Org!$B$10*Params!$F$7/12,0)</f>
        <v>833.33333333333337</v>
      </c>
      <c r="M46" s="44">
        <f>M$5*IF(M$4&gt;=Teams!$D$80,Teams!$D$43*Params!$F$6*Org!$B$10*Params!$F$7/12,0)</f>
        <v>833.33333333333337</v>
      </c>
      <c r="N46" s="44">
        <f>N$5*IF(N$4&gt;=Teams!$D$80,Teams!$D$43*Params!$F$6*Org!$B$10*Params!$F$7/12,0)</f>
        <v>833.33333333333337</v>
      </c>
      <c r="O46" s="44">
        <f>O$5*IF(O$4&gt;=Teams!$D$80,Teams!$D$43*Params!$F$6*Org!$B$10*Params!$F$7/12,0)</f>
        <v>833.33333333333337</v>
      </c>
      <c r="P46" s="44">
        <f>P$5*IF(P$4&gt;=Teams!$D$80,Teams!$D$43*Params!$F$6*Org!$B$10*Params!$F$7/12,0)</f>
        <v>833.33333333333337</v>
      </c>
      <c r="Q46" s="44">
        <f>Q$5*IF(Q$4&gt;=Teams!$D$80,Teams!$D$43*Params!$F$6*Org!$B$10*Params!$F$7/12,0)</f>
        <v>833.33333333333337</v>
      </c>
      <c r="R46" s="44">
        <f>R$5*IF(R$4&gt;=Teams!$D$80,Teams!$D$43*Params!$F$6*Org!$B$10*Params!$F$7/12,0)</f>
        <v>833.33333333333337</v>
      </c>
      <c r="S46" s="44">
        <f>S$5*IF(S$4&gt;=Teams!$D$80,Teams!$D$43*Params!$F$6*Org!$B$10*Params!$F$7/12,0)</f>
        <v>833.33333333333337</v>
      </c>
      <c r="T46" s="44">
        <f>T$5*IF(T$4&gt;=Teams!$D$80,Teams!$D$43*Params!$F$6*Org!$B$10*Params!$F$7/12,0)</f>
        <v>833.33333333333337</v>
      </c>
      <c r="U46" s="44">
        <f>U$5*IF(U$4&gt;=Teams!$D$80,Teams!$D$43*Params!$F$6*Org!$B$10*Params!$F$7/12,0)</f>
        <v>833.33333333333337</v>
      </c>
      <c r="V46" s="44">
        <f>V$5*IF(V$4&gt;=Teams!$D$80,Teams!$D$43*Params!$F$6*Org!$B$10*Params!$F$7/12,0)</f>
        <v>833.33333333333337</v>
      </c>
      <c r="W46" s="44">
        <f>W$5*IF(W$4&gt;=Teams!$D$80,Teams!$D$43*Params!$F$6*Org!$B$10*Params!$F$7/12,0)</f>
        <v>833.33333333333337</v>
      </c>
      <c r="X46" s="44">
        <f>X$5*IF(X$4&gt;=Teams!$D$80,Teams!$D$43*Params!$F$6*Org!$B$10*Params!$F$7/12,0)</f>
        <v>833.33333333333337</v>
      </c>
      <c r="Y46" s="44">
        <f>Y$5*IF(Y$4&gt;=Teams!$D$80,Teams!$D$43*Params!$F$6*Org!$B$10*Params!$F$7/12,0)</f>
        <v>833.33333333333337</v>
      </c>
      <c r="Z46" s="44">
        <f>Z$5*IF(Z$4&gt;=Teams!$D$80,Teams!$D$43*Params!$F$6*Org!$B$10*Params!$F$7/12,0)</f>
        <v>833.33333333333337</v>
      </c>
      <c r="AA46" s="44">
        <f>AA$5*IF(AA$4&gt;=Teams!$D$80,Teams!$D$43*Params!$F$6*Org!$B$10*Params!$F$7/12,0)</f>
        <v>833.33333333333337</v>
      </c>
      <c r="AB46" s="44">
        <f>AB$5*IF(AB$4&gt;=Teams!$D$80,Teams!$D$43*Params!$F$6*Org!$B$10*Params!$F$7/12,0)</f>
        <v>833.33333333333337</v>
      </c>
      <c r="AC46" s="44">
        <f>AC$5*IF(AC$4&gt;=Teams!$D$80,Teams!$D$43*Params!$F$6*Org!$B$10*Params!$F$7/12,0)</f>
        <v>833.33333333333337</v>
      </c>
      <c r="AD46" s="44">
        <f>AD$5*IF(AD$4&gt;=Teams!$D$80,Teams!$D$43*Params!$F$6*Org!$B$10*Params!$F$7/12,0)</f>
        <v>833.33333333333337</v>
      </c>
      <c r="AE46" s="44">
        <f>AE$5*IF(AE$4&gt;=Teams!$D$80,Teams!$D$43*Params!$F$6*Org!$B$10*Params!$F$7/12,0)</f>
        <v>833.33333333333337</v>
      </c>
      <c r="AF46" s="44">
        <f>AF$5*IF(AF$4&gt;=Teams!$D$80,Teams!$D$43*Params!$F$6*Org!$B$10*Params!$F$7/12,0)</f>
        <v>833.33333333333337</v>
      </c>
      <c r="AG46" s="44">
        <f>AG$5*IF(AG$4&gt;=Teams!$D$80,Teams!$D$43*Params!$F$6*Org!$B$10*Params!$F$7/12,0)</f>
        <v>833.33333333333337</v>
      </c>
      <c r="AH46" s="44">
        <f>AH$5*IF(AH$4&gt;=Teams!$D$80,Teams!$D$43*Params!$F$6*Org!$B$10*Params!$F$7/12,0)</f>
        <v>833.33333333333337</v>
      </c>
      <c r="AI46" s="44">
        <f>AI$5*IF(AI$4&gt;=Teams!$D$80,Teams!$D$43*Params!$F$6*Org!$B$10*Params!$F$7/12,0)</f>
        <v>833.33333333333337</v>
      </c>
      <c r="AJ46" s="44">
        <f>AJ$5*IF(AJ$4&gt;=Teams!$D$80,Teams!$D$43*Params!$F$6*Org!$B$10*Params!$F$7/12,0)</f>
        <v>833.33333333333337</v>
      </c>
      <c r="AK46" s="44">
        <f>AK$5*IF(AK$4&gt;=Teams!$D$80,Teams!$D$43*Params!$F$6*Org!$B$10*Params!$F$7/12,0)</f>
        <v>833.33333333333337</v>
      </c>
      <c r="AL46" s="44">
        <f>AL$5*IF(AL$4&gt;=Teams!$D$80,Teams!$D$43*Params!$F$6*Org!$B$10*Params!$F$7/12,0)</f>
        <v>833.33333333333337</v>
      </c>
      <c r="AM46" s="44">
        <f>AM$5*IF(AM$4&gt;=Teams!$D$80,Teams!$D$43*Params!$F$6*Org!$B$10*Params!$F$7/12,0)</f>
        <v>833.33333333333337</v>
      </c>
      <c r="AN46" s="44">
        <f>AN$5*IF(AN$4&gt;=Teams!$D$80,Teams!$D$43*Params!$F$6*Org!$B$10*Params!$F$7/12,0)</f>
        <v>833.33333333333337</v>
      </c>
      <c r="AO46" s="44">
        <f>AO$5*IF(AO$4&gt;=Teams!$D$80,Teams!$D$43*Params!$F$6*Org!$B$10*Params!$F$7/12,0)</f>
        <v>0</v>
      </c>
      <c r="AP46" s="44">
        <f>AP$5*IF(AP$4&gt;=Teams!$D$80,Teams!$D$43*Params!$F$6*Org!$B$10*Params!$F$7/12,0)</f>
        <v>0</v>
      </c>
      <c r="AQ46" s="44">
        <f>AQ$5*IF(AQ$4&gt;=Teams!$D$80,Teams!$D$43*Params!$F$6*Org!$B$10*Params!$F$7/12,0)</f>
        <v>0</v>
      </c>
      <c r="AR46" s="44">
        <f>AR$5*IF(AR$4&gt;=Teams!$D$80,Teams!$D$43*Params!$F$6*Org!$B$10*Params!$F$7/12,0)</f>
        <v>0</v>
      </c>
      <c r="AS46" s="44">
        <f>AS$5*IF(AS$4&gt;=Teams!$D$80,Teams!$D$43*Params!$F$6*Org!$B$10*Params!$F$7/12,0)</f>
        <v>0</v>
      </c>
      <c r="AT46" s="44">
        <f>AT$5*IF(AT$4&gt;=Teams!$D$80,Teams!$D$43*Params!$F$6*Org!$B$10*Params!$F$7/12,0)</f>
        <v>0</v>
      </c>
      <c r="AU46" s="44">
        <f>AU$5*IF(AU$4&gt;=Teams!$D$80,Teams!$D$43*Params!$F$6*Org!$B$10*Params!$F$7/12,0)</f>
        <v>0</v>
      </c>
      <c r="AV46" s="44">
        <f>AV$5*IF(AV$4&gt;=Teams!$D$80,Teams!$D$43*Params!$F$6*Org!$B$10*Params!$F$7/12,0)</f>
        <v>0</v>
      </c>
      <c r="AW46" s="44">
        <f>AW$5*IF(AW$4&gt;=Teams!$D$80,Teams!$D$43*Params!$F$6*Org!$B$10*Params!$F$7/12,0)</f>
        <v>0</v>
      </c>
      <c r="AX46" s="44">
        <f>AX$5*IF(AX$4&gt;=Teams!$D$80,Teams!$D$43*Params!$F$6*Org!$B$10*Params!$F$7/12,0)</f>
        <v>0</v>
      </c>
      <c r="AY46" s="44">
        <f>AY$5*IF(AY$4&gt;=Teams!$D$80,Teams!$D$43*Params!$F$6*Org!$B$10*Params!$F$7/12,0)</f>
        <v>0</v>
      </c>
      <c r="AZ46" s="44">
        <f>AZ$5*IF(AZ$4&gt;=Teams!$D$80,Teams!$D$43*Params!$F$6*Org!$B$10*Params!$F$7/12,0)</f>
        <v>0</v>
      </c>
      <c r="BA46" s="44">
        <f>BA$5*IF(BA$4&gt;=Teams!$D$80,Teams!$D$43*Params!$F$6*Org!$B$10*Params!$F$7/12,0)</f>
        <v>0</v>
      </c>
      <c r="BB46" s="44">
        <f>BB$5*IF(BB$4&gt;=Teams!$D$80,Teams!$D$43*Params!$F$6*Org!$B$10*Params!$F$7/12,0)</f>
        <v>0</v>
      </c>
      <c r="BC46" s="44">
        <f>BC$5*IF(BC$4&gt;=Teams!$D$80,Teams!$D$43*Params!$F$6*Org!$B$10*Params!$F$7/12,0)</f>
        <v>0</v>
      </c>
      <c r="BD46" s="44">
        <f>BD$5*IF(BD$4&gt;=Teams!$D$80,Teams!$D$43*Params!$F$6*Org!$B$10*Params!$F$7/12,0)</f>
        <v>0</v>
      </c>
      <c r="BE46" s="44">
        <f>BE$5*IF(BE$4&gt;=Teams!$D$80,Teams!$D$43*Params!$F$6*Org!$B$10*Params!$F$7/12,0)</f>
        <v>0</v>
      </c>
      <c r="BF46" s="44">
        <f>BF$5*IF(BF$4&gt;=Teams!$D$80,Teams!$D$43*Params!$F$6*Org!$B$10*Params!$F$7/12,0)</f>
        <v>0</v>
      </c>
      <c r="BG46" s="44">
        <f>BG$5*IF(BG$4&gt;=Teams!$D$80,Teams!$D$43*Params!$F$6*Org!$B$10*Params!$F$7/12,0)</f>
        <v>0</v>
      </c>
      <c r="BH46" s="44">
        <f>BH$5*IF(BH$4&gt;=Teams!$D$80,Teams!$D$43*Params!$F$6*Org!$B$10*Params!$F$7/12,0)</f>
        <v>0</v>
      </c>
      <c r="BI46" s="44">
        <f>BI$5*IF(BI$4&gt;=Teams!$D$80,Teams!$D$43*Params!$F$6*Org!$B$10*Params!$F$7/12,0)</f>
        <v>0</v>
      </c>
      <c r="BJ46" s="44">
        <f>BJ$5*IF(BJ$4&gt;=Teams!$D$80,Teams!$D$43*Params!$F$6*Org!$B$10*Params!$F$7/12,0)</f>
        <v>0</v>
      </c>
      <c r="BK46" s="44">
        <f>BK$5*IF(BK$4&gt;=Teams!$D$80,Teams!$D$43*Params!$F$6*Org!$B$10*Params!$F$7/12,0)</f>
        <v>0</v>
      </c>
      <c r="BL46" s="44">
        <f>BL$5*IF(BL$4&gt;=Teams!$D$80,Teams!$D$43*Params!$F$6*Org!$B$10*Params!$F$7/12,0)</f>
        <v>0</v>
      </c>
    </row>
    <row r="47" spans="1:64" x14ac:dyDescent="0.3">
      <c r="A47" s="8" t="s">
        <v>672</v>
      </c>
      <c r="B47" s="18" t="s">
        <v>169</v>
      </c>
      <c r="C47" s="44">
        <f t="shared" si="11"/>
        <v>1404479.9999999995</v>
      </c>
      <c r="E47" s="44">
        <f>E$5*IF(E$4&gt;=Teams!$D$80,Params!$F$23*Params!$F$24/60*(Org!$B$10/Org!$B$11)+Params!$F$27/12*Params!$F$13*Org!$B$10+E38/1000*Params!$F$28*Params!$F$29*(Org!$B$10/Org!$B$11),0)</f>
        <v>36293.333333333328</v>
      </c>
      <c r="F47" s="44">
        <f>F$5*IF(F$4&gt;=Teams!$D$80,Params!$F$23*Params!$F$24/60*(Org!$B$10/Org!$B$11)+Params!$F$27/12*Params!$F$13*Org!$B$10+F38/1000*Params!$F$28*Params!$F$29*(Org!$B$10/Org!$B$11),0)</f>
        <v>37253.333333333328</v>
      </c>
      <c r="G47" s="44">
        <f>G$5*IF(G$4&gt;=Teams!$D$80,Params!$F$23*Params!$F$24/60*(Org!$B$10/Org!$B$11)+Params!$F$27/12*Params!$F$13*Org!$B$10+G38/1000*Params!$F$28*Params!$F$29*(Org!$B$10/Org!$B$11),0)</f>
        <v>38213.333333333328</v>
      </c>
      <c r="H47" s="44">
        <f>H$5*IF(H$4&gt;=Teams!$D$80,Params!$F$23*Params!$F$24/60*(Org!$B$10/Org!$B$11)+Params!$F$27/12*Params!$F$13*Org!$B$10+H38/1000*Params!$F$28*Params!$F$29*(Org!$B$10/Org!$B$11),0)</f>
        <v>39173.333333333328</v>
      </c>
      <c r="I47" s="44">
        <f>I$5*IF(I$4&gt;=Teams!$D$80,Params!$F$23*Params!$F$24/60*(Org!$B$10/Org!$B$11)+Params!$F$27/12*Params!$F$13*Org!$B$10+I38/1000*Params!$F$28*Params!$F$29*(Org!$B$10/Org!$B$11),0)</f>
        <v>39173.333333333328</v>
      </c>
      <c r="J47" s="44">
        <f>J$5*IF(J$4&gt;=Teams!$D$80,Params!$F$23*Params!$F$24/60*(Org!$B$10/Org!$B$11)+Params!$F$27/12*Params!$F$13*Org!$B$10+J38/1000*Params!$F$28*Params!$F$29*(Org!$B$10/Org!$B$11),0)</f>
        <v>39173.333333333328</v>
      </c>
      <c r="K47" s="44">
        <f>K$5*IF(K$4&gt;=Teams!$D$80,Params!$F$23*Params!$F$24/60*(Org!$B$10/Org!$B$11)+Params!$F$27/12*Params!$F$13*Org!$B$10+K38/1000*Params!$F$28*Params!$F$29*(Org!$B$10/Org!$B$11),0)</f>
        <v>39173.333333333328</v>
      </c>
      <c r="L47" s="44">
        <f>L$5*IF(L$4&gt;=Teams!$D$80,Params!$F$23*Params!$F$24/60*(Org!$B$10/Org!$B$11)+Params!$F$27/12*Params!$F$13*Org!$B$10+L38/1000*Params!$F$28*Params!$F$29*(Org!$B$10/Org!$B$11),0)</f>
        <v>39173.333333333328</v>
      </c>
      <c r="M47" s="44">
        <f>M$5*IF(M$4&gt;=Teams!$D$80,Params!$F$23*Params!$F$24/60*(Org!$B$10/Org!$B$11)+Params!$F$27/12*Params!$F$13*Org!$B$10+M38/1000*Params!$F$28*Params!$F$29*(Org!$B$10/Org!$B$11),0)</f>
        <v>39173.333333333328</v>
      </c>
      <c r="N47" s="44">
        <f>N$5*IF(N$4&gt;=Teams!$D$80,Params!$F$23*Params!$F$24/60*(Org!$B$10/Org!$B$11)+Params!$F$27/12*Params!$F$13*Org!$B$10+N38/1000*Params!$F$28*Params!$F$29*(Org!$B$10/Org!$B$11),0)</f>
        <v>39173.333333333328</v>
      </c>
      <c r="O47" s="44">
        <f>O$5*IF(O$4&gt;=Teams!$D$80,Params!$F$23*Params!$F$24/60*(Org!$B$10/Org!$B$11)+Params!$F$27/12*Params!$F$13*Org!$B$10+O38/1000*Params!$F$28*Params!$F$29*(Org!$B$10/Org!$B$11),0)</f>
        <v>39173.333333333328</v>
      </c>
      <c r="P47" s="44">
        <f>P$5*IF(P$4&gt;=Teams!$D$80,Params!$F$23*Params!$F$24/60*(Org!$B$10/Org!$B$11)+Params!$F$27/12*Params!$F$13*Org!$B$10+P38/1000*Params!$F$28*Params!$F$29*(Org!$B$10/Org!$B$11),0)</f>
        <v>39173.333333333328</v>
      </c>
      <c r="Q47" s="44">
        <f>Q$5*IF(Q$4&gt;=Teams!$D$80,Params!$F$23*Params!$F$24/60*(Org!$B$10/Org!$B$11)+Params!$F$27/12*Params!$F$13*Org!$B$10+Q38/1000*Params!$F$28*Params!$F$29*(Org!$B$10/Org!$B$11),0)</f>
        <v>39173.333333333328</v>
      </c>
      <c r="R47" s="44">
        <f>R$5*IF(R$4&gt;=Teams!$D$80,Params!$F$23*Params!$F$24/60*(Org!$B$10/Org!$B$11)+Params!$F$27/12*Params!$F$13*Org!$B$10+R38/1000*Params!$F$28*Params!$F$29*(Org!$B$10/Org!$B$11),0)</f>
        <v>39173.333333333328</v>
      </c>
      <c r="S47" s="44">
        <f>S$5*IF(S$4&gt;=Teams!$D$80,Params!$F$23*Params!$F$24/60*(Org!$B$10/Org!$B$11)+Params!$F$27/12*Params!$F$13*Org!$B$10+S38/1000*Params!$F$28*Params!$F$29*(Org!$B$10/Org!$B$11),0)</f>
        <v>39173.333333333328</v>
      </c>
      <c r="T47" s="44">
        <f>T$5*IF(T$4&gt;=Teams!$D$80,Params!$F$23*Params!$F$24/60*(Org!$B$10/Org!$B$11)+Params!$F$27/12*Params!$F$13*Org!$B$10+T38/1000*Params!$F$28*Params!$F$29*(Org!$B$10/Org!$B$11),0)</f>
        <v>39173.333333333328</v>
      </c>
      <c r="U47" s="44">
        <f>U$5*IF(U$4&gt;=Teams!$D$80,Params!$F$23*Params!$F$24/60*(Org!$B$10/Org!$B$11)+Params!$F$27/12*Params!$F$13*Org!$B$10+U38/1000*Params!$F$28*Params!$F$29*(Org!$B$10/Org!$B$11),0)</f>
        <v>39173.333333333328</v>
      </c>
      <c r="V47" s="44">
        <f>V$5*IF(V$4&gt;=Teams!$D$80,Params!$F$23*Params!$F$24/60*(Org!$B$10/Org!$B$11)+Params!$F$27/12*Params!$F$13*Org!$B$10+V38/1000*Params!$F$28*Params!$F$29*(Org!$B$10/Org!$B$11),0)</f>
        <v>39173.333333333328</v>
      </c>
      <c r="W47" s="44">
        <f>W$5*IF(W$4&gt;=Teams!$D$80,Params!$F$23*Params!$F$24/60*(Org!$B$10/Org!$B$11)+Params!$F$27/12*Params!$F$13*Org!$B$10+W38/1000*Params!$F$28*Params!$F$29*(Org!$B$10/Org!$B$11),0)</f>
        <v>39173.333333333328</v>
      </c>
      <c r="X47" s="44">
        <f>X$5*IF(X$4&gt;=Teams!$D$80,Params!$F$23*Params!$F$24/60*(Org!$B$10/Org!$B$11)+Params!$F$27/12*Params!$F$13*Org!$B$10+X38/1000*Params!$F$28*Params!$F$29*(Org!$B$10/Org!$B$11),0)</f>
        <v>39173.333333333328</v>
      </c>
      <c r="Y47" s="44">
        <f>Y$5*IF(Y$4&gt;=Teams!$D$80,Params!$F$23*Params!$F$24/60*(Org!$B$10/Org!$B$11)+Params!$F$27/12*Params!$F$13*Org!$B$10+Y38/1000*Params!$F$28*Params!$F$29*(Org!$B$10/Org!$B$11),0)</f>
        <v>39173.333333333328</v>
      </c>
      <c r="Z47" s="44">
        <f>Z$5*IF(Z$4&gt;=Teams!$D$80,Params!$F$23*Params!$F$24/60*(Org!$B$10/Org!$B$11)+Params!$F$27/12*Params!$F$13*Org!$B$10+Z38/1000*Params!$F$28*Params!$F$29*(Org!$B$10/Org!$B$11),0)</f>
        <v>39173.333333333328</v>
      </c>
      <c r="AA47" s="44">
        <f>AA$5*IF(AA$4&gt;=Teams!$D$80,Params!$F$23*Params!$F$24/60*(Org!$B$10/Org!$B$11)+Params!$F$27/12*Params!$F$13*Org!$B$10+AA38/1000*Params!$F$28*Params!$F$29*(Org!$B$10/Org!$B$11),0)</f>
        <v>39173.333333333328</v>
      </c>
      <c r="AB47" s="44">
        <f>AB$5*IF(AB$4&gt;=Teams!$D$80,Params!$F$23*Params!$F$24/60*(Org!$B$10/Org!$B$11)+Params!$F$27/12*Params!$F$13*Org!$B$10+AB38/1000*Params!$F$28*Params!$F$29*(Org!$B$10/Org!$B$11),0)</f>
        <v>39173.333333333328</v>
      </c>
      <c r="AC47" s="44">
        <f>AC$5*IF(AC$4&gt;=Teams!$D$80,Params!$F$23*Params!$F$24/60*(Org!$B$10/Org!$B$11)+Params!$F$27/12*Params!$F$13*Org!$B$10+AC38/1000*Params!$F$28*Params!$F$29*(Org!$B$10/Org!$B$11),0)</f>
        <v>39173.333333333328</v>
      </c>
      <c r="AD47" s="44">
        <f>AD$5*IF(AD$4&gt;=Teams!$D$80,Params!$F$23*Params!$F$24/60*(Org!$B$10/Org!$B$11)+Params!$F$27/12*Params!$F$13*Org!$B$10+AD38/1000*Params!$F$28*Params!$F$29*(Org!$B$10/Org!$B$11),0)</f>
        <v>39173.333333333328</v>
      </c>
      <c r="AE47" s="44">
        <f>AE$5*IF(AE$4&gt;=Teams!$D$80,Params!$F$23*Params!$F$24/60*(Org!$B$10/Org!$B$11)+Params!$F$27/12*Params!$F$13*Org!$B$10+AE38/1000*Params!$F$28*Params!$F$29*(Org!$B$10/Org!$B$11),0)</f>
        <v>39173.333333333328</v>
      </c>
      <c r="AF47" s="44">
        <f>AF$5*IF(AF$4&gt;=Teams!$D$80,Params!$F$23*Params!$F$24/60*(Org!$B$10/Org!$B$11)+Params!$F$27/12*Params!$F$13*Org!$B$10+AF38/1000*Params!$F$28*Params!$F$29*(Org!$B$10/Org!$B$11),0)</f>
        <v>39173.333333333328</v>
      </c>
      <c r="AG47" s="44">
        <f>AG$5*IF(AG$4&gt;=Teams!$D$80,Params!$F$23*Params!$F$24/60*(Org!$B$10/Org!$B$11)+Params!$F$27/12*Params!$F$13*Org!$B$10+AG38/1000*Params!$F$28*Params!$F$29*(Org!$B$10/Org!$B$11),0)</f>
        <v>39173.333333333328</v>
      </c>
      <c r="AH47" s="44">
        <f>AH$5*IF(AH$4&gt;=Teams!$D$80,Params!$F$23*Params!$F$24/60*(Org!$B$10/Org!$B$11)+Params!$F$27/12*Params!$F$13*Org!$B$10+AH38/1000*Params!$F$28*Params!$F$29*(Org!$B$10/Org!$B$11),0)</f>
        <v>39173.333333333328</v>
      </c>
      <c r="AI47" s="44">
        <f>AI$5*IF(AI$4&gt;=Teams!$D$80,Params!$F$23*Params!$F$24/60*(Org!$B$10/Org!$B$11)+Params!$F$27/12*Params!$F$13*Org!$B$10+AI38/1000*Params!$F$28*Params!$F$29*(Org!$B$10/Org!$B$11),0)</f>
        <v>39173.333333333328</v>
      </c>
      <c r="AJ47" s="44">
        <f>AJ$5*IF(AJ$4&gt;=Teams!$D$80,Params!$F$23*Params!$F$24/60*(Org!$B$10/Org!$B$11)+Params!$F$27/12*Params!$F$13*Org!$B$10+AJ38/1000*Params!$F$28*Params!$F$29*(Org!$B$10/Org!$B$11),0)</f>
        <v>39173.333333333328</v>
      </c>
      <c r="AK47" s="44">
        <f>AK$5*IF(AK$4&gt;=Teams!$D$80,Params!$F$23*Params!$F$24/60*(Org!$B$10/Org!$B$11)+Params!$F$27/12*Params!$F$13*Org!$B$10+AK38/1000*Params!$F$28*Params!$F$29*(Org!$B$10/Org!$B$11),0)</f>
        <v>39173.333333333328</v>
      </c>
      <c r="AL47" s="44">
        <f>AL$5*IF(AL$4&gt;=Teams!$D$80,Params!$F$23*Params!$F$24/60*(Org!$B$10/Org!$B$11)+Params!$F$27/12*Params!$F$13*Org!$B$10+AL38/1000*Params!$F$28*Params!$F$29*(Org!$B$10/Org!$B$11),0)</f>
        <v>39173.333333333328</v>
      </c>
      <c r="AM47" s="44">
        <f>AM$5*IF(AM$4&gt;=Teams!$D$80,Params!$F$23*Params!$F$24/60*(Org!$B$10/Org!$B$11)+Params!$F$27/12*Params!$F$13*Org!$B$10+AM38/1000*Params!$F$28*Params!$F$29*(Org!$B$10/Org!$B$11),0)</f>
        <v>39173.333333333328</v>
      </c>
      <c r="AN47" s="44">
        <f>AN$5*IF(AN$4&gt;=Teams!$D$80,Params!$F$23*Params!$F$24/60*(Org!$B$10/Org!$B$11)+Params!$F$27/12*Params!$F$13*Org!$B$10+AN38/1000*Params!$F$28*Params!$F$29*(Org!$B$10/Org!$B$11),0)</f>
        <v>39173.333333333328</v>
      </c>
      <c r="AO47" s="44">
        <f>AO$5*IF(AO$4&gt;=Teams!$D$80,Params!$F$23*Params!$F$24/60*(Org!$B$10/Org!$B$11)+Params!$F$27/12*Params!$F$13*Org!$B$10+AO38/1000*Params!$F$28*Params!$F$29*(Org!$B$10/Org!$B$11),0)</f>
        <v>0</v>
      </c>
      <c r="AP47" s="44">
        <f>AP$5*IF(AP$4&gt;=Teams!$D$80,Params!$F$23*Params!$F$24/60*(Org!$B$10/Org!$B$11)+Params!$F$27/12*Params!$F$13*Org!$B$10+AP38/1000*Params!$F$28*Params!$F$29*(Org!$B$10/Org!$B$11),0)</f>
        <v>0</v>
      </c>
      <c r="AQ47" s="44">
        <f>AQ$5*IF(AQ$4&gt;=Teams!$D$80,Params!$F$23*Params!$F$24/60*(Org!$B$10/Org!$B$11)+Params!$F$27/12*Params!$F$13*Org!$B$10+AQ38/1000*Params!$F$28*Params!$F$29*(Org!$B$10/Org!$B$11),0)</f>
        <v>0</v>
      </c>
      <c r="AR47" s="44">
        <f>AR$5*IF(AR$4&gt;=Teams!$D$80,Params!$F$23*Params!$F$24/60*(Org!$B$10/Org!$B$11)+Params!$F$27/12*Params!$F$13*Org!$B$10+AR38/1000*Params!$F$28*Params!$F$29*(Org!$B$10/Org!$B$11),0)</f>
        <v>0</v>
      </c>
      <c r="AS47" s="44">
        <f>AS$5*IF(AS$4&gt;=Teams!$D$80,Params!$F$23*Params!$F$24/60*(Org!$B$10/Org!$B$11)+Params!$F$27/12*Params!$F$13*Org!$B$10+AS38/1000*Params!$F$28*Params!$F$29*(Org!$B$10/Org!$B$11),0)</f>
        <v>0</v>
      </c>
      <c r="AT47" s="44">
        <f>AT$5*IF(AT$4&gt;=Teams!$D$80,Params!$F$23*Params!$F$24/60*(Org!$B$10/Org!$B$11)+Params!$F$27/12*Params!$F$13*Org!$B$10+AT38/1000*Params!$F$28*Params!$F$29*(Org!$B$10/Org!$B$11),0)</f>
        <v>0</v>
      </c>
      <c r="AU47" s="44">
        <f>AU$5*IF(AU$4&gt;=Teams!$D$80,Params!$F$23*Params!$F$24/60*(Org!$B$10/Org!$B$11)+Params!$F$27/12*Params!$F$13*Org!$B$10+AU38/1000*Params!$F$28*Params!$F$29*(Org!$B$10/Org!$B$11),0)</f>
        <v>0</v>
      </c>
      <c r="AV47" s="44">
        <f>AV$5*IF(AV$4&gt;=Teams!$D$80,Params!$F$23*Params!$F$24/60*(Org!$B$10/Org!$B$11)+Params!$F$27/12*Params!$F$13*Org!$B$10+AV38/1000*Params!$F$28*Params!$F$29*(Org!$B$10/Org!$B$11),0)</f>
        <v>0</v>
      </c>
      <c r="AW47" s="44">
        <f>AW$5*IF(AW$4&gt;=Teams!$D$80,Params!$F$23*Params!$F$24/60*(Org!$B$10/Org!$B$11)+Params!$F$27/12*Params!$F$13*Org!$B$10+AW38/1000*Params!$F$28*Params!$F$29*(Org!$B$10/Org!$B$11),0)</f>
        <v>0</v>
      </c>
      <c r="AX47" s="44">
        <f>AX$5*IF(AX$4&gt;=Teams!$D$80,Params!$F$23*Params!$F$24/60*(Org!$B$10/Org!$B$11)+Params!$F$27/12*Params!$F$13*Org!$B$10+AX38/1000*Params!$F$28*Params!$F$29*(Org!$B$10/Org!$B$11),0)</f>
        <v>0</v>
      </c>
      <c r="AY47" s="44">
        <f>AY$5*IF(AY$4&gt;=Teams!$D$80,Params!$F$23*Params!$F$24/60*(Org!$B$10/Org!$B$11)+Params!$F$27/12*Params!$F$13*Org!$B$10+AY38/1000*Params!$F$28*Params!$F$29*(Org!$B$10/Org!$B$11),0)</f>
        <v>0</v>
      </c>
      <c r="AZ47" s="44">
        <f>AZ$5*IF(AZ$4&gt;=Teams!$D$80,Params!$F$23*Params!$F$24/60*(Org!$B$10/Org!$B$11)+Params!$F$27/12*Params!$F$13*Org!$B$10+AZ38/1000*Params!$F$28*Params!$F$29*(Org!$B$10/Org!$B$11),0)</f>
        <v>0</v>
      </c>
      <c r="BA47" s="44">
        <f>BA$5*IF(BA$4&gt;=Teams!$D$80,Params!$F$23*Params!$F$24/60*(Org!$B$10/Org!$B$11)+Params!$F$27/12*Params!$F$13*Org!$B$10+BA38/1000*Params!$F$28*Params!$F$29*(Org!$B$10/Org!$B$11),0)</f>
        <v>0</v>
      </c>
      <c r="BB47" s="44">
        <f>BB$5*IF(BB$4&gt;=Teams!$D$80,Params!$F$23*Params!$F$24/60*(Org!$B$10/Org!$B$11)+Params!$F$27/12*Params!$F$13*Org!$B$10+BB38/1000*Params!$F$28*Params!$F$29*(Org!$B$10/Org!$B$11),0)</f>
        <v>0</v>
      </c>
      <c r="BC47" s="44">
        <f>BC$5*IF(BC$4&gt;=Teams!$D$80,Params!$F$23*Params!$F$24/60*(Org!$B$10/Org!$B$11)+Params!$F$27/12*Params!$F$13*Org!$B$10+BC38/1000*Params!$F$28*Params!$F$29*(Org!$B$10/Org!$B$11),0)</f>
        <v>0</v>
      </c>
      <c r="BD47" s="44">
        <f>BD$5*IF(BD$4&gt;=Teams!$D$80,Params!$F$23*Params!$F$24/60*(Org!$B$10/Org!$B$11)+Params!$F$27/12*Params!$F$13*Org!$B$10+BD38/1000*Params!$F$28*Params!$F$29*(Org!$B$10/Org!$B$11),0)</f>
        <v>0</v>
      </c>
      <c r="BE47" s="44">
        <f>BE$5*IF(BE$4&gt;=Teams!$D$80,Params!$F$23*Params!$F$24/60*(Org!$B$10/Org!$B$11)+Params!$F$27/12*Params!$F$13*Org!$B$10+BE38/1000*Params!$F$28*Params!$F$29*(Org!$B$10/Org!$B$11),0)</f>
        <v>0</v>
      </c>
      <c r="BF47" s="44">
        <f>BF$5*IF(BF$4&gt;=Teams!$D$80,Params!$F$23*Params!$F$24/60*(Org!$B$10/Org!$B$11)+Params!$F$27/12*Params!$F$13*Org!$B$10+BF38/1000*Params!$F$28*Params!$F$29*(Org!$B$10/Org!$B$11),0)</f>
        <v>0</v>
      </c>
      <c r="BG47" s="44">
        <f>BG$5*IF(BG$4&gt;=Teams!$D$80,Params!$F$23*Params!$F$24/60*(Org!$B$10/Org!$B$11)+Params!$F$27/12*Params!$F$13*Org!$B$10+BG38/1000*Params!$F$28*Params!$F$29*(Org!$B$10/Org!$B$11),0)</f>
        <v>0</v>
      </c>
      <c r="BH47" s="44">
        <f>BH$5*IF(BH$4&gt;=Teams!$D$80,Params!$F$23*Params!$F$24/60*(Org!$B$10/Org!$B$11)+Params!$F$27/12*Params!$F$13*Org!$B$10+BH38/1000*Params!$F$28*Params!$F$29*(Org!$B$10/Org!$B$11),0)</f>
        <v>0</v>
      </c>
      <c r="BI47" s="44">
        <f>BI$5*IF(BI$4&gt;=Teams!$D$80,Params!$F$23*Params!$F$24/60*(Org!$B$10/Org!$B$11)+Params!$F$27/12*Params!$F$13*Org!$B$10+BI38/1000*Params!$F$28*Params!$F$29*(Org!$B$10/Org!$B$11),0)</f>
        <v>0</v>
      </c>
      <c r="BJ47" s="44">
        <f>BJ$5*IF(BJ$4&gt;=Teams!$D$80,Params!$F$23*Params!$F$24/60*(Org!$B$10/Org!$B$11)+Params!$F$27/12*Params!$F$13*Org!$B$10+BJ38/1000*Params!$F$28*Params!$F$29*(Org!$B$10/Org!$B$11),0)</f>
        <v>0</v>
      </c>
      <c r="BK47" s="44">
        <f>BK$5*IF(BK$4&gt;=Teams!$D$80,Params!$F$23*Params!$F$24/60*(Org!$B$10/Org!$B$11)+Params!$F$27/12*Params!$F$13*Org!$B$10+BK38/1000*Params!$F$28*Params!$F$29*(Org!$B$10/Org!$B$11),0)</f>
        <v>0</v>
      </c>
      <c r="BL47" s="44">
        <f>BL$5*IF(BL$4&gt;=Teams!$D$80,Params!$F$23*Params!$F$24/60*(Org!$B$10/Org!$B$11)+Params!$F$27/12*Params!$F$13*Org!$B$10+BL38/1000*Params!$F$28*Params!$F$29*(Org!$B$10/Org!$B$11),0)</f>
        <v>0</v>
      </c>
    </row>
    <row r="48" spans="1:64" x14ac:dyDescent="0.3">
      <c r="A48" s="8" t="s">
        <v>673</v>
      </c>
      <c r="B48" s="18" t="s">
        <v>604</v>
      </c>
      <c r="C48" s="44">
        <f t="shared" si="11"/>
        <v>54400</v>
      </c>
      <c r="E48" s="44">
        <f>E$5*IF(AND(E$4&gt;Teams!$D$80,MOD(E$4-Teams!$D$80,MAX(1,ROUND(Params!$F$25,0)))=0),(Params!$F$26+Params!$F$17*Params!$F$16)*Org!$B$10,0)</f>
        <v>0</v>
      </c>
      <c r="F48" s="44">
        <f>F$5*IF(AND(F$4&gt;Teams!$D$80,MOD(F$4-Teams!$D$80,MAX(1,ROUND(Params!$F$25,0)))=0),(Params!$F$26+Params!$F$17*Params!$F$16)*Org!$B$10,0)</f>
        <v>0</v>
      </c>
      <c r="G48" s="44">
        <f>G$5*IF(AND(G$4&gt;Teams!$D$80,MOD(G$4-Teams!$D$80,MAX(1,ROUND(Params!$F$25,0)))=0),(Params!$F$26+Params!$F$17*Params!$F$16)*Org!$B$10,0)</f>
        <v>0</v>
      </c>
      <c r="H48" s="44">
        <f>H$5*IF(AND(H$4&gt;Teams!$D$80,MOD(H$4-Teams!$D$80,MAX(1,ROUND(Params!$F$25,0)))=0),(Params!$F$26+Params!$F$17*Params!$F$16)*Org!$B$10,0)</f>
        <v>0</v>
      </c>
      <c r="I48" s="44">
        <f>I$5*IF(AND(I$4&gt;Teams!$D$80,MOD(I$4-Teams!$D$80,MAX(1,ROUND(Params!$F$25,0)))=0),(Params!$F$26+Params!$F$17*Params!$F$16)*Org!$B$10,0)</f>
        <v>0</v>
      </c>
      <c r="J48" s="44">
        <f>J$5*IF(AND(J$4&gt;Teams!$D$80,MOD(J$4-Teams!$D$80,MAX(1,ROUND(Params!$F$25,0)))=0),(Params!$F$26+Params!$F$17*Params!$F$16)*Org!$B$10,0)</f>
        <v>0</v>
      </c>
      <c r="K48" s="44">
        <f>K$5*IF(AND(K$4&gt;Teams!$D$80,MOD(K$4-Teams!$D$80,MAX(1,ROUND(Params!$F$25,0)))=0),(Params!$F$26+Params!$F$17*Params!$F$16)*Org!$B$10,0)</f>
        <v>0</v>
      </c>
      <c r="L48" s="44">
        <f>L$5*IF(AND(L$4&gt;Teams!$D$80,MOD(L$4-Teams!$D$80,MAX(1,ROUND(Params!$F$25,0)))=0),(Params!$F$26+Params!$F$17*Params!$F$16)*Org!$B$10,0)</f>
        <v>0</v>
      </c>
      <c r="M48" s="44">
        <f>M$5*IF(AND(M$4&gt;Teams!$D$80,MOD(M$4-Teams!$D$80,MAX(1,ROUND(Params!$F$25,0)))=0),(Params!$F$26+Params!$F$17*Params!$F$16)*Org!$B$10,0)</f>
        <v>0</v>
      </c>
      <c r="N48" s="44">
        <f>N$5*IF(AND(N$4&gt;Teams!$D$80,MOD(N$4-Teams!$D$80,MAX(1,ROUND(Params!$F$25,0)))=0),(Params!$F$26+Params!$F$17*Params!$F$16)*Org!$B$10,0)</f>
        <v>0</v>
      </c>
      <c r="O48" s="44">
        <f>O$5*IF(AND(O$4&gt;Teams!$D$80,MOD(O$4-Teams!$D$80,MAX(1,ROUND(Params!$F$25,0)))=0),(Params!$F$26+Params!$F$17*Params!$F$16)*Org!$B$10,0)</f>
        <v>0</v>
      </c>
      <c r="P48" s="44">
        <f>P$5*IF(AND(P$4&gt;Teams!$D$80,MOD(P$4-Teams!$D$80,MAX(1,ROUND(Params!$F$25,0)))=0),(Params!$F$26+Params!$F$17*Params!$F$16)*Org!$B$10,0)</f>
        <v>0</v>
      </c>
      <c r="Q48" s="44">
        <f>Q$5*IF(AND(Q$4&gt;Teams!$D$80,MOD(Q$4-Teams!$D$80,MAX(1,ROUND(Params!$F$25,0)))=0),(Params!$F$26+Params!$F$17*Params!$F$16)*Org!$B$10,0)</f>
        <v>27200</v>
      </c>
      <c r="R48" s="44">
        <f>R$5*IF(AND(R$4&gt;Teams!$D$80,MOD(R$4-Teams!$D$80,MAX(1,ROUND(Params!$F$25,0)))=0),(Params!$F$26+Params!$F$17*Params!$F$16)*Org!$B$10,0)</f>
        <v>0</v>
      </c>
      <c r="S48" s="44">
        <f>S$5*IF(AND(S$4&gt;Teams!$D$80,MOD(S$4-Teams!$D$80,MAX(1,ROUND(Params!$F$25,0)))=0),(Params!$F$26+Params!$F$17*Params!$F$16)*Org!$B$10,0)</f>
        <v>0</v>
      </c>
      <c r="T48" s="44">
        <f>T$5*IF(AND(T$4&gt;Teams!$D$80,MOD(T$4-Teams!$D$80,MAX(1,ROUND(Params!$F$25,0)))=0),(Params!$F$26+Params!$F$17*Params!$F$16)*Org!$B$10,0)</f>
        <v>0</v>
      </c>
      <c r="U48" s="44">
        <f>U$5*IF(AND(U$4&gt;Teams!$D$80,MOD(U$4-Teams!$D$80,MAX(1,ROUND(Params!$F$25,0)))=0),(Params!$F$26+Params!$F$17*Params!$F$16)*Org!$B$10,0)</f>
        <v>0</v>
      </c>
      <c r="V48" s="44">
        <f>V$5*IF(AND(V$4&gt;Teams!$D$80,MOD(V$4-Teams!$D$80,MAX(1,ROUND(Params!$F$25,0)))=0),(Params!$F$26+Params!$F$17*Params!$F$16)*Org!$B$10,0)</f>
        <v>0</v>
      </c>
      <c r="W48" s="44">
        <f>W$5*IF(AND(W$4&gt;Teams!$D$80,MOD(W$4-Teams!$D$80,MAX(1,ROUND(Params!$F$25,0)))=0),(Params!$F$26+Params!$F$17*Params!$F$16)*Org!$B$10,0)</f>
        <v>0</v>
      </c>
      <c r="X48" s="44">
        <f>X$5*IF(AND(X$4&gt;Teams!$D$80,MOD(X$4-Teams!$D$80,MAX(1,ROUND(Params!$F$25,0)))=0),(Params!$F$26+Params!$F$17*Params!$F$16)*Org!$B$10,0)</f>
        <v>0</v>
      </c>
      <c r="Y48" s="44">
        <f>Y$5*IF(AND(Y$4&gt;Teams!$D$80,MOD(Y$4-Teams!$D$80,MAX(1,ROUND(Params!$F$25,0)))=0),(Params!$F$26+Params!$F$17*Params!$F$16)*Org!$B$10,0)</f>
        <v>0</v>
      </c>
      <c r="Z48" s="44">
        <f>Z$5*IF(AND(Z$4&gt;Teams!$D$80,MOD(Z$4-Teams!$D$80,MAX(1,ROUND(Params!$F$25,0)))=0),(Params!$F$26+Params!$F$17*Params!$F$16)*Org!$B$10,0)</f>
        <v>0</v>
      </c>
      <c r="AA48" s="44">
        <f>AA$5*IF(AND(AA$4&gt;Teams!$D$80,MOD(AA$4-Teams!$D$80,MAX(1,ROUND(Params!$F$25,0)))=0),(Params!$F$26+Params!$F$17*Params!$F$16)*Org!$B$10,0)</f>
        <v>0</v>
      </c>
      <c r="AB48" s="44">
        <f>AB$5*IF(AND(AB$4&gt;Teams!$D$80,MOD(AB$4-Teams!$D$80,MAX(1,ROUND(Params!$F$25,0)))=0),(Params!$F$26+Params!$F$17*Params!$F$16)*Org!$B$10,0)</f>
        <v>0</v>
      </c>
      <c r="AC48" s="44">
        <f>AC$5*IF(AND(AC$4&gt;Teams!$D$80,MOD(AC$4-Teams!$D$80,MAX(1,ROUND(Params!$F$25,0)))=0),(Params!$F$26+Params!$F$17*Params!$F$16)*Org!$B$10,0)</f>
        <v>27200</v>
      </c>
      <c r="AD48" s="44">
        <f>AD$5*IF(AND(AD$4&gt;Teams!$D$80,MOD(AD$4-Teams!$D$80,MAX(1,ROUND(Params!$F$25,0)))=0),(Params!$F$26+Params!$F$17*Params!$F$16)*Org!$B$10,0)</f>
        <v>0</v>
      </c>
      <c r="AE48" s="44">
        <f>AE$5*IF(AND(AE$4&gt;Teams!$D$80,MOD(AE$4-Teams!$D$80,MAX(1,ROUND(Params!$F$25,0)))=0),(Params!$F$26+Params!$F$17*Params!$F$16)*Org!$B$10,0)</f>
        <v>0</v>
      </c>
      <c r="AF48" s="44">
        <f>AF$5*IF(AND(AF$4&gt;Teams!$D$80,MOD(AF$4-Teams!$D$80,MAX(1,ROUND(Params!$F$25,0)))=0),(Params!$F$26+Params!$F$17*Params!$F$16)*Org!$B$10,0)</f>
        <v>0</v>
      </c>
      <c r="AG48" s="44">
        <f>AG$5*IF(AND(AG$4&gt;Teams!$D$80,MOD(AG$4-Teams!$D$80,MAX(1,ROUND(Params!$F$25,0)))=0),(Params!$F$26+Params!$F$17*Params!$F$16)*Org!$B$10,0)</f>
        <v>0</v>
      </c>
      <c r="AH48" s="44">
        <f>AH$5*IF(AND(AH$4&gt;Teams!$D$80,MOD(AH$4-Teams!$D$80,MAX(1,ROUND(Params!$F$25,0)))=0),(Params!$F$26+Params!$F$17*Params!$F$16)*Org!$B$10,0)</f>
        <v>0</v>
      </c>
      <c r="AI48" s="44">
        <f>AI$5*IF(AND(AI$4&gt;Teams!$D$80,MOD(AI$4-Teams!$D$80,MAX(1,ROUND(Params!$F$25,0)))=0),(Params!$F$26+Params!$F$17*Params!$F$16)*Org!$B$10,0)</f>
        <v>0</v>
      </c>
      <c r="AJ48" s="44">
        <f>AJ$5*IF(AND(AJ$4&gt;Teams!$D$80,MOD(AJ$4-Teams!$D$80,MAX(1,ROUND(Params!$F$25,0)))=0),(Params!$F$26+Params!$F$17*Params!$F$16)*Org!$B$10,0)</f>
        <v>0</v>
      </c>
      <c r="AK48" s="44">
        <f>AK$5*IF(AND(AK$4&gt;Teams!$D$80,MOD(AK$4-Teams!$D$80,MAX(1,ROUND(Params!$F$25,0)))=0),(Params!$F$26+Params!$F$17*Params!$F$16)*Org!$B$10,0)</f>
        <v>0</v>
      </c>
      <c r="AL48" s="44">
        <f>AL$5*IF(AND(AL$4&gt;Teams!$D$80,MOD(AL$4-Teams!$D$80,MAX(1,ROUND(Params!$F$25,0)))=0),(Params!$F$26+Params!$F$17*Params!$F$16)*Org!$B$10,0)</f>
        <v>0</v>
      </c>
      <c r="AM48" s="44">
        <f>AM$5*IF(AND(AM$4&gt;Teams!$D$80,MOD(AM$4-Teams!$D$80,MAX(1,ROUND(Params!$F$25,0)))=0),(Params!$F$26+Params!$F$17*Params!$F$16)*Org!$B$10,0)</f>
        <v>0</v>
      </c>
      <c r="AN48" s="44">
        <f>AN$5*IF(AND(AN$4&gt;Teams!$D$80,MOD(AN$4-Teams!$D$80,MAX(1,ROUND(Params!$F$25,0)))=0),(Params!$F$26+Params!$F$17*Params!$F$16)*Org!$B$10,0)</f>
        <v>0</v>
      </c>
      <c r="AO48" s="44">
        <f>AO$5*IF(AND(AO$4&gt;Teams!$D$80,MOD(AO$4-Teams!$D$80,MAX(1,ROUND(Params!$F$25,0)))=0),(Params!$F$26+Params!$F$17*Params!$F$16)*Org!$B$10,0)</f>
        <v>0</v>
      </c>
      <c r="AP48" s="44">
        <f>AP$5*IF(AND(AP$4&gt;Teams!$D$80,MOD(AP$4-Teams!$D$80,MAX(1,ROUND(Params!$F$25,0)))=0),(Params!$F$26+Params!$F$17*Params!$F$16)*Org!$B$10,0)</f>
        <v>0</v>
      </c>
      <c r="AQ48" s="44">
        <f>AQ$5*IF(AND(AQ$4&gt;Teams!$D$80,MOD(AQ$4-Teams!$D$80,MAX(1,ROUND(Params!$F$25,0)))=0),(Params!$F$26+Params!$F$17*Params!$F$16)*Org!$B$10,0)</f>
        <v>0</v>
      </c>
      <c r="AR48" s="44">
        <f>AR$5*IF(AND(AR$4&gt;Teams!$D$80,MOD(AR$4-Teams!$D$80,MAX(1,ROUND(Params!$F$25,0)))=0),(Params!$F$26+Params!$F$17*Params!$F$16)*Org!$B$10,0)</f>
        <v>0</v>
      </c>
      <c r="AS48" s="44">
        <f>AS$5*IF(AND(AS$4&gt;Teams!$D$80,MOD(AS$4-Teams!$D$80,MAX(1,ROUND(Params!$F$25,0)))=0),(Params!$F$26+Params!$F$17*Params!$F$16)*Org!$B$10,0)</f>
        <v>0</v>
      </c>
      <c r="AT48" s="44">
        <f>AT$5*IF(AND(AT$4&gt;Teams!$D$80,MOD(AT$4-Teams!$D$80,MAX(1,ROUND(Params!$F$25,0)))=0),(Params!$F$26+Params!$F$17*Params!$F$16)*Org!$B$10,0)</f>
        <v>0</v>
      </c>
      <c r="AU48" s="44">
        <f>AU$5*IF(AND(AU$4&gt;Teams!$D$80,MOD(AU$4-Teams!$D$80,MAX(1,ROUND(Params!$F$25,0)))=0),(Params!$F$26+Params!$F$17*Params!$F$16)*Org!$B$10,0)</f>
        <v>0</v>
      </c>
      <c r="AV48" s="44">
        <f>AV$5*IF(AND(AV$4&gt;Teams!$D$80,MOD(AV$4-Teams!$D$80,MAX(1,ROUND(Params!$F$25,0)))=0),(Params!$F$26+Params!$F$17*Params!$F$16)*Org!$B$10,0)</f>
        <v>0</v>
      </c>
      <c r="AW48" s="44">
        <f>AW$5*IF(AND(AW$4&gt;Teams!$D$80,MOD(AW$4-Teams!$D$80,MAX(1,ROUND(Params!$F$25,0)))=0),(Params!$F$26+Params!$F$17*Params!$F$16)*Org!$B$10,0)</f>
        <v>0</v>
      </c>
      <c r="AX48" s="44">
        <f>AX$5*IF(AND(AX$4&gt;Teams!$D$80,MOD(AX$4-Teams!$D$80,MAX(1,ROUND(Params!$F$25,0)))=0),(Params!$F$26+Params!$F$17*Params!$F$16)*Org!$B$10,0)</f>
        <v>0</v>
      </c>
      <c r="AY48" s="44">
        <f>AY$5*IF(AND(AY$4&gt;Teams!$D$80,MOD(AY$4-Teams!$D$80,MAX(1,ROUND(Params!$F$25,0)))=0),(Params!$F$26+Params!$F$17*Params!$F$16)*Org!$B$10,0)</f>
        <v>0</v>
      </c>
      <c r="AZ48" s="44">
        <f>AZ$5*IF(AND(AZ$4&gt;Teams!$D$80,MOD(AZ$4-Teams!$D$80,MAX(1,ROUND(Params!$F$25,0)))=0),(Params!$F$26+Params!$F$17*Params!$F$16)*Org!$B$10,0)</f>
        <v>0</v>
      </c>
      <c r="BA48" s="44">
        <f>BA$5*IF(AND(BA$4&gt;Teams!$D$80,MOD(BA$4-Teams!$D$80,MAX(1,ROUND(Params!$F$25,0)))=0),(Params!$F$26+Params!$F$17*Params!$F$16)*Org!$B$10,0)</f>
        <v>0</v>
      </c>
      <c r="BB48" s="44">
        <f>BB$5*IF(AND(BB$4&gt;Teams!$D$80,MOD(BB$4-Teams!$D$80,MAX(1,ROUND(Params!$F$25,0)))=0),(Params!$F$26+Params!$F$17*Params!$F$16)*Org!$B$10,0)</f>
        <v>0</v>
      </c>
      <c r="BC48" s="44">
        <f>BC$5*IF(AND(BC$4&gt;Teams!$D$80,MOD(BC$4-Teams!$D$80,MAX(1,ROUND(Params!$F$25,0)))=0),(Params!$F$26+Params!$F$17*Params!$F$16)*Org!$B$10,0)</f>
        <v>0</v>
      </c>
      <c r="BD48" s="44">
        <f>BD$5*IF(AND(BD$4&gt;Teams!$D$80,MOD(BD$4-Teams!$D$80,MAX(1,ROUND(Params!$F$25,0)))=0),(Params!$F$26+Params!$F$17*Params!$F$16)*Org!$B$10,0)</f>
        <v>0</v>
      </c>
      <c r="BE48" s="44">
        <f>BE$5*IF(AND(BE$4&gt;Teams!$D$80,MOD(BE$4-Teams!$D$80,MAX(1,ROUND(Params!$F$25,0)))=0),(Params!$F$26+Params!$F$17*Params!$F$16)*Org!$B$10,0)</f>
        <v>0</v>
      </c>
      <c r="BF48" s="44">
        <f>BF$5*IF(AND(BF$4&gt;Teams!$D$80,MOD(BF$4-Teams!$D$80,MAX(1,ROUND(Params!$F$25,0)))=0),(Params!$F$26+Params!$F$17*Params!$F$16)*Org!$B$10,0)</f>
        <v>0</v>
      </c>
      <c r="BG48" s="44">
        <f>BG$5*IF(AND(BG$4&gt;Teams!$D$80,MOD(BG$4-Teams!$D$80,MAX(1,ROUND(Params!$F$25,0)))=0),(Params!$F$26+Params!$F$17*Params!$F$16)*Org!$B$10,0)</f>
        <v>0</v>
      </c>
      <c r="BH48" s="44">
        <f>BH$5*IF(AND(BH$4&gt;Teams!$D$80,MOD(BH$4-Teams!$D$80,MAX(1,ROUND(Params!$F$25,0)))=0),(Params!$F$26+Params!$F$17*Params!$F$16)*Org!$B$10,0)</f>
        <v>0</v>
      </c>
      <c r="BI48" s="44">
        <f>BI$5*IF(AND(BI$4&gt;Teams!$D$80,MOD(BI$4-Teams!$D$80,MAX(1,ROUND(Params!$F$25,0)))=0),(Params!$F$26+Params!$F$17*Params!$F$16)*Org!$B$10,0)</f>
        <v>0</v>
      </c>
      <c r="BJ48" s="44">
        <f>BJ$5*IF(AND(BJ$4&gt;Teams!$D$80,MOD(BJ$4-Teams!$D$80,MAX(1,ROUND(Params!$F$25,0)))=0),(Params!$F$26+Params!$F$17*Params!$F$16)*Org!$B$10,0)</f>
        <v>0</v>
      </c>
      <c r="BK48" s="44">
        <f>BK$5*IF(AND(BK$4&gt;Teams!$D$80,MOD(BK$4-Teams!$D$80,MAX(1,ROUND(Params!$F$25,0)))=0),(Params!$F$26+Params!$F$17*Params!$F$16)*Org!$B$10,0)</f>
        <v>0</v>
      </c>
      <c r="BL48" s="44">
        <f>BL$5*IF(AND(BL$4&gt;Teams!$D$80,MOD(BL$4-Teams!$D$80,MAX(1,ROUND(Params!$F$25,0)))=0),(Params!$F$26+Params!$F$17*Params!$F$16)*Org!$B$10,0)</f>
        <v>0</v>
      </c>
    </row>
    <row r="49" spans="1:64" x14ac:dyDescent="0.3">
      <c r="A49" s="8" t="s">
        <v>674</v>
      </c>
      <c r="B49" s="18" t="s">
        <v>604</v>
      </c>
      <c r="C49" s="44">
        <f t="shared" si="11"/>
        <v>8282649.5999999959</v>
      </c>
      <c r="E49" s="44">
        <f>E$5*E39*MIN(1,Teams!$D$41*Params!$F$35)*Params!$F$36/60*Teams!$D$42</f>
        <v>60019.199999999997</v>
      </c>
      <c r="F49" s="44">
        <f>F$5*F39*MIN(1,Teams!$D$41*Params!$F$35)*Params!$F$36/60*Teams!$D$42</f>
        <v>120038.39999999999</v>
      </c>
      <c r="G49" s="44">
        <f>G$5*G39*MIN(1,Teams!$D$41*Params!$F$35)*Params!$F$36/60*Teams!$D$42</f>
        <v>180057.60000000001</v>
      </c>
      <c r="H49" s="44">
        <f>H$5*H39*MIN(1,Teams!$D$41*Params!$F$35)*Params!$F$36/60*Teams!$D$42</f>
        <v>240076.79999999999</v>
      </c>
      <c r="I49" s="44">
        <f>I$5*I39*MIN(1,Teams!$D$41*Params!$F$35)*Params!$F$36/60*Teams!$D$42</f>
        <v>240076.79999999999</v>
      </c>
      <c r="J49" s="44">
        <f>J$5*J39*MIN(1,Teams!$D$41*Params!$F$35)*Params!$F$36/60*Teams!$D$42</f>
        <v>240076.79999999999</v>
      </c>
      <c r="K49" s="44">
        <f>K$5*K39*MIN(1,Teams!$D$41*Params!$F$35)*Params!$F$36/60*Teams!$D$42</f>
        <v>240076.79999999999</v>
      </c>
      <c r="L49" s="44">
        <f>L$5*L39*MIN(1,Teams!$D$41*Params!$F$35)*Params!$F$36/60*Teams!$D$42</f>
        <v>240076.79999999999</v>
      </c>
      <c r="M49" s="44">
        <f>M$5*M39*MIN(1,Teams!$D$41*Params!$F$35)*Params!$F$36/60*Teams!$D$42</f>
        <v>240076.79999999999</v>
      </c>
      <c r="N49" s="44">
        <f>N$5*N39*MIN(1,Teams!$D$41*Params!$F$35)*Params!$F$36/60*Teams!$D$42</f>
        <v>240076.79999999999</v>
      </c>
      <c r="O49" s="44">
        <f>O$5*O39*MIN(1,Teams!$D$41*Params!$F$35)*Params!$F$36/60*Teams!$D$42</f>
        <v>240076.79999999999</v>
      </c>
      <c r="P49" s="44">
        <f>P$5*P39*MIN(1,Teams!$D$41*Params!$F$35)*Params!$F$36/60*Teams!$D$42</f>
        <v>240076.79999999999</v>
      </c>
      <c r="Q49" s="44">
        <f>Q$5*Q39*MIN(1,Teams!$D$41*Params!$F$35)*Params!$F$36/60*Teams!$D$42</f>
        <v>240076.79999999999</v>
      </c>
      <c r="R49" s="44">
        <f>R$5*R39*MIN(1,Teams!$D$41*Params!$F$35)*Params!$F$36/60*Teams!$D$42</f>
        <v>240076.79999999999</v>
      </c>
      <c r="S49" s="44">
        <f>S$5*S39*MIN(1,Teams!$D$41*Params!$F$35)*Params!$F$36/60*Teams!$D$42</f>
        <v>240076.79999999999</v>
      </c>
      <c r="T49" s="44">
        <f>T$5*T39*MIN(1,Teams!$D$41*Params!$F$35)*Params!$F$36/60*Teams!$D$42</f>
        <v>240076.79999999999</v>
      </c>
      <c r="U49" s="44">
        <f>U$5*U39*MIN(1,Teams!$D$41*Params!$F$35)*Params!$F$36/60*Teams!$D$42</f>
        <v>240076.79999999999</v>
      </c>
      <c r="V49" s="44">
        <f>V$5*V39*MIN(1,Teams!$D$41*Params!$F$35)*Params!$F$36/60*Teams!$D$42</f>
        <v>240076.79999999999</v>
      </c>
      <c r="W49" s="44">
        <f>W$5*W39*MIN(1,Teams!$D$41*Params!$F$35)*Params!$F$36/60*Teams!$D$42</f>
        <v>240076.79999999999</v>
      </c>
      <c r="X49" s="44">
        <f>X$5*X39*MIN(1,Teams!$D$41*Params!$F$35)*Params!$F$36/60*Teams!$D$42</f>
        <v>240076.79999999999</v>
      </c>
      <c r="Y49" s="44">
        <f>Y$5*Y39*MIN(1,Teams!$D$41*Params!$F$35)*Params!$F$36/60*Teams!$D$42</f>
        <v>240076.79999999999</v>
      </c>
      <c r="Z49" s="44">
        <f>Z$5*Z39*MIN(1,Teams!$D$41*Params!$F$35)*Params!$F$36/60*Teams!$D$42</f>
        <v>240076.79999999999</v>
      </c>
      <c r="AA49" s="44">
        <f>AA$5*AA39*MIN(1,Teams!$D$41*Params!$F$35)*Params!$F$36/60*Teams!$D$42</f>
        <v>240076.79999999999</v>
      </c>
      <c r="AB49" s="44">
        <f>AB$5*AB39*MIN(1,Teams!$D$41*Params!$F$35)*Params!$F$36/60*Teams!$D$42</f>
        <v>240076.79999999999</v>
      </c>
      <c r="AC49" s="44">
        <f>AC$5*AC39*MIN(1,Teams!$D$41*Params!$F$35)*Params!$F$36/60*Teams!$D$42</f>
        <v>240076.79999999999</v>
      </c>
      <c r="AD49" s="44">
        <f>AD$5*AD39*MIN(1,Teams!$D$41*Params!$F$35)*Params!$F$36/60*Teams!$D$42</f>
        <v>240076.79999999999</v>
      </c>
      <c r="AE49" s="44">
        <f>AE$5*AE39*MIN(1,Teams!$D$41*Params!$F$35)*Params!$F$36/60*Teams!$D$42</f>
        <v>240076.79999999999</v>
      </c>
      <c r="AF49" s="44">
        <f>AF$5*AF39*MIN(1,Teams!$D$41*Params!$F$35)*Params!$F$36/60*Teams!$D$42</f>
        <v>240076.79999999999</v>
      </c>
      <c r="AG49" s="44">
        <f>AG$5*AG39*MIN(1,Teams!$D$41*Params!$F$35)*Params!$F$36/60*Teams!$D$42</f>
        <v>240076.79999999999</v>
      </c>
      <c r="AH49" s="44">
        <f>AH$5*AH39*MIN(1,Teams!$D$41*Params!$F$35)*Params!$F$36/60*Teams!$D$42</f>
        <v>240076.79999999999</v>
      </c>
      <c r="AI49" s="44">
        <f>AI$5*AI39*MIN(1,Teams!$D$41*Params!$F$35)*Params!$F$36/60*Teams!$D$42</f>
        <v>240076.79999999999</v>
      </c>
      <c r="AJ49" s="44">
        <f>AJ$5*AJ39*MIN(1,Teams!$D$41*Params!$F$35)*Params!$F$36/60*Teams!$D$42</f>
        <v>240076.79999999999</v>
      </c>
      <c r="AK49" s="44">
        <f>AK$5*AK39*MIN(1,Teams!$D$41*Params!$F$35)*Params!$F$36/60*Teams!$D$42</f>
        <v>240076.79999999999</v>
      </c>
      <c r="AL49" s="44">
        <f>AL$5*AL39*MIN(1,Teams!$D$41*Params!$F$35)*Params!$F$36/60*Teams!$D$42</f>
        <v>240076.79999999999</v>
      </c>
      <c r="AM49" s="44">
        <f>AM$5*AM39*MIN(1,Teams!$D$41*Params!$F$35)*Params!$F$36/60*Teams!$D$42</f>
        <v>240076.79999999999</v>
      </c>
      <c r="AN49" s="44">
        <f>AN$5*AN39*MIN(1,Teams!$D$41*Params!$F$35)*Params!$F$36/60*Teams!$D$42</f>
        <v>240076.79999999999</v>
      </c>
      <c r="AO49" s="44">
        <f>AO$5*AO39*MIN(1,Teams!$D$41*Params!$F$35)*Params!$F$36/60*Teams!$D$42</f>
        <v>0</v>
      </c>
      <c r="AP49" s="44">
        <f>AP$5*AP39*MIN(1,Teams!$D$41*Params!$F$35)*Params!$F$36/60*Teams!$D$42</f>
        <v>0</v>
      </c>
      <c r="AQ49" s="44">
        <f>AQ$5*AQ39*MIN(1,Teams!$D$41*Params!$F$35)*Params!$F$36/60*Teams!$D$42</f>
        <v>0</v>
      </c>
      <c r="AR49" s="44">
        <f>AR$5*AR39*MIN(1,Teams!$D$41*Params!$F$35)*Params!$F$36/60*Teams!$D$42</f>
        <v>0</v>
      </c>
      <c r="AS49" s="44">
        <f>AS$5*AS39*MIN(1,Teams!$D$41*Params!$F$35)*Params!$F$36/60*Teams!$D$42</f>
        <v>0</v>
      </c>
      <c r="AT49" s="44">
        <f>AT$5*AT39*MIN(1,Teams!$D$41*Params!$F$35)*Params!$F$36/60*Teams!$D$42</f>
        <v>0</v>
      </c>
      <c r="AU49" s="44">
        <f>AU$5*AU39*MIN(1,Teams!$D$41*Params!$F$35)*Params!$F$36/60*Teams!$D$42</f>
        <v>0</v>
      </c>
      <c r="AV49" s="44">
        <f>AV$5*AV39*MIN(1,Teams!$D$41*Params!$F$35)*Params!$F$36/60*Teams!$D$42</f>
        <v>0</v>
      </c>
      <c r="AW49" s="44">
        <f>AW$5*AW39*MIN(1,Teams!$D$41*Params!$F$35)*Params!$F$36/60*Teams!$D$42</f>
        <v>0</v>
      </c>
      <c r="AX49" s="44">
        <f>AX$5*AX39*MIN(1,Teams!$D$41*Params!$F$35)*Params!$F$36/60*Teams!$D$42</f>
        <v>0</v>
      </c>
      <c r="AY49" s="44">
        <f>AY$5*AY39*MIN(1,Teams!$D$41*Params!$F$35)*Params!$F$36/60*Teams!$D$42</f>
        <v>0</v>
      </c>
      <c r="AZ49" s="44">
        <f>AZ$5*AZ39*MIN(1,Teams!$D$41*Params!$F$35)*Params!$F$36/60*Teams!$D$42</f>
        <v>0</v>
      </c>
      <c r="BA49" s="44">
        <f>BA$5*BA39*MIN(1,Teams!$D$41*Params!$F$35)*Params!$F$36/60*Teams!$D$42</f>
        <v>0</v>
      </c>
      <c r="BB49" s="44">
        <f>BB$5*BB39*MIN(1,Teams!$D$41*Params!$F$35)*Params!$F$36/60*Teams!$D$42</f>
        <v>0</v>
      </c>
      <c r="BC49" s="44">
        <f>BC$5*BC39*MIN(1,Teams!$D$41*Params!$F$35)*Params!$F$36/60*Teams!$D$42</f>
        <v>0</v>
      </c>
      <c r="BD49" s="44">
        <f>BD$5*BD39*MIN(1,Teams!$D$41*Params!$F$35)*Params!$F$36/60*Teams!$D$42</f>
        <v>0</v>
      </c>
      <c r="BE49" s="44">
        <f>BE$5*BE39*MIN(1,Teams!$D$41*Params!$F$35)*Params!$F$36/60*Teams!$D$42</f>
        <v>0</v>
      </c>
      <c r="BF49" s="44">
        <f>BF$5*BF39*MIN(1,Teams!$D$41*Params!$F$35)*Params!$F$36/60*Teams!$D$42</f>
        <v>0</v>
      </c>
      <c r="BG49" s="44">
        <f>BG$5*BG39*MIN(1,Teams!$D$41*Params!$F$35)*Params!$F$36/60*Teams!$D$42</f>
        <v>0</v>
      </c>
      <c r="BH49" s="44">
        <f>BH$5*BH39*MIN(1,Teams!$D$41*Params!$F$35)*Params!$F$36/60*Teams!$D$42</f>
        <v>0</v>
      </c>
      <c r="BI49" s="44">
        <f>BI$5*BI39*MIN(1,Teams!$D$41*Params!$F$35)*Params!$F$36/60*Teams!$D$42</f>
        <v>0</v>
      </c>
      <c r="BJ49" s="44">
        <f>BJ$5*BJ39*MIN(1,Teams!$D$41*Params!$F$35)*Params!$F$36/60*Teams!$D$42</f>
        <v>0</v>
      </c>
      <c r="BK49" s="44">
        <f>BK$5*BK39*MIN(1,Teams!$D$41*Params!$F$35)*Params!$F$36/60*Teams!$D$42</f>
        <v>0</v>
      </c>
      <c r="BL49" s="44">
        <f>BL$5*BL39*MIN(1,Teams!$D$41*Params!$F$35)*Params!$F$36/60*Teams!$D$42</f>
        <v>0</v>
      </c>
    </row>
    <row r="50" spans="1:64" x14ac:dyDescent="0.3">
      <c r="A50" s="8" t="s">
        <v>675</v>
      </c>
      <c r="B50" s="18" t="s">
        <v>169</v>
      </c>
      <c r="C50" s="44">
        <f t="shared" si="11"/>
        <v>70400.000000000044</v>
      </c>
      <c r="E50" s="44">
        <f>E$5*IF(E$4&gt;=Teams!$D$80,E37/1000*IF(E$4-Teams!$D$80&lt;6,Params!$F$37,Params!$F$38)*Org!$B$10*Org!$B$12/12,0)</f>
        <v>5866.666666666667</v>
      </c>
      <c r="F50" s="44">
        <f>F$5*IF(F$4&gt;=Teams!$D$80,F37/1000*IF(F$4-Teams!$D$80&lt;6,Params!$F$37,Params!$F$38)*Org!$B$10*Org!$B$12/12,0)</f>
        <v>5866.666666666667</v>
      </c>
      <c r="G50" s="44">
        <f>G$5*IF(G$4&gt;=Teams!$D$80,G37/1000*IF(G$4-Teams!$D$80&lt;6,Params!$F$37,Params!$F$38)*Org!$B$10*Org!$B$12/12,0)</f>
        <v>5866.666666666667</v>
      </c>
      <c r="H50" s="44">
        <f>H$5*IF(H$4&gt;=Teams!$D$80,H37/1000*IF(H$4-Teams!$D$80&lt;6,Params!$F$37,Params!$F$38)*Org!$B$10*Org!$B$12/12,0)</f>
        <v>5866.666666666667</v>
      </c>
      <c r="I50" s="44">
        <f>I$5*IF(I$4&gt;=Teams!$D$80,I37/1000*IF(I$4-Teams!$D$80&lt;6,Params!$F$37,Params!$F$38)*Org!$B$10*Org!$B$12/12,0)</f>
        <v>5866.666666666667</v>
      </c>
      <c r="J50" s="44">
        <f>J$5*IF(J$4&gt;=Teams!$D$80,J37/1000*IF(J$4-Teams!$D$80&lt;6,Params!$F$37,Params!$F$38)*Org!$B$10*Org!$B$12/12,0)</f>
        <v>5866.666666666667</v>
      </c>
      <c r="K50" s="44">
        <f>K$5*IF(K$4&gt;=Teams!$D$80,K37/1000*IF(K$4-Teams!$D$80&lt;6,Params!$F$37,Params!$F$38)*Org!$B$10*Org!$B$12/12,0)</f>
        <v>1173.3333333333337</v>
      </c>
      <c r="L50" s="44">
        <f>L$5*IF(L$4&gt;=Teams!$D$80,L37/1000*IF(L$4-Teams!$D$80&lt;6,Params!$F$37,Params!$F$38)*Org!$B$10*Org!$B$12/12,0)</f>
        <v>1173.3333333333337</v>
      </c>
      <c r="M50" s="44">
        <f>M$5*IF(M$4&gt;=Teams!$D$80,M37/1000*IF(M$4-Teams!$D$80&lt;6,Params!$F$37,Params!$F$38)*Org!$B$10*Org!$B$12/12,0)</f>
        <v>1173.3333333333337</v>
      </c>
      <c r="N50" s="44">
        <f>N$5*IF(N$4&gt;=Teams!$D$80,N37/1000*IF(N$4-Teams!$D$80&lt;6,Params!$F$37,Params!$F$38)*Org!$B$10*Org!$B$12/12,0)</f>
        <v>1173.3333333333337</v>
      </c>
      <c r="O50" s="44">
        <f>O$5*IF(O$4&gt;=Teams!$D$80,O37/1000*IF(O$4-Teams!$D$80&lt;6,Params!$F$37,Params!$F$38)*Org!$B$10*Org!$B$12/12,0)</f>
        <v>1173.3333333333337</v>
      </c>
      <c r="P50" s="44">
        <f>P$5*IF(P$4&gt;=Teams!$D$80,P37/1000*IF(P$4-Teams!$D$80&lt;6,Params!$F$37,Params!$F$38)*Org!$B$10*Org!$B$12/12,0)</f>
        <v>1173.3333333333337</v>
      </c>
      <c r="Q50" s="44">
        <f>Q$5*IF(Q$4&gt;=Teams!$D$80,Q37/1000*IF(Q$4-Teams!$D$80&lt;6,Params!$F$37,Params!$F$38)*Org!$B$10*Org!$B$12/12,0)</f>
        <v>1173.3333333333337</v>
      </c>
      <c r="R50" s="44">
        <f>R$5*IF(R$4&gt;=Teams!$D$80,R37/1000*IF(R$4-Teams!$D$80&lt;6,Params!$F$37,Params!$F$38)*Org!$B$10*Org!$B$12/12,0)</f>
        <v>1173.3333333333337</v>
      </c>
      <c r="S50" s="44">
        <f>S$5*IF(S$4&gt;=Teams!$D$80,S37/1000*IF(S$4-Teams!$D$80&lt;6,Params!$F$37,Params!$F$38)*Org!$B$10*Org!$B$12/12,0)</f>
        <v>1173.3333333333337</v>
      </c>
      <c r="T50" s="44">
        <f>T$5*IF(T$4&gt;=Teams!$D$80,T37/1000*IF(T$4-Teams!$D$80&lt;6,Params!$F$37,Params!$F$38)*Org!$B$10*Org!$B$12/12,0)</f>
        <v>1173.3333333333337</v>
      </c>
      <c r="U50" s="44">
        <f>U$5*IF(U$4&gt;=Teams!$D$80,U37/1000*IF(U$4-Teams!$D$80&lt;6,Params!$F$37,Params!$F$38)*Org!$B$10*Org!$B$12/12,0)</f>
        <v>1173.3333333333337</v>
      </c>
      <c r="V50" s="44">
        <f>V$5*IF(V$4&gt;=Teams!$D$80,V37/1000*IF(V$4-Teams!$D$80&lt;6,Params!$F$37,Params!$F$38)*Org!$B$10*Org!$B$12/12,0)</f>
        <v>1173.3333333333337</v>
      </c>
      <c r="W50" s="44">
        <f>W$5*IF(W$4&gt;=Teams!$D$80,W37/1000*IF(W$4-Teams!$D$80&lt;6,Params!$F$37,Params!$F$38)*Org!$B$10*Org!$B$12/12,0)</f>
        <v>1173.3333333333337</v>
      </c>
      <c r="X50" s="44">
        <f>X$5*IF(X$4&gt;=Teams!$D$80,X37/1000*IF(X$4-Teams!$D$80&lt;6,Params!$F$37,Params!$F$38)*Org!$B$10*Org!$B$12/12,0)</f>
        <v>1173.3333333333337</v>
      </c>
      <c r="Y50" s="44">
        <f>Y$5*IF(Y$4&gt;=Teams!$D$80,Y37/1000*IF(Y$4-Teams!$D$80&lt;6,Params!$F$37,Params!$F$38)*Org!$B$10*Org!$B$12/12,0)</f>
        <v>1173.3333333333337</v>
      </c>
      <c r="Z50" s="44">
        <f>Z$5*IF(Z$4&gt;=Teams!$D$80,Z37/1000*IF(Z$4-Teams!$D$80&lt;6,Params!$F$37,Params!$F$38)*Org!$B$10*Org!$B$12/12,0)</f>
        <v>1173.3333333333337</v>
      </c>
      <c r="AA50" s="44">
        <f>AA$5*IF(AA$4&gt;=Teams!$D$80,AA37/1000*IF(AA$4-Teams!$D$80&lt;6,Params!$F$37,Params!$F$38)*Org!$B$10*Org!$B$12/12,0)</f>
        <v>1173.3333333333337</v>
      </c>
      <c r="AB50" s="44">
        <f>AB$5*IF(AB$4&gt;=Teams!$D$80,AB37/1000*IF(AB$4-Teams!$D$80&lt;6,Params!$F$37,Params!$F$38)*Org!$B$10*Org!$B$12/12,0)</f>
        <v>1173.3333333333337</v>
      </c>
      <c r="AC50" s="44">
        <f>AC$5*IF(AC$4&gt;=Teams!$D$80,AC37/1000*IF(AC$4-Teams!$D$80&lt;6,Params!$F$37,Params!$F$38)*Org!$B$10*Org!$B$12/12,0)</f>
        <v>1173.3333333333337</v>
      </c>
      <c r="AD50" s="44">
        <f>AD$5*IF(AD$4&gt;=Teams!$D$80,AD37/1000*IF(AD$4-Teams!$D$80&lt;6,Params!$F$37,Params!$F$38)*Org!$B$10*Org!$B$12/12,0)</f>
        <v>1173.3333333333337</v>
      </c>
      <c r="AE50" s="44">
        <f>AE$5*IF(AE$4&gt;=Teams!$D$80,AE37/1000*IF(AE$4-Teams!$D$80&lt;6,Params!$F$37,Params!$F$38)*Org!$B$10*Org!$B$12/12,0)</f>
        <v>1173.3333333333337</v>
      </c>
      <c r="AF50" s="44">
        <f>AF$5*IF(AF$4&gt;=Teams!$D$80,AF37/1000*IF(AF$4-Teams!$D$80&lt;6,Params!$F$37,Params!$F$38)*Org!$B$10*Org!$B$12/12,0)</f>
        <v>1173.3333333333337</v>
      </c>
      <c r="AG50" s="44">
        <f>AG$5*IF(AG$4&gt;=Teams!$D$80,AG37/1000*IF(AG$4-Teams!$D$80&lt;6,Params!$F$37,Params!$F$38)*Org!$B$10*Org!$B$12/12,0)</f>
        <v>1173.3333333333337</v>
      </c>
      <c r="AH50" s="44">
        <f>AH$5*IF(AH$4&gt;=Teams!$D$80,AH37/1000*IF(AH$4-Teams!$D$80&lt;6,Params!$F$37,Params!$F$38)*Org!$B$10*Org!$B$12/12,0)</f>
        <v>1173.3333333333337</v>
      </c>
      <c r="AI50" s="44">
        <f>AI$5*IF(AI$4&gt;=Teams!$D$80,AI37/1000*IF(AI$4-Teams!$D$80&lt;6,Params!$F$37,Params!$F$38)*Org!$B$10*Org!$B$12/12,0)</f>
        <v>1173.3333333333337</v>
      </c>
      <c r="AJ50" s="44">
        <f>AJ$5*IF(AJ$4&gt;=Teams!$D$80,AJ37/1000*IF(AJ$4-Teams!$D$80&lt;6,Params!$F$37,Params!$F$38)*Org!$B$10*Org!$B$12/12,0)</f>
        <v>1173.3333333333337</v>
      </c>
      <c r="AK50" s="44">
        <f>AK$5*IF(AK$4&gt;=Teams!$D$80,AK37/1000*IF(AK$4-Teams!$D$80&lt;6,Params!$F$37,Params!$F$38)*Org!$B$10*Org!$B$12/12,0)</f>
        <v>1173.3333333333337</v>
      </c>
      <c r="AL50" s="44">
        <f>AL$5*IF(AL$4&gt;=Teams!$D$80,AL37/1000*IF(AL$4-Teams!$D$80&lt;6,Params!$F$37,Params!$F$38)*Org!$B$10*Org!$B$12/12,0)</f>
        <v>1173.3333333333337</v>
      </c>
      <c r="AM50" s="44">
        <f>AM$5*IF(AM$4&gt;=Teams!$D$80,AM37/1000*IF(AM$4-Teams!$D$80&lt;6,Params!$F$37,Params!$F$38)*Org!$B$10*Org!$B$12/12,0)</f>
        <v>1173.3333333333337</v>
      </c>
      <c r="AN50" s="44">
        <f>AN$5*IF(AN$4&gt;=Teams!$D$80,AN37/1000*IF(AN$4-Teams!$D$80&lt;6,Params!$F$37,Params!$F$38)*Org!$B$10*Org!$B$12/12,0)</f>
        <v>1173.3333333333337</v>
      </c>
      <c r="AO50" s="44">
        <f>AO$5*IF(AO$4&gt;=Teams!$D$80,AO37/1000*IF(AO$4-Teams!$D$80&lt;6,Params!$F$37,Params!$F$38)*Org!$B$10*Org!$B$12/12,0)</f>
        <v>0</v>
      </c>
      <c r="AP50" s="44">
        <f>AP$5*IF(AP$4&gt;=Teams!$D$80,AP37/1000*IF(AP$4-Teams!$D$80&lt;6,Params!$F$37,Params!$F$38)*Org!$B$10*Org!$B$12/12,0)</f>
        <v>0</v>
      </c>
      <c r="AQ50" s="44">
        <f>AQ$5*IF(AQ$4&gt;=Teams!$D$80,AQ37/1000*IF(AQ$4-Teams!$D$80&lt;6,Params!$F$37,Params!$F$38)*Org!$B$10*Org!$B$12/12,0)</f>
        <v>0</v>
      </c>
      <c r="AR50" s="44">
        <f>AR$5*IF(AR$4&gt;=Teams!$D$80,AR37/1000*IF(AR$4-Teams!$D$80&lt;6,Params!$F$37,Params!$F$38)*Org!$B$10*Org!$B$12/12,0)</f>
        <v>0</v>
      </c>
      <c r="AS50" s="44">
        <f>AS$5*IF(AS$4&gt;=Teams!$D$80,AS37/1000*IF(AS$4-Teams!$D$80&lt;6,Params!$F$37,Params!$F$38)*Org!$B$10*Org!$B$12/12,0)</f>
        <v>0</v>
      </c>
      <c r="AT50" s="44">
        <f>AT$5*IF(AT$4&gt;=Teams!$D$80,AT37/1000*IF(AT$4-Teams!$D$80&lt;6,Params!$F$37,Params!$F$38)*Org!$B$10*Org!$B$12/12,0)</f>
        <v>0</v>
      </c>
      <c r="AU50" s="44">
        <f>AU$5*IF(AU$4&gt;=Teams!$D$80,AU37/1000*IF(AU$4-Teams!$D$80&lt;6,Params!$F$37,Params!$F$38)*Org!$B$10*Org!$B$12/12,0)</f>
        <v>0</v>
      </c>
      <c r="AV50" s="44">
        <f>AV$5*IF(AV$4&gt;=Teams!$D$80,AV37/1000*IF(AV$4-Teams!$D$80&lt;6,Params!$F$37,Params!$F$38)*Org!$B$10*Org!$B$12/12,0)</f>
        <v>0</v>
      </c>
      <c r="AW50" s="44">
        <f>AW$5*IF(AW$4&gt;=Teams!$D$80,AW37/1000*IF(AW$4-Teams!$D$80&lt;6,Params!$F$37,Params!$F$38)*Org!$B$10*Org!$B$12/12,0)</f>
        <v>0</v>
      </c>
      <c r="AX50" s="44">
        <f>AX$5*IF(AX$4&gt;=Teams!$D$80,AX37/1000*IF(AX$4-Teams!$D$80&lt;6,Params!$F$37,Params!$F$38)*Org!$B$10*Org!$B$12/12,0)</f>
        <v>0</v>
      </c>
      <c r="AY50" s="44">
        <f>AY$5*IF(AY$4&gt;=Teams!$D$80,AY37/1000*IF(AY$4-Teams!$D$80&lt;6,Params!$F$37,Params!$F$38)*Org!$B$10*Org!$B$12/12,0)</f>
        <v>0</v>
      </c>
      <c r="AZ50" s="44">
        <f>AZ$5*IF(AZ$4&gt;=Teams!$D$80,AZ37/1000*IF(AZ$4-Teams!$D$80&lt;6,Params!$F$37,Params!$F$38)*Org!$B$10*Org!$B$12/12,0)</f>
        <v>0</v>
      </c>
      <c r="BA50" s="44">
        <f>BA$5*IF(BA$4&gt;=Teams!$D$80,BA37/1000*IF(BA$4-Teams!$D$80&lt;6,Params!$F$37,Params!$F$38)*Org!$B$10*Org!$B$12/12,0)</f>
        <v>0</v>
      </c>
      <c r="BB50" s="44">
        <f>BB$5*IF(BB$4&gt;=Teams!$D$80,BB37/1000*IF(BB$4-Teams!$D$80&lt;6,Params!$F$37,Params!$F$38)*Org!$B$10*Org!$B$12/12,0)</f>
        <v>0</v>
      </c>
      <c r="BC50" s="44">
        <f>BC$5*IF(BC$4&gt;=Teams!$D$80,BC37/1000*IF(BC$4-Teams!$D$80&lt;6,Params!$F$37,Params!$F$38)*Org!$B$10*Org!$B$12/12,0)</f>
        <v>0</v>
      </c>
      <c r="BD50" s="44">
        <f>BD$5*IF(BD$4&gt;=Teams!$D$80,BD37/1000*IF(BD$4-Teams!$D$80&lt;6,Params!$F$37,Params!$F$38)*Org!$B$10*Org!$B$12/12,0)</f>
        <v>0</v>
      </c>
      <c r="BE50" s="44">
        <f>BE$5*IF(BE$4&gt;=Teams!$D$80,BE37/1000*IF(BE$4-Teams!$D$80&lt;6,Params!$F$37,Params!$F$38)*Org!$B$10*Org!$B$12/12,0)</f>
        <v>0</v>
      </c>
      <c r="BF50" s="44">
        <f>BF$5*IF(BF$4&gt;=Teams!$D$80,BF37/1000*IF(BF$4-Teams!$D$80&lt;6,Params!$F$37,Params!$F$38)*Org!$B$10*Org!$B$12/12,0)</f>
        <v>0</v>
      </c>
      <c r="BG50" s="44">
        <f>BG$5*IF(BG$4&gt;=Teams!$D$80,BG37/1000*IF(BG$4-Teams!$D$80&lt;6,Params!$F$37,Params!$F$38)*Org!$B$10*Org!$B$12/12,0)</f>
        <v>0</v>
      </c>
      <c r="BH50" s="44">
        <f>BH$5*IF(BH$4&gt;=Teams!$D$80,BH37/1000*IF(BH$4-Teams!$D$80&lt;6,Params!$F$37,Params!$F$38)*Org!$B$10*Org!$B$12/12,0)</f>
        <v>0</v>
      </c>
      <c r="BI50" s="44">
        <f>BI$5*IF(BI$4&gt;=Teams!$D$80,BI37/1000*IF(BI$4-Teams!$D$80&lt;6,Params!$F$37,Params!$F$38)*Org!$B$10*Org!$B$12/12,0)</f>
        <v>0</v>
      </c>
      <c r="BJ50" s="44">
        <f>BJ$5*IF(BJ$4&gt;=Teams!$D$80,BJ37/1000*IF(BJ$4-Teams!$D$80&lt;6,Params!$F$37,Params!$F$38)*Org!$B$10*Org!$B$12/12,0)</f>
        <v>0</v>
      </c>
      <c r="BK50" s="44">
        <f>BK$5*IF(BK$4&gt;=Teams!$D$80,BK37/1000*IF(BK$4-Teams!$D$80&lt;6,Params!$F$37,Params!$F$38)*Org!$B$10*Org!$B$12/12,0)</f>
        <v>0</v>
      </c>
      <c r="BL50" s="44">
        <f>BL$5*IF(BL$4&gt;=Teams!$D$80,BL37/1000*IF(BL$4-Teams!$D$80&lt;6,Params!$F$37,Params!$F$38)*Org!$B$10*Org!$B$12/12,0)</f>
        <v>0</v>
      </c>
    </row>
    <row r="51" spans="1:64" x14ac:dyDescent="0.3">
      <c r="A51" s="8" t="s">
        <v>676</v>
      </c>
      <c r="B51" s="18" t="s">
        <v>169</v>
      </c>
      <c r="C51" s="44">
        <f t="shared" si="11"/>
        <v>76800</v>
      </c>
      <c r="D51" s="44">
        <f>Teams!$D$5*((Teams!$D$43*Params!$F$4+Teams!$D$44/100000*Params!$F$5+Teams!$D$43*Params!$F$6)*Org!$B$10)</f>
        <v>76800</v>
      </c>
    </row>
    <row r="52" spans="1:64" x14ac:dyDescent="0.3">
      <c r="A52" s="8" t="s">
        <v>677</v>
      </c>
      <c r="B52" s="18" t="s">
        <v>435</v>
      </c>
      <c r="C52" s="44">
        <f t="shared" si="11"/>
        <v>251</v>
      </c>
      <c r="D52" s="44">
        <f>Teams!$D$5*(Teams!$D$49*(Teams!$D$44*Teams!$D$45*Teams!$D$75+Teams!$D$44*Teams!$D$47*Teams!$D$76/1000000))</f>
        <v>251</v>
      </c>
    </row>
    <row r="53" spans="1:64" x14ac:dyDescent="0.3">
      <c r="A53" s="8" t="s">
        <v>678</v>
      </c>
      <c r="B53" s="18" t="s">
        <v>169</v>
      </c>
      <c r="C53" s="44">
        <f t="shared" si="11"/>
        <v>144000</v>
      </c>
      <c r="D53" s="44">
        <f>Teams!$D$5*((Params!$F$13+Params!$F$16)*Org!$B$10)</f>
        <v>144000</v>
      </c>
    </row>
    <row r="54" spans="1:64" x14ac:dyDescent="0.3">
      <c r="A54" s="8" t="s">
        <v>679</v>
      </c>
      <c r="B54" s="18" t="s">
        <v>169</v>
      </c>
      <c r="C54" s="44">
        <f t="shared" si="11"/>
        <v>384000</v>
      </c>
      <c r="D54" s="44">
        <f>Teams!$D$5*(Teams!$D$18*Teams!$D$19*Params!$F$34*(Org!$B$10/Org!$B$11))</f>
        <v>384000</v>
      </c>
    </row>
    <row r="55" spans="1:64" x14ac:dyDescent="0.3">
      <c r="A55" s="8" t="s">
        <v>11</v>
      </c>
      <c r="C55" s="44">
        <f t="shared" si="11"/>
        <v>13763200.000000006</v>
      </c>
      <c r="E55" s="44">
        <f>E$5*E39*Teams!$D$55/60*Teams!$D$56*INDEX(Params!$D$41:$F$41,Org!$B$17)*Teams!$D$57</f>
        <v>99733.333333333343</v>
      </c>
      <c r="F55" s="44">
        <f>F$5*F39*Teams!$D$55/60*Teams!$D$56*INDEX(Params!$D$41:$F$41,Org!$B$17)*Teams!$D$57</f>
        <v>199466.66666666669</v>
      </c>
      <c r="G55" s="44">
        <f>G$5*G39*Teams!$D$55/60*Teams!$D$56*INDEX(Params!$D$41:$F$41,Org!$B$17)*Teams!$D$57</f>
        <v>299200</v>
      </c>
      <c r="H55" s="44">
        <f>H$5*H39*Teams!$D$55/60*Teams!$D$56*INDEX(Params!$D$41:$F$41,Org!$B$17)*Teams!$D$57</f>
        <v>398933.33333333337</v>
      </c>
      <c r="I55" s="44">
        <f>I$5*I39*Teams!$D$55/60*Teams!$D$56*INDEX(Params!$D$41:$F$41,Org!$B$17)*Teams!$D$57</f>
        <v>398933.33333333337</v>
      </c>
      <c r="J55" s="44">
        <f>J$5*J39*Teams!$D$55/60*Teams!$D$56*INDEX(Params!$D$41:$F$41,Org!$B$17)*Teams!$D$57</f>
        <v>398933.33333333337</v>
      </c>
      <c r="K55" s="44">
        <f>K$5*K39*Teams!$D$55/60*Teams!$D$56*INDEX(Params!$D$41:$F$41,Org!$B$17)*Teams!$D$57</f>
        <v>398933.33333333337</v>
      </c>
      <c r="L55" s="44">
        <f>L$5*L39*Teams!$D$55/60*Teams!$D$56*INDEX(Params!$D$41:$F$41,Org!$B$17)*Teams!$D$57</f>
        <v>398933.33333333337</v>
      </c>
      <c r="M55" s="44">
        <f>M$5*M39*Teams!$D$55/60*Teams!$D$56*INDEX(Params!$D$41:$F$41,Org!$B$17)*Teams!$D$57</f>
        <v>398933.33333333337</v>
      </c>
      <c r="N55" s="44">
        <f>N$5*N39*Teams!$D$55/60*Teams!$D$56*INDEX(Params!$D$41:$F$41,Org!$B$17)*Teams!$D$57</f>
        <v>398933.33333333337</v>
      </c>
      <c r="O55" s="44">
        <f>O$5*O39*Teams!$D$55/60*Teams!$D$56*INDEX(Params!$D$41:$F$41,Org!$B$17)*Teams!$D$57</f>
        <v>398933.33333333337</v>
      </c>
      <c r="P55" s="44">
        <f>P$5*P39*Teams!$D$55/60*Teams!$D$56*INDEX(Params!$D$41:$F$41,Org!$B$17)*Teams!$D$57</f>
        <v>398933.33333333337</v>
      </c>
      <c r="Q55" s="44">
        <f>Q$5*Q39*Teams!$D$55/60*Teams!$D$56*INDEX(Params!$D$41:$F$41,Org!$B$17)*Teams!$D$57</f>
        <v>398933.33333333337</v>
      </c>
      <c r="R55" s="44">
        <f>R$5*R39*Teams!$D$55/60*Teams!$D$56*INDEX(Params!$D$41:$F$41,Org!$B$17)*Teams!$D$57</f>
        <v>398933.33333333337</v>
      </c>
      <c r="S55" s="44">
        <f>S$5*S39*Teams!$D$55/60*Teams!$D$56*INDEX(Params!$D$41:$F$41,Org!$B$17)*Teams!$D$57</f>
        <v>398933.33333333337</v>
      </c>
      <c r="T55" s="44">
        <f>T$5*T39*Teams!$D$55/60*Teams!$D$56*INDEX(Params!$D$41:$F$41,Org!$B$17)*Teams!$D$57</f>
        <v>398933.33333333337</v>
      </c>
      <c r="U55" s="44">
        <f>U$5*U39*Teams!$D$55/60*Teams!$D$56*INDEX(Params!$D$41:$F$41,Org!$B$17)*Teams!$D$57</f>
        <v>398933.33333333337</v>
      </c>
      <c r="V55" s="44">
        <f>V$5*V39*Teams!$D$55/60*Teams!$D$56*INDEX(Params!$D$41:$F$41,Org!$B$17)*Teams!$D$57</f>
        <v>398933.33333333337</v>
      </c>
      <c r="W55" s="44">
        <f>W$5*W39*Teams!$D$55/60*Teams!$D$56*INDEX(Params!$D$41:$F$41,Org!$B$17)*Teams!$D$57</f>
        <v>398933.33333333337</v>
      </c>
      <c r="X55" s="44">
        <f>X$5*X39*Teams!$D$55/60*Teams!$D$56*INDEX(Params!$D$41:$F$41,Org!$B$17)*Teams!$D$57</f>
        <v>398933.33333333337</v>
      </c>
      <c r="Y55" s="44">
        <f>Y$5*Y39*Teams!$D$55/60*Teams!$D$56*INDEX(Params!$D$41:$F$41,Org!$B$17)*Teams!$D$57</f>
        <v>398933.33333333337</v>
      </c>
      <c r="Z55" s="44">
        <f>Z$5*Z39*Teams!$D$55/60*Teams!$D$56*INDEX(Params!$D$41:$F$41,Org!$B$17)*Teams!$D$57</f>
        <v>398933.33333333337</v>
      </c>
      <c r="AA55" s="44">
        <f>AA$5*AA39*Teams!$D$55/60*Teams!$D$56*INDEX(Params!$D$41:$F$41,Org!$B$17)*Teams!$D$57</f>
        <v>398933.33333333337</v>
      </c>
      <c r="AB55" s="44">
        <f>AB$5*AB39*Teams!$D$55/60*Teams!$D$56*INDEX(Params!$D$41:$F$41,Org!$B$17)*Teams!$D$57</f>
        <v>398933.33333333337</v>
      </c>
      <c r="AC55" s="44">
        <f>AC$5*AC39*Teams!$D$55/60*Teams!$D$56*INDEX(Params!$D$41:$F$41,Org!$B$17)*Teams!$D$57</f>
        <v>398933.33333333337</v>
      </c>
      <c r="AD55" s="44">
        <f>AD$5*AD39*Teams!$D$55/60*Teams!$D$56*INDEX(Params!$D$41:$F$41,Org!$B$17)*Teams!$D$57</f>
        <v>398933.33333333337</v>
      </c>
      <c r="AE55" s="44">
        <f>AE$5*AE39*Teams!$D$55/60*Teams!$D$56*INDEX(Params!$D$41:$F$41,Org!$B$17)*Teams!$D$57</f>
        <v>398933.33333333337</v>
      </c>
      <c r="AF55" s="44">
        <f>AF$5*AF39*Teams!$D$55/60*Teams!$D$56*INDEX(Params!$D$41:$F$41,Org!$B$17)*Teams!$D$57</f>
        <v>398933.33333333337</v>
      </c>
      <c r="AG55" s="44">
        <f>AG$5*AG39*Teams!$D$55/60*Teams!$D$56*INDEX(Params!$D$41:$F$41,Org!$B$17)*Teams!$D$57</f>
        <v>398933.33333333337</v>
      </c>
      <c r="AH55" s="44">
        <f>AH$5*AH39*Teams!$D$55/60*Teams!$D$56*INDEX(Params!$D$41:$F$41,Org!$B$17)*Teams!$D$57</f>
        <v>398933.33333333337</v>
      </c>
      <c r="AI55" s="44">
        <f>AI$5*AI39*Teams!$D$55/60*Teams!$D$56*INDEX(Params!$D$41:$F$41,Org!$B$17)*Teams!$D$57</f>
        <v>398933.33333333337</v>
      </c>
      <c r="AJ55" s="44">
        <f>AJ$5*AJ39*Teams!$D$55/60*Teams!$D$56*INDEX(Params!$D$41:$F$41,Org!$B$17)*Teams!$D$57</f>
        <v>398933.33333333337</v>
      </c>
      <c r="AK55" s="44">
        <f>AK$5*AK39*Teams!$D$55/60*Teams!$D$56*INDEX(Params!$D$41:$F$41,Org!$B$17)*Teams!$D$57</f>
        <v>398933.33333333337</v>
      </c>
      <c r="AL55" s="44">
        <f>AL$5*AL39*Teams!$D$55/60*Teams!$D$56*INDEX(Params!$D$41:$F$41,Org!$B$17)*Teams!$D$57</f>
        <v>398933.33333333337</v>
      </c>
      <c r="AM55" s="44">
        <f>AM$5*AM39*Teams!$D$55/60*Teams!$D$56*INDEX(Params!$D$41:$F$41,Org!$B$17)*Teams!$D$57</f>
        <v>398933.33333333337</v>
      </c>
      <c r="AN55" s="44">
        <f>AN$5*AN39*Teams!$D$55/60*Teams!$D$56*INDEX(Params!$D$41:$F$41,Org!$B$17)*Teams!$D$57</f>
        <v>398933.33333333337</v>
      </c>
      <c r="AO55" s="44">
        <f>AO$5*AO39*Teams!$D$55/60*Teams!$D$56*INDEX(Params!$D$41:$F$41,Org!$B$17)*Teams!$D$57</f>
        <v>0</v>
      </c>
      <c r="AP55" s="44">
        <f>AP$5*AP39*Teams!$D$55/60*Teams!$D$56*INDEX(Params!$D$41:$F$41,Org!$B$17)*Teams!$D$57</f>
        <v>0</v>
      </c>
      <c r="AQ55" s="44">
        <f>AQ$5*AQ39*Teams!$D$55/60*Teams!$D$56*INDEX(Params!$D$41:$F$41,Org!$B$17)*Teams!$D$57</f>
        <v>0</v>
      </c>
      <c r="AR55" s="44">
        <f>AR$5*AR39*Teams!$D$55/60*Teams!$D$56*INDEX(Params!$D$41:$F$41,Org!$B$17)*Teams!$D$57</f>
        <v>0</v>
      </c>
      <c r="AS55" s="44">
        <f>AS$5*AS39*Teams!$D$55/60*Teams!$D$56*INDEX(Params!$D$41:$F$41,Org!$B$17)*Teams!$D$57</f>
        <v>0</v>
      </c>
      <c r="AT55" s="44">
        <f>AT$5*AT39*Teams!$D$55/60*Teams!$D$56*INDEX(Params!$D$41:$F$41,Org!$B$17)*Teams!$D$57</f>
        <v>0</v>
      </c>
      <c r="AU55" s="44">
        <f>AU$5*AU39*Teams!$D$55/60*Teams!$D$56*INDEX(Params!$D$41:$F$41,Org!$B$17)*Teams!$D$57</f>
        <v>0</v>
      </c>
      <c r="AV55" s="44">
        <f>AV$5*AV39*Teams!$D$55/60*Teams!$D$56*INDEX(Params!$D$41:$F$41,Org!$B$17)*Teams!$D$57</f>
        <v>0</v>
      </c>
      <c r="AW55" s="44">
        <f>AW$5*AW39*Teams!$D$55/60*Teams!$D$56*INDEX(Params!$D$41:$F$41,Org!$B$17)*Teams!$D$57</f>
        <v>0</v>
      </c>
      <c r="AX55" s="44">
        <f>AX$5*AX39*Teams!$D$55/60*Teams!$D$56*INDEX(Params!$D$41:$F$41,Org!$B$17)*Teams!$D$57</f>
        <v>0</v>
      </c>
      <c r="AY55" s="44">
        <f>AY$5*AY39*Teams!$D$55/60*Teams!$D$56*INDEX(Params!$D$41:$F$41,Org!$B$17)*Teams!$D$57</f>
        <v>0</v>
      </c>
      <c r="AZ55" s="44">
        <f>AZ$5*AZ39*Teams!$D$55/60*Teams!$D$56*INDEX(Params!$D$41:$F$41,Org!$B$17)*Teams!$D$57</f>
        <v>0</v>
      </c>
      <c r="BA55" s="44">
        <f>BA$5*BA39*Teams!$D$55/60*Teams!$D$56*INDEX(Params!$D$41:$F$41,Org!$B$17)*Teams!$D$57</f>
        <v>0</v>
      </c>
      <c r="BB55" s="44">
        <f>BB$5*BB39*Teams!$D$55/60*Teams!$D$56*INDEX(Params!$D$41:$F$41,Org!$B$17)*Teams!$D$57</f>
        <v>0</v>
      </c>
      <c r="BC55" s="44">
        <f>BC$5*BC39*Teams!$D$55/60*Teams!$D$56*INDEX(Params!$D$41:$F$41,Org!$B$17)*Teams!$D$57</f>
        <v>0</v>
      </c>
      <c r="BD55" s="44">
        <f>BD$5*BD39*Teams!$D$55/60*Teams!$D$56*INDEX(Params!$D$41:$F$41,Org!$B$17)*Teams!$D$57</f>
        <v>0</v>
      </c>
      <c r="BE55" s="44">
        <f>BE$5*BE39*Teams!$D$55/60*Teams!$D$56*INDEX(Params!$D$41:$F$41,Org!$B$17)*Teams!$D$57</f>
        <v>0</v>
      </c>
      <c r="BF55" s="44">
        <f>BF$5*BF39*Teams!$D$55/60*Teams!$D$56*INDEX(Params!$D$41:$F$41,Org!$B$17)*Teams!$D$57</f>
        <v>0</v>
      </c>
      <c r="BG55" s="44">
        <f>BG$5*BG39*Teams!$D$55/60*Teams!$D$56*INDEX(Params!$D$41:$F$41,Org!$B$17)*Teams!$D$57</f>
        <v>0</v>
      </c>
      <c r="BH55" s="44">
        <f>BH$5*BH39*Teams!$D$55/60*Teams!$D$56*INDEX(Params!$D$41:$F$41,Org!$B$17)*Teams!$D$57</f>
        <v>0</v>
      </c>
      <c r="BI55" s="44">
        <f>BI$5*BI39*Teams!$D$55/60*Teams!$D$56*INDEX(Params!$D$41:$F$41,Org!$B$17)*Teams!$D$57</f>
        <v>0</v>
      </c>
      <c r="BJ55" s="44">
        <f>BJ$5*BJ39*Teams!$D$55/60*Teams!$D$56*INDEX(Params!$D$41:$F$41,Org!$B$17)*Teams!$D$57</f>
        <v>0</v>
      </c>
      <c r="BK55" s="44">
        <f>BK$5*BK39*Teams!$D$55/60*Teams!$D$56*INDEX(Params!$D$41:$F$41,Org!$B$17)*Teams!$D$57</f>
        <v>0</v>
      </c>
      <c r="BL55" s="44">
        <f>BL$5*BL39*Teams!$D$55/60*Teams!$D$56*INDEX(Params!$D$41:$F$41,Org!$B$17)*Teams!$D$57</f>
        <v>0</v>
      </c>
    </row>
    <row r="56" spans="1:64" x14ac:dyDescent="0.3">
      <c r="A56" s="8" t="s">
        <v>701</v>
      </c>
      <c r="C56" s="44">
        <f t="shared" si="11"/>
        <v>15667563.560000012</v>
      </c>
      <c r="D56" s="44">
        <f t="shared" ref="D56:AI56" si="12">SUM(D40:D54)</f>
        <v>605051</v>
      </c>
      <c r="E56" s="44">
        <f t="shared" si="12"/>
        <v>146821.15333333329</v>
      </c>
      <c r="F56" s="44">
        <f t="shared" si="12"/>
        <v>243520.67333333331</v>
      </c>
      <c r="G56" s="44">
        <f t="shared" si="12"/>
        <v>340220.1933333333</v>
      </c>
      <c r="H56" s="44">
        <f t="shared" si="12"/>
        <v>436919.71333333332</v>
      </c>
      <c r="I56" s="44">
        <f t="shared" si="12"/>
        <v>436919.71333333332</v>
      </c>
      <c r="J56" s="44">
        <f t="shared" si="12"/>
        <v>436919.71333333332</v>
      </c>
      <c r="K56" s="44">
        <f t="shared" si="12"/>
        <v>432226.37999999995</v>
      </c>
      <c r="L56" s="44">
        <f t="shared" si="12"/>
        <v>432226.37999999995</v>
      </c>
      <c r="M56" s="44">
        <f t="shared" si="12"/>
        <v>432226.37999999995</v>
      </c>
      <c r="N56" s="44">
        <f t="shared" si="12"/>
        <v>432226.37999999995</v>
      </c>
      <c r="O56" s="44">
        <f t="shared" si="12"/>
        <v>432226.37999999995</v>
      </c>
      <c r="P56" s="44">
        <f t="shared" si="12"/>
        <v>432226.37999999995</v>
      </c>
      <c r="Q56" s="44">
        <f t="shared" si="12"/>
        <v>459426.37999999995</v>
      </c>
      <c r="R56" s="44">
        <f t="shared" si="12"/>
        <v>432226.37999999995</v>
      </c>
      <c r="S56" s="44">
        <f t="shared" si="12"/>
        <v>432226.37999999995</v>
      </c>
      <c r="T56" s="44">
        <f t="shared" si="12"/>
        <v>432226.37999999995</v>
      </c>
      <c r="U56" s="44">
        <f t="shared" si="12"/>
        <v>432226.37999999995</v>
      </c>
      <c r="V56" s="44">
        <f t="shared" si="12"/>
        <v>432226.37999999995</v>
      </c>
      <c r="W56" s="44">
        <f t="shared" si="12"/>
        <v>432226.37999999995</v>
      </c>
      <c r="X56" s="44">
        <f t="shared" si="12"/>
        <v>432226.37999999995</v>
      </c>
      <c r="Y56" s="44">
        <f t="shared" si="12"/>
        <v>432226.37999999995</v>
      </c>
      <c r="Z56" s="44">
        <f t="shared" si="12"/>
        <v>432226.37999999995</v>
      </c>
      <c r="AA56" s="44">
        <f t="shared" si="12"/>
        <v>432226.37999999995</v>
      </c>
      <c r="AB56" s="44">
        <f t="shared" si="12"/>
        <v>432226.37999999995</v>
      </c>
      <c r="AC56" s="44">
        <f t="shared" si="12"/>
        <v>459426.37999999995</v>
      </c>
      <c r="AD56" s="44">
        <f t="shared" si="12"/>
        <v>432226.37999999995</v>
      </c>
      <c r="AE56" s="44">
        <f t="shared" si="12"/>
        <v>432226.37999999995</v>
      </c>
      <c r="AF56" s="44">
        <f t="shared" si="12"/>
        <v>432226.37999999995</v>
      </c>
      <c r="AG56" s="44">
        <f t="shared" si="12"/>
        <v>432226.37999999995</v>
      </c>
      <c r="AH56" s="44">
        <f t="shared" si="12"/>
        <v>432226.37999999995</v>
      </c>
      <c r="AI56" s="44">
        <f t="shared" si="12"/>
        <v>432226.37999999995</v>
      </c>
      <c r="AJ56" s="44">
        <f t="shared" ref="AJ56:BL56" si="13">SUM(AJ40:AJ54)</f>
        <v>432226.37999999995</v>
      </c>
      <c r="AK56" s="44">
        <f t="shared" si="13"/>
        <v>432226.37999999995</v>
      </c>
      <c r="AL56" s="44">
        <f t="shared" si="13"/>
        <v>432226.37999999995</v>
      </c>
      <c r="AM56" s="44">
        <f t="shared" si="13"/>
        <v>432226.37999999995</v>
      </c>
      <c r="AN56" s="44">
        <f t="shared" si="13"/>
        <v>432226.37999999995</v>
      </c>
      <c r="AO56" s="44">
        <f t="shared" si="13"/>
        <v>0</v>
      </c>
      <c r="AP56" s="44">
        <f t="shared" si="13"/>
        <v>0</v>
      </c>
      <c r="AQ56" s="44">
        <f t="shared" si="13"/>
        <v>0</v>
      </c>
      <c r="AR56" s="44">
        <f t="shared" si="13"/>
        <v>0</v>
      </c>
      <c r="AS56" s="44">
        <f t="shared" si="13"/>
        <v>0</v>
      </c>
      <c r="AT56" s="44">
        <f t="shared" si="13"/>
        <v>0</v>
      </c>
      <c r="AU56" s="44">
        <f t="shared" si="13"/>
        <v>0</v>
      </c>
      <c r="AV56" s="44">
        <f t="shared" si="13"/>
        <v>0</v>
      </c>
      <c r="AW56" s="44">
        <f t="shared" si="13"/>
        <v>0</v>
      </c>
      <c r="AX56" s="44">
        <f t="shared" si="13"/>
        <v>0</v>
      </c>
      <c r="AY56" s="44">
        <f t="shared" si="13"/>
        <v>0</v>
      </c>
      <c r="AZ56" s="44">
        <f t="shared" si="13"/>
        <v>0</v>
      </c>
      <c r="BA56" s="44">
        <f t="shared" si="13"/>
        <v>0</v>
      </c>
      <c r="BB56" s="44">
        <f t="shared" si="13"/>
        <v>0</v>
      </c>
      <c r="BC56" s="44">
        <f t="shared" si="13"/>
        <v>0</v>
      </c>
      <c r="BD56" s="44">
        <f t="shared" si="13"/>
        <v>0</v>
      </c>
      <c r="BE56" s="44">
        <f t="shared" si="13"/>
        <v>0</v>
      </c>
      <c r="BF56" s="44">
        <f t="shared" si="13"/>
        <v>0</v>
      </c>
      <c r="BG56" s="44">
        <f t="shared" si="13"/>
        <v>0</v>
      </c>
      <c r="BH56" s="44">
        <f t="shared" si="13"/>
        <v>0</v>
      </c>
      <c r="BI56" s="44">
        <f t="shared" si="13"/>
        <v>0</v>
      </c>
      <c r="BJ56" s="44">
        <f t="shared" si="13"/>
        <v>0</v>
      </c>
      <c r="BK56" s="44">
        <f t="shared" si="13"/>
        <v>0</v>
      </c>
      <c r="BL56" s="44">
        <f t="shared" si="13"/>
        <v>0</v>
      </c>
    </row>
    <row r="57" spans="1:64" x14ac:dyDescent="0.3">
      <c r="A57" s="8" t="s">
        <v>702</v>
      </c>
      <c r="C57" s="44">
        <f t="shared" si="11"/>
        <v>3320373.0256214407</v>
      </c>
      <c r="D57" s="44">
        <f t="shared" ref="D57:AI57" si="14">$C$169*D158</f>
        <v>225358.04826655253</v>
      </c>
      <c r="E57" s="44">
        <f t="shared" si="14"/>
        <v>85930.162710301913</v>
      </c>
      <c r="F57" s="44">
        <f t="shared" si="14"/>
        <v>85940.092465164606</v>
      </c>
      <c r="G57" s="44">
        <f t="shared" si="14"/>
        <v>85952.31285292712</v>
      </c>
      <c r="H57" s="44">
        <f t="shared" si="14"/>
        <v>85965.120134435187</v>
      </c>
      <c r="I57" s="44">
        <f t="shared" si="14"/>
        <v>85971.908873053195</v>
      </c>
      <c r="J57" s="44">
        <f t="shared" si="14"/>
        <v>85975.378738654588</v>
      </c>
      <c r="K57" s="44">
        <f t="shared" si="14"/>
        <v>85976.00005267837</v>
      </c>
      <c r="L57" s="44">
        <f t="shared" si="14"/>
        <v>85976.00005267837</v>
      </c>
      <c r="M57" s="44">
        <f t="shared" si="14"/>
        <v>85976.00005267837</v>
      </c>
      <c r="N57" s="44">
        <f t="shared" si="14"/>
        <v>85976.00005267837</v>
      </c>
      <c r="O57" s="44">
        <f t="shared" si="14"/>
        <v>85976.00005267837</v>
      </c>
      <c r="P57" s="44">
        <f t="shared" si="14"/>
        <v>85976.00005267837</v>
      </c>
      <c r="Q57" s="44">
        <f t="shared" si="14"/>
        <v>85976.00005267837</v>
      </c>
      <c r="R57" s="44">
        <f t="shared" si="14"/>
        <v>85976.00005267837</v>
      </c>
      <c r="S57" s="44">
        <f t="shared" si="14"/>
        <v>85976.00005267837</v>
      </c>
      <c r="T57" s="44">
        <f t="shared" si="14"/>
        <v>85976.00005267837</v>
      </c>
      <c r="U57" s="44">
        <f t="shared" si="14"/>
        <v>85976.00005267837</v>
      </c>
      <c r="V57" s="44">
        <f t="shared" si="14"/>
        <v>85976.00005267837</v>
      </c>
      <c r="W57" s="44">
        <f t="shared" si="14"/>
        <v>85976.00005267837</v>
      </c>
      <c r="X57" s="44">
        <f t="shared" si="14"/>
        <v>85976.00005267837</v>
      </c>
      <c r="Y57" s="44">
        <f t="shared" si="14"/>
        <v>85976.00005267837</v>
      </c>
      <c r="Z57" s="44">
        <f t="shared" si="14"/>
        <v>85976.00005267837</v>
      </c>
      <c r="AA57" s="44">
        <f t="shared" si="14"/>
        <v>85976.00005267837</v>
      </c>
      <c r="AB57" s="44">
        <f t="shared" si="14"/>
        <v>85976.00005267837</v>
      </c>
      <c r="AC57" s="44">
        <f t="shared" si="14"/>
        <v>85976.00005267837</v>
      </c>
      <c r="AD57" s="44">
        <f t="shared" si="14"/>
        <v>85976.00005267837</v>
      </c>
      <c r="AE57" s="44">
        <f t="shared" si="14"/>
        <v>85976.00005267837</v>
      </c>
      <c r="AF57" s="44">
        <f t="shared" si="14"/>
        <v>85976.00005267837</v>
      </c>
      <c r="AG57" s="44">
        <f t="shared" si="14"/>
        <v>85976.00005267837</v>
      </c>
      <c r="AH57" s="44">
        <f t="shared" si="14"/>
        <v>85976.00005267837</v>
      </c>
      <c r="AI57" s="44">
        <f t="shared" si="14"/>
        <v>85976.00005267837</v>
      </c>
      <c r="AJ57" s="44">
        <f t="shared" ref="AJ57:BL57" si="15">$C$169*AJ158</f>
        <v>85976.00005267837</v>
      </c>
      <c r="AK57" s="44">
        <f t="shared" si="15"/>
        <v>85976.00005267837</v>
      </c>
      <c r="AL57" s="44">
        <f t="shared" si="15"/>
        <v>85976.00005267837</v>
      </c>
      <c r="AM57" s="44">
        <f t="shared" si="15"/>
        <v>85976.00005267837</v>
      </c>
      <c r="AN57" s="44">
        <f t="shared" si="15"/>
        <v>85976.00005267837</v>
      </c>
      <c r="AO57" s="44">
        <f t="shared" si="15"/>
        <v>0</v>
      </c>
      <c r="AP57" s="44">
        <f t="shared" si="15"/>
        <v>0</v>
      </c>
      <c r="AQ57" s="44">
        <f t="shared" si="15"/>
        <v>0</v>
      </c>
      <c r="AR57" s="44">
        <f t="shared" si="15"/>
        <v>0</v>
      </c>
      <c r="AS57" s="44">
        <f t="shared" si="15"/>
        <v>0</v>
      </c>
      <c r="AT57" s="44">
        <f t="shared" si="15"/>
        <v>0</v>
      </c>
      <c r="AU57" s="44">
        <f t="shared" si="15"/>
        <v>0</v>
      </c>
      <c r="AV57" s="44">
        <f t="shared" si="15"/>
        <v>0</v>
      </c>
      <c r="AW57" s="44">
        <f t="shared" si="15"/>
        <v>0</v>
      </c>
      <c r="AX57" s="44">
        <f t="shared" si="15"/>
        <v>0</v>
      </c>
      <c r="AY57" s="44">
        <f t="shared" si="15"/>
        <v>0</v>
      </c>
      <c r="AZ57" s="44">
        <f t="shared" si="15"/>
        <v>0</v>
      </c>
      <c r="BA57" s="44">
        <f t="shared" si="15"/>
        <v>0</v>
      </c>
      <c r="BB57" s="44">
        <f t="shared" si="15"/>
        <v>0</v>
      </c>
      <c r="BC57" s="44">
        <f t="shared" si="15"/>
        <v>0</v>
      </c>
      <c r="BD57" s="44">
        <f t="shared" si="15"/>
        <v>0</v>
      </c>
      <c r="BE57" s="44">
        <f t="shared" si="15"/>
        <v>0</v>
      </c>
      <c r="BF57" s="44">
        <f t="shared" si="15"/>
        <v>0</v>
      </c>
      <c r="BG57" s="44">
        <f t="shared" si="15"/>
        <v>0</v>
      </c>
      <c r="BH57" s="44">
        <f t="shared" si="15"/>
        <v>0</v>
      </c>
      <c r="BI57" s="44">
        <f t="shared" si="15"/>
        <v>0</v>
      </c>
      <c r="BJ57" s="44">
        <f t="shared" si="15"/>
        <v>0</v>
      </c>
      <c r="BK57" s="44">
        <f t="shared" si="15"/>
        <v>0</v>
      </c>
      <c r="BL57" s="44">
        <f t="shared" si="15"/>
        <v>0</v>
      </c>
    </row>
    <row r="58" spans="1:64" x14ac:dyDescent="0.3">
      <c r="A58" s="8" t="s">
        <v>1012</v>
      </c>
      <c r="C58" s="44">
        <f t="shared" si="11"/>
        <v>-5224736.585621438</v>
      </c>
      <c r="D58" s="44">
        <f t="shared" ref="D58:AI58" si="16">D55-D56-D57</f>
        <v>-830409.04826655251</v>
      </c>
      <c r="E58" s="44">
        <f t="shared" si="16"/>
        <v>-133017.98271030188</v>
      </c>
      <c r="F58" s="44">
        <f t="shared" si="16"/>
        <v>-129994.09913183123</v>
      </c>
      <c r="G58" s="44">
        <f t="shared" si="16"/>
        <v>-126972.50618626042</v>
      </c>
      <c r="H58" s="44">
        <f t="shared" si="16"/>
        <v>-123951.50013443513</v>
      </c>
      <c r="I58" s="44">
        <f t="shared" si="16"/>
        <v>-123958.28887305314</v>
      </c>
      <c r="J58" s="44">
        <f t="shared" si="16"/>
        <v>-123961.75873865453</v>
      </c>
      <c r="K58" s="44">
        <f t="shared" si="16"/>
        <v>-119269.04671934494</v>
      </c>
      <c r="L58" s="44">
        <f t="shared" si="16"/>
        <v>-119269.04671934494</v>
      </c>
      <c r="M58" s="44">
        <f t="shared" si="16"/>
        <v>-119269.04671934494</v>
      </c>
      <c r="N58" s="44">
        <f t="shared" si="16"/>
        <v>-119269.04671934494</v>
      </c>
      <c r="O58" s="44">
        <f t="shared" si="16"/>
        <v>-119269.04671934494</v>
      </c>
      <c r="P58" s="44">
        <f t="shared" si="16"/>
        <v>-119269.04671934494</v>
      </c>
      <c r="Q58" s="44">
        <f t="shared" si="16"/>
        <v>-146469.04671934494</v>
      </c>
      <c r="R58" s="44">
        <f t="shared" si="16"/>
        <v>-119269.04671934494</v>
      </c>
      <c r="S58" s="44">
        <f t="shared" si="16"/>
        <v>-119269.04671934494</v>
      </c>
      <c r="T58" s="44">
        <f t="shared" si="16"/>
        <v>-119269.04671934494</v>
      </c>
      <c r="U58" s="44">
        <f t="shared" si="16"/>
        <v>-119269.04671934494</v>
      </c>
      <c r="V58" s="44">
        <f t="shared" si="16"/>
        <v>-119269.04671934494</v>
      </c>
      <c r="W58" s="44">
        <f t="shared" si="16"/>
        <v>-119269.04671934494</v>
      </c>
      <c r="X58" s="44">
        <f t="shared" si="16"/>
        <v>-119269.04671934494</v>
      </c>
      <c r="Y58" s="44">
        <f t="shared" si="16"/>
        <v>-119269.04671934494</v>
      </c>
      <c r="Z58" s="44">
        <f t="shared" si="16"/>
        <v>-119269.04671934494</v>
      </c>
      <c r="AA58" s="44">
        <f t="shared" si="16"/>
        <v>-119269.04671934494</v>
      </c>
      <c r="AB58" s="44">
        <f t="shared" si="16"/>
        <v>-119269.04671934494</v>
      </c>
      <c r="AC58" s="44">
        <f t="shared" si="16"/>
        <v>-146469.04671934494</v>
      </c>
      <c r="AD58" s="44">
        <f t="shared" si="16"/>
        <v>-119269.04671934494</v>
      </c>
      <c r="AE58" s="44">
        <f t="shared" si="16"/>
        <v>-119269.04671934494</v>
      </c>
      <c r="AF58" s="44">
        <f t="shared" si="16"/>
        <v>-119269.04671934494</v>
      </c>
      <c r="AG58" s="44">
        <f t="shared" si="16"/>
        <v>-119269.04671934494</v>
      </c>
      <c r="AH58" s="44">
        <f t="shared" si="16"/>
        <v>-119269.04671934494</v>
      </c>
      <c r="AI58" s="44">
        <f t="shared" si="16"/>
        <v>-119269.04671934494</v>
      </c>
      <c r="AJ58" s="44">
        <f t="shared" ref="AJ58:BO58" si="17">AJ55-AJ56-AJ57</f>
        <v>-119269.04671934494</v>
      </c>
      <c r="AK58" s="44">
        <f t="shared" si="17"/>
        <v>-119269.04671934494</v>
      </c>
      <c r="AL58" s="44">
        <f t="shared" si="17"/>
        <v>-119269.04671934494</v>
      </c>
      <c r="AM58" s="44">
        <f t="shared" si="17"/>
        <v>-119269.04671934494</v>
      </c>
      <c r="AN58" s="44">
        <f t="shared" si="17"/>
        <v>-119269.04671934494</v>
      </c>
      <c r="AO58" s="44">
        <f t="shared" si="17"/>
        <v>0</v>
      </c>
      <c r="AP58" s="44">
        <f t="shared" si="17"/>
        <v>0</v>
      </c>
      <c r="AQ58" s="44">
        <f t="shared" si="17"/>
        <v>0</v>
      </c>
      <c r="AR58" s="44">
        <f t="shared" si="17"/>
        <v>0</v>
      </c>
      <c r="AS58" s="44">
        <f t="shared" si="17"/>
        <v>0</v>
      </c>
      <c r="AT58" s="44">
        <f t="shared" si="17"/>
        <v>0</v>
      </c>
      <c r="AU58" s="44">
        <f t="shared" si="17"/>
        <v>0</v>
      </c>
      <c r="AV58" s="44">
        <f t="shared" si="17"/>
        <v>0</v>
      </c>
      <c r="AW58" s="44">
        <f t="shared" si="17"/>
        <v>0</v>
      </c>
      <c r="AX58" s="44">
        <f t="shared" si="17"/>
        <v>0</v>
      </c>
      <c r="AY58" s="44">
        <f t="shared" si="17"/>
        <v>0</v>
      </c>
      <c r="AZ58" s="44">
        <f t="shared" si="17"/>
        <v>0</v>
      </c>
      <c r="BA58" s="44">
        <f t="shared" si="17"/>
        <v>0</v>
      </c>
      <c r="BB58" s="44">
        <f t="shared" si="17"/>
        <v>0</v>
      </c>
      <c r="BC58" s="44">
        <f t="shared" si="17"/>
        <v>0</v>
      </c>
      <c r="BD58" s="44">
        <f t="shared" si="17"/>
        <v>0</v>
      </c>
      <c r="BE58" s="44">
        <f t="shared" si="17"/>
        <v>0</v>
      </c>
      <c r="BF58" s="44">
        <f t="shared" si="17"/>
        <v>0</v>
      </c>
      <c r="BG58" s="44">
        <f t="shared" si="17"/>
        <v>0</v>
      </c>
      <c r="BH58" s="44">
        <f t="shared" si="17"/>
        <v>0</v>
      </c>
      <c r="BI58" s="44">
        <f t="shared" si="17"/>
        <v>0</v>
      </c>
      <c r="BJ58" s="44">
        <f t="shared" si="17"/>
        <v>0</v>
      </c>
      <c r="BK58" s="44">
        <f t="shared" si="17"/>
        <v>0</v>
      </c>
      <c r="BL58" s="44">
        <f t="shared" si="17"/>
        <v>0</v>
      </c>
    </row>
    <row r="59" spans="1:64" x14ac:dyDescent="0.3">
      <c r="A59" s="8" t="s">
        <v>1013</v>
      </c>
      <c r="D59" s="44">
        <f>D58</f>
        <v>-830409.04826655251</v>
      </c>
      <c r="E59" s="44">
        <f t="shared" ref="E59:AJ59" si="18">D59+E58</f>
        <v>-963427.03097685438</v>
      </c>
      <c r="F59" s="44">
        <f t="shared" si="18"/>
        <v>-1093421.1301086857</v>
      </c>
      <c r="G59" s="44">
        <f t="shared" si="18"/>
        <v>-1220393.6362949461</v>
      </c>
      <c r="H59" s="44">
        <f t="shared" si="18"/>
        <v>-1344345.1364293811</v>
      </c>
      <c r="I59" s="44">
        <f t="shared" si="18"/>
        <v>-1468303.4253024342</v>
      </c>
      <c r="J59" s="44">
        <f t="shared" si="18"/>
        <v>-1592265.1840410887</v>
      </c>
      <c r="K59" s="44">
        <f t="shared" si="18"/>
        <v>-1711534.2307604337</v>
      </c>
      <c r="L59" s="44">
        <f t="shared" si="18"/>
        <v>-1830803.2774797787</v>
      </c>
      <c r="M59" s="44">
        <f t="shared" si="18"/>
        <v>-1950072.3241991238</v>
      </c>
      <c r="N59" s="44">
        <f t="shared" si="18"/>
        <v>-2069341.3709184688</v>
      </c>
      <c r="O59" s="44">
        <f t="shared" si="18"/>
        <v>-2188610.4176378138</v>
      </c>
      <c r="P59" s="44">
        <f t="shared" si="18"/>
        <v>-2307879.4643571586</v>
      </c>
      <c r="Q59" s="44">
        <f t="shared" si="18"/>
        <v>-2454348.5110765034</v>
      </c>
      <c r="R59" s="44">
        <f t="shared" si="18"/>
        <v>-2573617.5577958482</v>
      </c>
      <c r="S59" s="44">
        <f t="shared" si="18"/>
        <v>-2692886.604515193</v>
      </c>
      <c r="T59" s="44">
        <f t="shared" si="18"/>
        <v>-2812155.6512345378</v>
      </c>
      <c r="U59" s="44">
        <f t="shared" si="18"/>
        <v>-2931424.6979538826</v>
      </c>
      <c r="V59" s="44">
        <f t="shared" si="18"/>
        <v>-3050693.7446732274</v>
      </c>
      <c r="W59" s="44">
        <f t="shared" si="18"/>
        <v>-3169962.7913925722</v>
      </c>
      <c r="X59" s="44">
        <f t="shared" si="18"/>
        <v>-3289231.838111917</v>
      </c>
      <c r="Y59" s="44">
        <f t="shared" si="18"/>
        <v>-3408500.8848312618</v>
      </c>
      <c r="Z59" s="44">
        <f t="shared" si="18"/>
        <v>-3527769.9315506066</v>
      </c>
      <c r="AA59" s="44">
        <f t="shared" si="18"/>
        <v>-3647038.9782699514</v>
      </c>
      <c r="AB59" s="44">
        <f t="shared" si="18"/>
        <v>-3766308.0249892962</v>
      </c>
      <c r="AC59" s="44">
        <f t="shared" si="18"/>
        <v>-3912777.071708641</v>
      </c>
      <c r="AD59" s="44">
        <f t="shared" si="18"/>
        <v>-4032046.1184279858</v>
      </c>
      <c r="AE59" s="44">
        <f t="shared" si="18"/>
        <v>-4151315.1651473306</v>
      </c>
      <c r="AF59" s="44">
        <f t="shared" si="18"/>
        <v>-4270584.2118666759</v>
      </c>
      <c r="AG59" s="44">
        <f t="shared" si="18"/>
        <v>-4389853.2585860211</v>
      </c>
      <c r="AH59" s="44">
        <f t="shared" si="18"/>
        <v>-4509122.3053053664</v>
      </c>
      <c r="AI59" s="44">
        <f t="shared" si="18"/>
        <v>-4628391.3520247117</v>
      </c>
      <c r="AJ59" s="44">
        <f t="shared" si="18"/>
        <v>-4747660.3987440569</v>
      </c>
      <c r="AK59" s="44">
        <f t="shared" ref="AK59:BP59" si="19">AJ59+AK58</f>
        <v>-4866929.4454634022</v>
      </c>
      <c r="AL59" s="44">
        <f t="shared" si="19"/>
        <v>-4986198.4921827475</v>
      </c>
      <c r="AM59" s="44">
        <f t="shared" si="19"/>
        <v>-5105467.5389020927</v>
      </c>
      <c r="AN59" s="44">
        <f t="shared" si="19"/>
        <v>-5224736.585621438</v>
      </c>
      <c r="AO59" s="44">
        <f t="shared" si="19"/>
        <v>-5224736.585621438</v>
      </c>
      <c r="AP59" s="44">
        <f t="shared" si="19"/>
        <v>-5224736.585621438</v>
      </c>
      <c r="AQ59" s="44">
        <f t="shared" si="19"/>
        <v>-5224736.585621438</v>
      </c>
      <c r="AR59" s="44">
        <f t="shared" si="19"/>
        <v>-5224736.585621438</v>
      </c>
      <c r="AS59" s="44">
        <f t="shared" si="19"/>
        <v>-5224736.585621438</v>
      </c>
      <c r="AT59" s="44">
        <f t="shared" si="19"/>
        <v>-5224736.585621438</v>
      </c>
      <c r="AU59" s="44">
        <f t="shared" si="19"/>
        <v>-5224736.585621438</v>
      </c>
      <c r="AV59" s="44">
        <f t="shared" si="19"/>
        <v>-5224736.585621438</v>
      </c>
      <c r="AW59" s="44">
        <f t="shared" si="19"/>
        <v>-5224736.585621438</v>
      </c>
      <c r="AX59" s="44">
        <f t="shared" si="19"/>
        <v>-5224736.585621438</v>
      </c>
      <c r="AY59" s="44">
        <f t="shared" si="19"/>
        <v>-5224736.585621438</v>
      </c>
      <c r="AZ59" s="44">
        <f t="shared" si="19"/>
        <v>-5224736.585621438</v>
      </c>
      <c r="BA59" s="44">
        <f t="shared" si="19"/>
        <v>-5224736.585621438</v>
      </c>
      <c r="BB59" s="44">
        <f t="shared" si="19"/>
        <v>-5224736.585621438</v>
      </c>
      <c r="BC59" s="44">
        <f t="shared" si="19"/>
        <v>-5224736.585621438</v>
      </c>
      <c r="BD59" s="44">
        <f t="shared" si="19"/>
        <v>-5224736.585621438</v>
      </c>
      <c r="BE59" s="44">
        <f t="shared" si="19"/>
        <v>-5224736.585621438</v>
      </c>
      <c r="BF59" s="44">
        <f t="shared" si="19"/>
        <v>-5224736.585621438</v>
      </c>
      <c r="BG59" s="44">
        <f t="shared" si="19"/>
        <v>-5224736.585621438</v>
      </c>
      <c r="BH59" s="44">
        <f t="shared" si="19"/>
        <v>-5224736.585621438</v>
      </c>
      <c r="BI59" s="44">
        <f t="shared" si="19"/>
        <v>-5224736.585621438</v>
      </c>
      <c r="BJ59" s="44">
        <f t="shared" si="19"/>
        <v>-5224736.585621438</v>
      </c>
      <c r="BK59" s="44">
        <f t="shared" si="19"/>
        <v>-5224736.585621438</v>
      </c>
      <c r="BL59" s="44">
        <f t="shared" si="19"/>
        <v>-5224736.585621438</v>
      </c>
    </row>
    <row r="60" spans="1:64" x14ac:dyDescent="0.3">
      <c r="A60" s="8" t="s">
        <v>1014</v>
      </c>
      <c r="C60" s="22" t="str">
        <f>IF(COUNT(E60:BL60)=0,"None",MIN(E60:BL60))</f>
        <v>None</v>
      </c>
      <c r="E60" s="22" t="str">
        <f>IF(AND(E$4&lt;=Org!$B$5,E59&gt;=0),E$4,"")</f>
        <v/>
      </c>
      <c r="F60" s="22" t="str">
        <f>IF(AND(F$4&lt;=Org!$B$5,F59&gt;=0),F$4,"")</f>
        <v/>
      </c>
      <c r="G60" s="22" t="str">
        <f>IF(AND(G$4&lt;=Org!$B$5,G59&gt;=0),G$4,"")</f>
        <v/>
      </c>
      <c r="H60" s="22" t="str">
        <f>IF(AND(H$4&lt;=Org!$B$5,H59&gt;=0),H$4,"")</f>
        <v/>
      </c>
      <c r="I60" s="22" t="str">
        <f>IF(AND(I$4&lt;=Org!$B$5,I59&gt;=0),I$4,"")</f>
        <v/>
      </c>
      <c r="J60" s="22" t="str">
        <f>IF(AND(J$4&lt;=Org!$B$5,J59&gt;=0),J$4,"")</f>
        <v/>
      </c>
      <c r="K60" s="22" t="str">
        <f>IF(AND(K$4&lt;=Org!$B$5,K59&gt;=0),K$4,"")</f>
        <v/>
      </c>
      <c r="L60" s="22" t="str">
        <f>IF(AND(L$4&lt;=Org!$B$5,L59&gt;=0),L$4,"")</f>
        <v/>
      </c>
      <c r="M60" s="22" t="str">
        <f>IF(AND(M$4&lt;=Org!$B$5,M59&gt;=0),M$4,"")</f>
        <v/>
      </c>
      <c r="N60" s="22" t="str">
        <f>IF(AND(N$4&lt;=Org!$B$5,N59&gt;=0),N$4,"")</f>
        <v/>
      </c>
      <c r="O60" s="22" t="str">
        <f>IF(AND(O$4&lt;=Org!$B$5,O59&gt;=0),O$4,"")</f>
        <v/>
      </c>
      <c r="P60" s="22" t="str">
        <f>IF(AND(P$4&lt;=Org!$B$5,P59&gt;=0),P$4,"")</f>
        <v/>
      </c>
      <c r="Q60" s="22" t="str">
        <f>IF(AND(Q$4&lt;=Org!$B$5,Q59&gt;=0),Q$4,"")</f>
        <v/>
      </c>
      <c r="R60" s="22" t="str">
        <f>IF(AND(R$4&lt;=Org!$B$5,R59&gt;=0),R$4,"")</f>
        <v/>
      </c>
      <c r="S60" s="22" t="str">
        <f>IF(AND(S$4&lt;=Org!$B$5,S59&gt;=0),S$4,"")</f>
        <v/>
      </c>
      <c r="T60" s="22" t="str">
        <f>IF(AND(T$4&lt;=Org!$B$5,T59&gt;=0),T$4,"")</f>
        <v/>
      </c>
      <c r="U60" s="22" t="str">
        <f>IF(AND(U$4&lt;=Org!$B$5,U59&gt;=0),U$4,"")</f>
        <v/>
      </c>
      <c r="V60" s="22" t="str">
        <f>IF(AND(V$4&lt;=Org!$B$5,V59&gt;=0),V$4,"")</f>
        <v/>
      </c>
      <c r="W60" s="22" t="str">
        <f>IF(AND(W$4&lt;=Org!$B$5,W59&gt;=0),W$4,"")</f>
        <v/>
      </c>
      <c r="X60" s="22" t="str">
        <f>IF(AND(X$4&lt;=Org!$B$5,X59&gt;=0),X$4,"")</f>
        <v/>
      </c>
      <c r="Y60" s="22" t="str">
        <f>IF(AND(Y$4&lt;=Org!$B$5,Y59&gt;=0),Y$4,"")</f>
        <v/>
      </c>
      <c r="Z60" s="22" t="str">
        <f>IF(AND(Z$4&lt;=Org!$B$5,Z59&gt;=0),Z$4,"")</f>
        <v/>
      </c>
      <c r="AA60" s="22" t="str">
        <f>IF(AND(AA$4&lt;=Org!$B$5,AA59&gt;=0),AA$4,"")</f>
        <v/>
      </c>
      <c r="AB60" s="22" t="str">
        <f>IF(AND(AB$4&lt;=Org!$B$5,AB59&gt;=0),AB$4,"")</f>
        <v/>
      </c>
      <c r="AC60" s="22" t="str">
        <f>IF(AND(AC$4&lt;=Org!$B$5,AC59&gt;=0),AC$4,"")</f>
        <v/>
      </c>
      <c r="AD60" s="22" t="str">
        <f>IF(AND(AD$4&lt;=Org!$B$5,AD59&gt;=0),AD$4,"")</f>
        <v/>
      </c>
      <c r="AE60" s="22" t="str">
        <f>IF(AND(AE$4&lt;=Org!$B$5,AE59&gt;=0),AE$4,"")</f>
        <v/>
      </c>
      <c r="AF60" s="22" t="str">
        <f>IF(AND(AF$4&lt;=Org!$B$5,AF59&gt;=0),AF$4,"")</f>
        <v/>
      </c>
      <c r="AG60" s="22" t="str">
        <f>IF(AND(AG$4&lt;=Org!$B$5,AG59&gt;=0),AG$4,"")</f>
        <v/>
      </c>
      <c r="AH60" s="22" t="str">
        <f>IF(AND(AH$4&lt;=Org!$B$5,AH59&gt;=0),AH$4,"")</f>
        <v/>
      </c>
      <c r="AI60" s="22" t="str">
        <f>IF(AND(AI$4&lt;=Org!$B$5,AI59&gt;=0),AI$4,"")</f>
        <v/>
      </c>
      <c r="AJ60" s="22" t="str">
        <f>IF(AND(AJ$4&lt;=Org!$B$5,AJ59&gt;=0),AJ$4,"")</f>
        <v/>
      </c>
      <c r="AK60" s="22" t="str">
        <f>IF(AND(AK$4&lt;=Org!$B$5,AK59&gt;=0),AK$4,"")</f>
        <v/>
      </c>
      <c r="AL60" s="22" t="str">
        <f>IF(AND(AL$4&lt;=Org!$B$5,AL59&gt;=0),AL$4,"")</f>
        <v/>
      </c>
      <c r="AM60" s="22" t="str">
        <f>IF(AND(AM$4&lt;=Org!$B$5,AM59&gt;=0),AM$4,"")</f>
        <v/>
      </c>
      <c r="AN60" s="22" t="str">
        <f>IF(AND(AN$4&lt;=Org!$B$5,AN59&gt;=0),AN$4,"")</f>
        <v/>
      </c>
      <c r="AO60" s="22" t="str">
        <f>IF(AND(AO$4&lt;=Org!$B$5,AO59&gt;=0),AO$4,"")</f>
        <v/>
      </c>
      <c r="AP60" s="22" t="str">
        <f>IF(AND(AP$4&lt;=Org!$B$5,AP59&gt;=0),AP$4,"")</f>
        <v/>
      </c>
      <c r="AQ60" s="22" t="str">
        <f>IF(AND(AQ$4&lt;=Org!$B$5,AQ59&gt;=0),AQ$4,"")</f>
        <v/>
      </c>
      <c r="AR60" s="22" t="str">
        <f>IF(AND(AR$4&lt;=Org!$B$5,AR59&gt;=0),AR$4,"")</f>
        <v/>
      </c>
      <c r="AS60" s="22" t="str">
        <f>IF(AND(AS$4&lt;=Org!$B$5,AS59&gt;=0),AS$4,"")</f>
        <v/>
      </c>
      <c r="AT60" s="22" t="str">
        <f>IF(AND(AT$4&lt;=Org!$B$5,AT59&gt;=0),AT$4,"")</f>
        <v/>
      </c>
      <c r="AU60" s="22" t="str">
        <f>IF(AND(AU$4&lt;=Org!$B$5,AU59&gt;=0),AU$4,"")</f>
        <v/>
      </c>
      <c r="AV60" s="22" t="str">
        <f>IF(AND(AV$4&lt;=Org!$B$5,AV59&gt;=0),AV$4,"")</f>
        <v/>
      </c>
      <c r="AW60" s="22" t="str">
        <f>IF(AND(AW$4&lt;=Org!$B$5,AW59&gt;=0),AW$4,"")</f>
        <v/>
      </c>
      <c r="AX60" s="22" t="str">
        <f>IF(AND(AX$4&lt;=Org!$B$5,AX59&gt;=0),AX$4,"")</f>
        <v/>
      </c>
      <c r="AY60" s="22" t="str">
        <f>IF(AND(AY$4&lt;=Org!$B$5,AY59&gt;=0),AY$4,"")</f>
        <v/>
      </c>
      <c r="AZ60" s="22" t="str">
        <f>IF(AND(AZ$4&lt;=Org!$B$5,AZ59&gt;=0),AZ$4,"")</f>
        <v/>
      </c>
      <c r="BA60" s="22" t="str">
        <f>IF(AND(BA$4&lt;=Org!$B$5,BA59&gt;=0),BA$4,"")</f>
        <v/>
      </c>
      <c r="BB60" s="22" t="str">
        <f>IF(AND(BB$4&lt;=Org!$B$5,BB59&gt;=0),BB$4,"")</f>
        <v/>
      </c>
      <c r="BC60" s="22" t="str">
        <f>IF(AND(BC$4&lt;=Org!$B$5,BC59&gt;=0),BC$4,"")</f>
        <v/>
      </c>
      <c r="BD60" s="22" t="str">
        <f>IF(AND(BD$4&lt;=Org!$B$5,BD59&gt;=0),BD$4,"")</f>
        <v/>
      </c>
      <c r="BE60" s="22" t="str">
        <f>IF(AND(BE$4&lt;=Org!$B$5,BE59&gt;=0),BE$4,"")</f>
        <v/>
      </c>
      <c r="BF60" s="22" t="str">
        <f>IF(AND(BF$4&lt;=Org!$B$5,BF59&gt;=0),BF$4,"")</f>
        <v/>
      </c>
      <c r="BG60" s="22" t="str">
        <f>IF(AND(BG$4&lt;=Org!$B$5,BG59&gt;=0),BG$4,"")</f>
        <v/>
      </c>
      <c r="BH60" s="22" t="str">
        <f>IF(AND(BH$4&lt;=Org!$B$5,BH59&gt;=0),BH$4,"")</f>
        <v/>
      </c>
      <c r="BI60" s="22" t="str">
        <f>IF(AND(BI$4&lt;=Org!$B$5,BI59&gt;=0),BI$4,"")</f>
        <v/>
      </c>
      <c r="BJ60" s="22" t="str">
        <f>IF(AND(BJ$4&lt;=Org!$B$5,BJ59&gt;=0),BJ$4,"")</f>
        <v/>
      </c>
      <c r="BK60" s="22" t="str">
        <f>IF(AND(BK$4&lt;=Org!$B$5,BK59&gt;=0),BK$4,"")</f>
        <v/>
      </c>
      <c r="BL60" s="22" t="str">
        <f>IF(AND(BL$4&lt;=Org!$B$5,BL59&gt;=0),BL$4,"")</f>
        <v/>
      </c>
    </row>
    <row r="62" spans="1:64" x14ac:dyDescent="0.3">
      <c r="A62" s="17" t="str">
        <f>Teams!$E$4</f>
        <v>Customer service agent</v>
      </c>
      <c r="B62" s="18" t="s">
        <v>1009</v>
      </c>
      <c r="C62" s="50">
        <f>(Teams!$E$29*(1-Teams!$E$31)*Params!$F$39*Params!$F$21*IF(Teams!$E$36="Yes",Params!$F$22,1)*Teams!$E$68*Teams!$E$70+Teams!$E$30*(1-Teams!$E$31)*Params!$F$39*Params!$F$21*IF(Teams!$E$36="Yes",Params!$F$22,1)*Teams!$E$69)/1000000*Teams!$E$71*Teams!$E$35</f>
        <v>0</v>
      </c>
    </row>
    <row r="63" spans="1:64" x14ac:dyDescent="0.3">
      <c r="A63" s="8" t="s">
        <v>1010</v>
      </c>
      <c r="E63" s="26">
        <f>IF(E$4&lt;Teams!$E$80,0,IF(Teams!$E$22="S",MIN(1,(E$4-Teams!$E$80+1)/Teams!$E$21)^2*(3-2*MIN(1,(E$4-Teams!$E$80+1)/Teams!$E$21)),MIN(1,(E$4-Teams!$E$80+1)/Teams!$E$21)))</f>
        <v>0</v>
      </c>
      <c r="F63" s="26">
        <f>IF(F$4&lt;Teams!$E$80,0,IF(Teams!$E$22="S",MIN(1,(F$4-Teams!$E$80+1)/Teams!$E$21)^2*(3-2*MIN(1,(F$4-Teams!$E$80+1)/Teams!$E$21)),MIN(1,(F$4-Teams!$E$80+1)/Teams!$E$21)))</f>
        <v>7.407407407407407E-2</v>
      </c>
      <c r="G63" s="26">
        <f>IF(G$4&lt;Teams!$E$80,0,IF(Teams!$E$22="S",MIN(1,(G$4-Teams!$E$80+1)/Teams!$E$21)^2*(3-2*MIN(1,(G$4-Teams!$E$80+1)/Teams!$E$21)),MIN(1,(G$4-Teams!$E$80+1)/Teams!$E$21)))</f>
        <v>0.25925925925925924</v>
      </c>
      <c r="H63" s="26">
        <f>IF(H$4&lt;Teams!$E$80,0,IF(Teams!$E$22="S",MIN(1,(H$4-Teams!$E$80+1)/Teams!$E$21)^2*(3-2*MIN(1,(H$4-Teams!$E$80+1)/Teams!$E$21)),MIN(1,(H$4-Teams!$E$80+1)/Teams!$E$21)))</f>
        <v>0.5</v>
      </c>
      <c r="I63" s="26">
        <f>IF(I$4&lt;Teams!$E$80,0,IF(Teams!$E$22="S",MIN(1,(I$4-Teams!$E$80+1)/Teams!$E$21)^2*(3-2*MIN(1,(I$4-Teams!$E$80+1)/Teams!$E$21)),MIN(1,(I$4-Teams!$E$80+1)/Teams!$E$21)))</f>
        <v>0.7407407407407407</v>
      </c>
      <c r="J63" s="26">
        <f>IF(J$4&lt;Teams!$E$80,0,IF(Teams!$E$22="S",MIN(1,(J$4-Teams!$E$80+1)/Teams!$E$21)^2*(3-2*MIN(1,(J$4-Teams!$E$80+1)/Teams!$E$21)),MIN(1,(J$4-Teams!$E$80+1)/Teams!$E$21)))</f>
        <v>0.92592592592592604</v>
      </c>
      <c r="K63" s="26">
        <f>IF(K$4&lt;Teams!$E$80,0,IF(Teams!$E$22="S",MIN(1,(K$4-Teams!$E$80+1)/Teams!$E$21)^2*(3-2*MIN(1,(K$4-Teams!$E$80+1)/Teams!$E$21)),MIN(1,(K$4-Teams!$E$80+1)/Teams!$E$21)))</f>
        <v>1</v>
      </c>
      <c r="L63" s="26">
        <f>IF(L$4&lt;Teams!$E$80,0,IF(Teams!$E$22="S",MIN(1,(L$4-Teams!$E$80+1)/Teams!$E$21)^2*(3-2*MIN(1,(L$4-Teams!$E$80+1)/Teams!$E$21)),MIN(1,(L$4-Teams!$E$80+1)/Teams!$E$21)))</f>
        <v>1</v>
      </c>
      <c r="M63" s="26">
        <f>IF(M$4&lt;Teams!$E$80,0,IF(Teams!$E$22="S",MIN(1,(M$4-Teams!$E$80+1)/Teams!$E$21)^2*(3-2*MIN(1,(M$4-Teams!$E$80+1)/Teams!$E$21)),MIN(1,(M$4-Teams!$E$80+1)/Teams!$E$21)))</f>
        <v>1</v>
      </c>
      <c r="N63" s="26">
        <f>IF(N$4&lt;Teams!$E$80,0,IF(Teams!$E$22="S",MIN(1,(N$4-Teams!$E$80+1)/Teams!$E$21)^2*(3-2*MIN(1,(N$4-Teams!$E$80+1)/Teams!$E$21)),MIN(1,(N$4-Teams!$E$80+1)/Teams!$E$21)))</f>
        <v>1</v>
      </c>
      <c r="O63" s="26">
        <f>IF(O$4&lt;Teams!$E$80,0,IF(Teams!$E$22="S",MIN(1,(O$4-Teams!$E$80+1)/Teams!$E$21)^2*(3-2*MIN(1,(O$4-Teams!$E$80+1)/Teams!$E$21)),MIN(1,(O$4-Teams!$E$80+1)/Teams!$E$21)))</f>
        <v>1</v>
      </c>
      <c r="P63" s="26">
        <f>IF(P$4&lt;Teams!$E$80,0,IF(Teams!$E$22="S",MIN(1,(P$4-Teams!$E$80+1)/Teams!$E$21)^2*(3-2*MIN(1,(P$4-Teams!$E$80+1)/Teams!$E$21)),MIN(1,(P$4-Teams!$E$80+1)/Teams!$E$21)))</f>
        <v>1</v>
      </c>
      <c r="Q63" s="26">
        <f>IF(Q$4&lt;Teams!$E$80,0,IF(Teams!$E$22="S",MIN(1,(Q$4-Teams!$E$80+1)/Teams!$E$21)^2*(3-2*MIN(1,(Q$4-Teams!$E$80+1)/Teams!$E$21)),MIN(1,(Q$4-Teams!$E$80+1)/Teams!$E$21)))</f>
        <v>1</v>
      </c>
      <c r="R63" s="26">
        <f>IF(R$4&lt;Teams!$E$80,0,IF(Teams!$E$22="S",MIN(1,(R$4-Teams!$E$80+1)/Teams!$E$21)^2*(3-2*MIN(1,(R$4-Teams!$E$80+1)/Teams!$E$21)),MIN(1,(R$4-Teams!$E$80+1)/Teams!$E$21)))</f>
        <v>1</v>
      </c>
      <c r="S63" s="26">
        <f>IF(S$4&lt;Teams!$E$80,0,IF(Teams!$E$22="S",MIN(1,(S$4-Teams!$E$80+1)/Teams!$E$21)^2*(3-2*MIN(1,(S$4-Teams!$E$80+1)/Teams!$E$21)),MIN(1,(S$4-Teams!$E$80+1)/Teams!$E$21)))</f>
        <v>1</v>
      </c>
      <c r="T63" s="26">
        <f>IF(T$4&lt;Teams!$E$80,0,IF(Teams!$E$22="S",MIN(1,(T$4-Teams!$E$80+1)/Teams!$E$21)^2*(3-2*MIN(1,(T$4-Teams!$E$80+1)/Teams!$E$21)),MIN(1,(T$4-Teams!$E$80+1)/Teams!$E$21)))</f>
        <v>1</v>
      </c>
      <c r="U63" s="26">
        <f>IF(U$4&lt;Teams!$E$80,0,IF(Teams!$E$22="S",MIN(1,(U$4-Teams!$E$80+1)/Teams!$E$21)^2*(3-2*MIN(1,(U$4-Teams!$E$80+1)/Teams!$E$21)),MIN(1,(U$4-Teams!$E$80+1)/Teams!$E$21)))</f>
        <v>1</v>
      </c>
      <c r="V63" s="26">
        <f>IF(V$4&lt;Teams!$E$80,0,IF(Teams!$E$22="S",MIN(1,(V$4-Teams!$E$80+1)/Teams!$E$21)^2*(3-2*MIN(1,(V$4-Teams!$E$80+1)/Teams!$E$21)),MIN(1,(V$4-Teams!$E$80+1)/Teams!$E$21)))</f>
        <v>1</v>
      </c>
      <c r="W63" s="26">
        <f>IF(W$4&lt;Teams!$E$80,0,IF(Teams!$E$22="S",MIN(1,(W$4-Teams!$E$80+1)/Teams!$E$21)^2*(3-2*MIN(1,(W$4-Teams!$E$80+1)/Teams!$E$21)),MIN(1,(W$4-Teams!$E$80+1)/Teams!$E$21)))</f>
        <v>1</v>
      </c>
      <c r="X63" s="26">
        <f>IF(X$4&lt;Teams!$E$80,0,IF(Teams!$E$22="S",MIN(1,(X$4-Teams!$E$80+1)/Teams!$E$21)^2*(3-2*MIN(1,(X$4-Teams!$E$80+1)/Teams!$E$21)),MIN(1,(X$4-Teams!$E$80+1)/Teams!$E$21)))</f>
        <v>1</v>
      </c>
      <c r="Y63" s="26">
        <f>IF(Y$4&lt;Teams!$E$80,0,IF(Teams!$E$22="S",MIN(1,(Y$4-Teams!$E$80+1)/Teams!$E$21)^2*(3-2*MIN(1,(Y$4-Teams!$E$80+1)/Teams!$E$21)),MIN(1,(Y$4-Teams!$E$80+1)/Teams!$E$21)))</f>
        <v>1</v>
      </c>
      <c r="Z63" s="26">
        <f>IF(Z$4&lt;Teams!$E$80,0,IF(Teams!$E$22="S",MIN(1,(Z$4-Teams!$E$80+1)/Teams!$E$21)^2*(3-2*MIN(1,(Z$4-Teams!$E$80+1)/Teams!$E$21)),MIN(1,(Z$4-Teams!$E$80+1)/Teams!$E$21)))</f>
        <v>1</v>
      </c>
      <c r="AA63" s="26">
        <f>IF(AA$4&lt;Teams!$E$80,0,IF(Teams!$E$22="S",MIN(1,(AA$4-Teams!$E$80+1)/Teams!$E$21)^2*(3-2*MIN(1,(AA$4-Teams!$E$80+1)/Teams!$E$21)),MIN(1,(AA$4-Teams!$E$80+1)/Teams!$E$21)))</f>
        <v>1</v>
      </c>
      <c r="AB63" s="26">
        <f>IF(AB$4&lt;Teams!$E$80,0,IF(Teams!$E$22="S",MIN(1,(AB$4-Teams!$E$80+1)/Teams!$E$21)^2*(3-2*MIN(1,(AB$4-Teams!$E$80+1)/Teams!$E$21)),MIN(1,(AB$4-Teams!$E$80+1)/Teams!$E$21)))</f>
        <v>1</v>
      </c>
      <c r="AC63" s="26">
        <f>IF(AC$4&lt;Teams!$E$80,0,IF(Teams!$E$22="S",MIN(1,(AC$4-Teams!$E$80+1)/Teams!$E$21)^2*(3-2*MIN(1,(AC$4-Teams!$E$80+1)/Teams!$E$21)),MIN(1,(AC$4-Teams!$E$80+1)/Teams!$E$21)))</f>
        <v>1</v>
      </c>
      <c r="AD63" s="26">
        <f>IF(AD$4&lt;Teams!$E$80,0,IF(Teams!$E$22="S",MIN(1,(AD$4-Teams!$E$80+1)/Teams!$E$21)^2*(3-2*MIN(1,(AD$4-Teams!$E$80+1)/Teams!$E$21)),MIN(1,(AD$4-Teams!$E$80+1)/Teams!$E$21)))</f>
        <v>1</v>
      </c>
      <c r="AE63" s="26">
        <f>IF(AE$4&lt;Teams!$E$80,0,IF(Teams!$E$22="S",MIN(1,(AE$4-Teams!$E$80+1)/Teams!$E$21)^2*(3-2*MIN(1,(AE$4-Teams!$E$80+1)/Teams!$E$21)),MIN(1,(AE$4-Teams!$E$80+1)/Teams!$E$21)))</f>
        <v>1</v>
      </c>
      <c r="AF63" s="26">
        <f>IF(AF$4&lt;Teams!$E$80,0,IF(Teams!$E$22="S",MIN(1,(AF$4-Teams!$E$80+1)/Teams!$E$21)^2*(3-2*MIN(1,(AF$4-Teams!$E$80+1)/Teams!$E$21)),MIN(1,(AF$4-Teams!$E$80+1)/Teams!$E$21)))</f>
        <v>1</v>
      </c>
      <c r="AG63" s="26">
        <f>IF(AG$4&lt;Teams!$E$80,0,IF(Teams!$E$22="S",MIN(1,(AG$4-Teams!$E$80+1)/Teams!$E$21)^2*(3-2*MIN(1,(AG$4-Teams!$E$80+1)/Teams!$E$21)),MIN(1,(AG$4-Teams!$E$80+1)/Teams!$E$21)))</f>
        <v>1</v>
      </c>
      <c r="AH63" s="26">
        <f>IF(AH$4&lt;Teams!$E$80,0,IF(Teams!$E$22="S",MIN(1,(AH$4-Teams!$E$80+1)/Teams!$E$21)^2*(3-2*MIN(1,(AH$4-Teams!$E$80+1)/Teams!$E$21)),MIN(1,(AH$4-Teams!$E$80+1)/Teams!$E$21)))</f>
        <v>1</v>
      </c>
      <c r="AI63" s="26">
        <f>IF(AI$4&lt;Teams!$E$80,0,IF(Teams!$E$22="S",MIN(1,(AI$4-Teams!$E$80+1)/Teams!$E$21)^2*(3-2*MIN(1,(AI$4-Teams!$E$80+1)/Teams!$E$21)),MIN(1,(AI$4-Teams!$E$80+1)/Teams!$E$21)))</f>
        <v>1</v>
      </c>
      <c r="AJ63" s="26">
        <f>IF(AJ$4&lt;Teams!$E$80,0,IF(Teams!$E$22="S",MIN(1,(AJ$4-Teams!$E$80+1)/Teams!$E$21)^2*(3-2*MIN(1,(AJ$4-Teams!$E$80+1)/Teams!$E$21)),MIN(1,(AJ$4-Teams!$E$80+1)/Teams!$E$21)))</f>
        <v>1</v>
      </c>
      <c r="AK63" s="26">
        <f>IF(AK$4&lt;Teams!$E$80,0,IF(Teams!$E$22="S",MIN(1,(AK$4-Teams!$E$80+1)/Teams!$E$21)^2*(3-2*MIN(1,(AK$4-Teams!$E$80+1)/Teams!$E$21)),MIN(1,(AK$4-Teams!$E$80+1)/Teams!$E$21)))</f>
        <v>1</v>
      </c>
      <c r="AL63" s="26">
        <f>IF(AL$4&lt;Teams!$E$80,0,IF(Teams!$E$22="S",MIN(1,(AL$4-Teams!$E$80+1)/Teams!$E$21)^2*(3-2*MIN(1,(AL$4-Teams!$E$80+1)/Teams!$E$21)),MIN(1,(AL$4-Teams!$E$80+1)/Teams!$E$21)))</f>
        <v>1</v>
      </c>
      <c r="AM63" s="26">
        <f>IF(AM$4&lt;Teams!$E$80,0,IF(Teams!$E$22="S",MIN(1,(AM$4-Teams!$E$80+1)/Teams!$E$21)^2*(3-2*MIN(1,(AM$4-Teams!$E$80+1)/Teams!$E$21)),MIN(1,(AM$4-Teams!$E$80+1)/Teams!$E$21)))</f>
        <v>1</v>
      </c>
      <c r="AN63" s="26">
        <f>IF(AN$4&lt;Teams!$E$80,0,IF(Teams!$E$22="S",MIN(1,(AN$4-Teams!$E$80+1)/Teams!$E$21)^2*(3-2*MIN(1,(AN$4-Teams!$E$80+1)/Teams!$E$21)),MIN(1,(AN$4-Teams!$E$80+1)/Teams!$E$21)))</f>
        <v>1</v>
      </c>
      <c r="AO63" s="26">
        <f>IF(AO$4&lt;Teams!$E$80,0,IF(Teams!$E$22="S",MIN(1,(AO$4-Teams!$E$80+1)/Teams!$E$21)^2*(3-2*MIN(1,(AO$4-Teams!$E$80+1)/Teams!$E$21)),MIN(1,(AO$4-Teams!$E$80+1)/Teams!$E$21)))</f>
        <v>1</v>
      </c>
      <c r="AP63" s="26">
        <f>IF(AP$4&lt;Teams!$E$80,0,IF(Teams!$E$22="S",MIN(1,(AP$4-Teams!$E$80+1)/Teams!$E$21)^2*(3-2*MIN(1,(AP$4-Teams!$E$80+1)/Teams!$E$21)),MIN(1,(AP$4-Teams!$E$80+1)/Teams!$E$21)))</f>
        <v>1</v>
      </c>
      <c r="AQ63" s="26">
        <f>IF(AQ$4&lt;Teams!$E$80,0,IF(Teams!$E$22="S",MIN(1,(AQ$4-Teams!$E$80+1)/Teams!$E$21)^2*(3-2*MIN(1,(AQ$4-Teams!$E$80+1)/Teams!$E$21)),MIN(1,(AQ$4-Teams!$E$80+1)/Teams!$E$21)))</f>
        <v>1</v>
      </c>
      <c r="AR63" s="26">
        <f>IF(AR$4&lt;Teams!$E$80,0,IF(Teams!$E$22="S",MIN(1,(AR$4-Teams!$E$80+1)/Teams!$E$21)^2*(3-2*MIN(1,(AR$4-Teams!$E$80+1)/Teams!$E$21)),MIN(1,(AR$4-Teams!$E$80+1)/Teams!$E$21)))</f>
        <v>1</v>
      </c>
      <c r="AS63" s="26">
        <f>IF(AS$4&lt;Teams!$E$80,0,IF(Teams!$E$22="S",MIN(1,(AS$4-Teams!$E$80+1)/Teams!$E$21)^2*(3-2*MIN(1,(AS$4-Teams!$E$80+1)/Teams!$E$21)),MIN(1,(AS$4-Teams!$E$80+1)/Teams!$E$21)))</f>
        <v>1</v>
      </c>
      <c r="AT63" s="26">
        <f>IF(AT$4&lt;Teams!$E$80,0,IF(Teams!$E$22="S",MIN(1,(AT$4-Teams!$E$80+1)/Teams!$E$21)^2*(3-2*MIN(1,(AT$4-Teams!$E$80+1)/Teams!$E$21)),MIN(1,(AT$4-Teams!$E$80+1)/Teams!$E$21)))</f>
        <v>1</v>
      </c>
      <c r="AU63" s="26">
        <f>IF(AU$4&lt;Teams!$E$80,0,IF(Teams!$E$22="S",MIN(1,(AU$4-Teams!$E$80+1)/Teams!$E$21)^2*(3-2*MIN(1,(AU$4-Teams!$E$80+1)/Teams!$E$21)),MIN(1,(AU$4-Teams!$E$80+1)/Teams!$E$21)))</f>
        <v>1</v>
      </c>
      <c r="AV63" s="26">
        <f>IF(AV$4&lt;Teams!$E$80,0,IF(Teams!$E$22="S",MIN(1,(AV$4-Teams!$E$80+1)/Teams!$E$21)^2*(3-2*MIN(1,(AV$4-Teams!$E$80+1)/Teams!$E$21)),MIN(1,(AV$4-Teams!$E$80+1)/Teams!$E$21)))</f>
        <v>1</v>
      </c>
      <c r="AW63" s="26">
        <f>IF(AW$4&lt;Teams!$E$80,0,IF(Teams!$E$22="S",MIN(1,(AW$4-Teams!$E$80+1)/Teams!$E$21)^2*(3-2*MIN(1,(AW$4-Teams!$E$80+1)/Teams!$E$21)),MIN(1,(AW$4-Teams!$E$80+1)/Teams!$E$21)))</f>
        <v>1</v>
      </c>
      <c r="AX63" s="26">
        <f>IF(AX$4&lt;Teams!$E$80,0,IF(Teams!$E$22="S",MIN(1,(AX$4-Teams!$E$80+1)/Teams!$E$21)^2*(3-2*MIN(1,(AX$4-Teams!$E$80+1)/Teams!$E$21)),MIN(1,(AX$4-Teams!$E$80+1)/Teams!$E$21)))</f>
        <v>1</v>
      </c>
      <c r="AY63" s="26">
        <f>IF(AY$4&lt;Teams!$E$80,0,IF(Teams!$E$22="S",MIN(1,(AY$4-Teams!$E$80+1)/Teams!$E$21)^2*(3-2*MIN(1,(AY$4-Teams!$E$80+1)/Teams!$E$21)),MIN(1,(AY$4-Teams!$E$80+1)/Teams!$E$21)))</f>
        <v>1</v>
      </c>
      <c r="AZ63" s="26">
        <f>IF(AZ$4&lt;Teams!$E$80,0,IF(Teams!$E$22="S",MIN(1,(AZ$4-Teams!$E$80+1)/Teams!$E$21)^2*(3-2*MIN(1,(AZ$4-Teams!$E$80+1)/Teams!$E$21)),MIN(1,(AZ$4-Teams!$E$80+1)/Teams!$E$21)))</f>
        <v>1</v>
      </c>
      <c r="BA63" s="26">
        <f>IF(BA$4&lt;Teams!$E$80,0,IF(Teams!$E$22="S",MIN(1,(BA$4-Teams!$E$80+1)/Teams!$E$21)^2*(3-2*MIN(1,(BA$4-Teams!$E$80+1)/Teams!$E$21)),MIN(1,(BA$4-Teams!$E$80+1)/Teams!$E$21)))</f>
        <v>1</v>
      </c>
      <c r="BB63" s="26">
        <f>IF(BB$4&lt;Teams!$E$80,0,IF(Teams!$E$22="S",MIN(1,(BB$4-Teams!$E$80+1)/Teams!$E$21)^2*(3-2*MIN(1,(BB$4-Teams!$E$80+1)/Teams!$E$21)),MIN(1,(BB$4-Teams!$E$80+1)/Teams!$E$21)))</f>
        <v>1</v>
      </c>
      <c r="BC63" s="26">
        <f>IF(BC$4&lt;Teams!$E$80,0,IF(Teams!$E$22="S",MIN(1,(BC$4-Teams!$E$80+1)/Teams!$E$21)^2*(3-2*MIN(1,(BC$4-Teams!$E$80+1)/Teams!$E$21)),MIN(1,(BC$4-Teams!$E$80+1)/Teams!$E$21)))</f>
        <v>1</v>
      </c>
      <c r="BD63" s="26">
        <f>IF(BD$4&lt;Teams!$E$80,0,IF(Teams!$E$22="S",MIN(1,(BD$4-Teams!$E$80+1)/Teams!$E$21)^2*(3-2*MIN(1,(BD$4-Teams!$E$80+1)/Teams!$E$21)),MIN(1,(BD$4-Teams!$E$80+1)/Teams!$E$21)))</f>
        <v>1</v>
      </c>
      <c r="BE63" s="26">
        <f>IF(BE$4&lt;Teams!$E$80,0,IF(Teams!$E$22="S",MIN(1,(BE$4-Teams!$E$80+1)/Teams!$E$21)^2*(3-2*MIN(1,(BE$4-Teams!$E$80+1)/Teams!$E$21)),MIN(1,(BE$4-Teams!$E$80+1)/Teams!$E$21)))</f>
        <v>1</v>
      </c>
      <c r="BF63" s="26">
        <f>IF(BF$4&lt;Teams!$E$80,0,IF(Teams!$E$22="S",MIN(1,(BF$4-Teams!$E$80+1)/Teams!$E$21)^2*(3-2*MIN(1,(BF$4-Teams!$E$80+1)/Teams!$E$21)),MIN(1,(BF$4-Teams!$E$80+1)/Teams!$E$21)))</f>
        <v>1</v>
      </c>
      <c r="BG63" s="26">
        <f>IF(BG$4&lt;Teams!$E$80,0,IF(Teams!$E$22="S",MIN(1,(BG$4-Teams!$E$80+1)/Teams!$E$21)^2*(3-2*MIN(1,(BG$4-Teams!$E$80+1)/Teams!$E$21)),MIN(1,(BG$4-Teams!$E$80+1)/Teams!$E$21)))</f>
        <v>1</v>
      </c>
      <c r="BH63" s="26">
        <f>IF(BH$4&lt;Teams!$E$80,0,IF(Teams!$E$22="S",MIN(1,(BH$4-Teams!$E$80+1)/Teams!$E$21)^2*(3-2*MIN(1,(BH$4-Teams!$E$80+1)/Teams!$E$21)),MIN(1,(BH$4-Teams!$E$80+1)/Teams!$E$21)))</f>
        <v>1</v>
      </c>
      <c r="BI63" s="26">
        <f>IF(BI$4&lt;Teams!$E$80,0,IF(Teams!$E$22="S",MIN(1,(BI$4-Teams!$E$80+1)/Teams!$E$21)^2*(3-2*MIN(1,(BI$4-Teams!$E$80+1)/Teams!$E$21)),MIN(1,(BI$4-Teams!$E$80+1)/Teams!$E$21)))</f>
        <v>1</v>
      </c>
      <c r="BJ63" s="26">
        <f>IF(BJ$4&lt;Teams!$E$80,0,IF(Teams!$E$22="S",MIN(1,(BJ$4-Teams!$E$80+1)/Teams!$E$21)^2*(3-2*MIN(1,(BJ$4-Teams!$E$80+1)/Teams!$E$21)),MIN(1,(BJ$4-Teams!$E$80+1)/Teams!$E$21)))</f>
        <v>1</v>
      </c>
      <c r="BK63" s="26">
        <f>IF(BK$4&lt;Teams!$E$80,0,IF(Teams!$E$22="S",MIN(1,(BK$4-Teams!$E$80+1)/Teams!$E$21)^2*(3-2*MIN(1,(BK$4-Teams!$E$80+1)/Teams!$E$21)),MIN(1,(BK$4-Teams!$E$80+1)/Teams!$E$21)))</f>
        <v>1</v>
      </c>
      <c r="BL63" s="26">
        <f>IF(BL$4&lt;Teams!$E$80,0,IF(Teams!$E$22="S",MIN(1,(BL$4-Teams!$E$80+1)/Teams!$E$21)^2*(3-2*MIN(1,(BL$4-Teams!$E$80+1)/Teams!$E$21)),MIN(1,(BL$4-Teams!$E$80+1)/Teams!$E$21)))</f>
        <v>1</v>
      </c>
    </row>
    <row r="64" spans="1:64" x14ac:dyDescent="0.3">
      <c r="A64" s="8" t="s">
        <v>160</v>
      </c>
      <c r="E64" s="22">
        <f>IF(E$4&gt;=Teams!$E$80,Teams!$E$18,0)</f>
        <v>0</v>
      </c>
      <c r="F64" s="22">
        <f>IF(F$4&gt;=Teams!$E$80,Teams!$E$18,0)</f>
        <v>60</v>
      </c>
      <c r="G64" s="22">
        <f>IF(G$4&gt;=Teams!$E$80,Teams!$E$18,0)</f>
        <v>60</v>
      </c>
      <c r="H64" s="22">
        <f>IF(H$4&gt;=Teams!$E$80,Teams!$E$18,0)</f>
        <v>60</v>
      </c>
      <c r="I64" s="22">
        <f>IF(I$4&gt;=Teams!$E$80,Teams!$E$18,0)</f>
        <v>60</v>
      </c>
      <c r="J64" s="22">
        <f>IF(J$4&gt;=Teams!$E$80,Teams!$E$18,0)</f>
        <v>60</v>
      </c>
      <c r="K64" s="22">
        <f>IF(K$4&gt;=Teams!$E$80,Teams!$E$18,0)</f>
        <v>60</v>
      </c>
      <c r="L64" s="22">
        <f>IF(L$4&gt;=Teams!$E$80,Teams!$E$18,0)</f>
        <v>60</v>
      </c>
      <c r="M64" s="22">
        <f>IF(M$4&gt;=Teams!$E$80,Teams!$E$18,0)</f>
        <v>60</v>
      </c>
      <c r="N64" s="22">
        <f>IF(N$4&gt;=Teams!$E$80,Teams!$E$18,0)</f>
        <v>60</v>
      </c>
      <c r="O64" s="22">
        <f>IF(O$4&gt;=Teams!$E$80,Teams!$E$18,0)</f>
        <v>60</v>
      </c>
      <c r="P64" s="22">
        <f>IF(P$4&gt;=Teams!$E$80,Teams!$E$18,0)</f>
        <v>60</v>
      </c>
      <c r="Q64" s="22">
        <f>IF(Q$4&gt;=Teams!$E$80,Teams!$E$18,0)</f>
        <v>60</v>
      </c>
      <c r="R64" s="22">
        <f>IF(R$4&gt;=Teams!$E$80,Teams!$E$18,0)</f>
        <v>60</v>
      </c>
      <c r="S64" s="22">
        <f>IF(S$4&gt;=Teams!$E$80,Teams!$E$18,0)</f>
        <v>60</v>
      </c>
      <c r="T64" s="22">
        <f>IF(T$4&gt;=Teams!$E$80,Teams!$E$18,0)</f>
        <v>60</v>
      </c>
      <c r="U64" s="22">
        <f>IF(U$4&gt;=Teams!$E$80,Teams!$E$18,0)</f>
        <v>60</v>
      </c>
      <c r="V64" s="22">
        <f>IF(V$4&gt;=Teams!$E$80,Teams!$E$18,0)</f>
        <v>60</v>
      </c>
      <c r="W64" s="22">
        <f>IF(W$4&gt;=Teams!$E$80,Teams!$E$18,0)</f>
        <v>60</v>
      </c>
      <c r="X64" s="22">
        <f>IF(X$4&gt;=Teams!$E$80,Teams!$E$18,0)</f>
        <v>60</v>
      </c>
      <c r="Y64" s="22">
        <f>IF(Y$4&gt;=Teams!$E$80,Teams!$E$18,0)</f>
        <v>60</v>
      </c>
      <c r="Z64" s="22">
        <f>IF(Z$4&gt;=Teams!$E$80,Teams!$E$18,0)</f>
        <v>60</v>
      </c>
      <c r="AA64" s="22">
        <f>IF(AA$4&gt;=Teams!$E$80,Teams!$E$18,0)</f>
        <v>60</v>
      </c>
      <c r="AB64" s="22">
        <f>IF(AB$4&gt;=Teams!$E$80,Teams!$E$18,0)</f>
        <v>60</v>
      </c>
      <c r="AC64" s="22">
        <f>IF(AC$4&gt;=Teams!$E$80,Teams!$E$18,0)</f>
        <v>60</v>
      </c>
      <c r="AD64" s="22">
        <f>IF(AD$4&gt;=Teams!$E$80,Teams!$E$18,0)</f>
        <v>60</v>
      </c>
      <c r="AE64" s="22">
        <f>IF(AE$4&gt;=Teams!$E$80,Teams!$E$18,0)</f>
        <v>60</v>
      </c>
      <c r="AF64" s="22">
        <f>IF(AF$4&gt;=Teams!$E$80,Teams!$E$18,0)</f>
        <v>60</v>
      </c>
      <c r="AG64" s="22">
        <f>IF(AG$4&gt;=Teams!$E$80,Teams!$E$18,0)</f>
        <v>60</v>
      </c>
      <c r="AH64" s="22">
        <f>IF(AH$4&gt;=Teams!$E$80,Teams!$E$18,0)</f>
        <v>60</v>
      </c>
      <c r="AI64" s="22">
        <f>IF(AI$4&gt;=Teams!$E$80,Teams!$E$18,0)</f>
        <v>60</v>
      </c>
      <c r="AJ64" s="22">
        <f>IF(AJ$4&gt;=Teams!$E$80,Teams!$E$18,0)</f>
        <v>60</v>
      </c>
      <c r="AK64" s="22">
        <f>IF(AK$4&gt;=Teams!$E$80,Teams!$E$18,0)</f>
        <v>60</v>
      </c>
      <c r="AL64" s="22">
        <f>IF(AL$4&gt;=Teams!$E$80,Teams!$E$18,0)</f>
        <v>60</v>
      </c>
      <c r="AM64" s="22">
        <f>IF(AM$4&gt;=Teams!$E$80,Teams!$E$18,0)</f>
        <v>60</v>
      </c>
      <c r="AN64" s="22">
        <f>IF(AN$4&gt;=Teams!$E$80,Teams!$E$18,0)</f>
        <v>60</v>
      </c>
      <c r="AO64" s="22">
        <f>IF(AO$4&gt;=Teams!$E$80,Teams!$E$18,0)</f>
        <v>60</v>
      </c>
      <c r="AP64" s="22">
        <f>IF(AP$4&gt;=Teams!$E$80,Teams!$E$18,0)</f>
        <v>60</v>
      </c>
      <c r="AQ64" s="22">
        <f>IF(AQ$4&gt;=Teams!$E$80,Teams!$E$18,0)</f>
        <v>60</v>
      </c>
      <c r="AR64" s="22">
        <f>IF(AR$4&gt;=Teams!$E$80,Teams!$E$18,0)</f>
        <v>60</v>
      </c>
      <c r="AS64" s="22">
        <f>IF(AS$4&gt;=Teams!$E$80,Teams!$E$18,0)</f>
        <v>60</v>
      </c>
      <c r="AT64" s="22">
        <f>IF(AT$4&gt;=Teams!$E$80,Teams!$E$18,0)</f>
        <v>60</v>
      </c>
      <c r="AU64" s="22">
        <f>IF(AU$4&gt;=Teams!$E$80,Teams!$E$18,0)</f>
        <v>60</v>
      </c>
      <c r="AV64" s="22">
        <f>IF(AV$4&gt;=Teams!$E$80,Teams!$E$18,0)</f>
        <v>60</v>
      </c>
      <c r="AW64" s="22">
        <f>IF(AW$4&gt;=Teams!$E$80,Teams!$E$18,0)</f>
        <v>60</v>
      </c>
      <c r="AX64" s="22">
        <f>IF(AX$4&gt;=Teams!$E$80,Teams!$E$18,0)</f>
        <v>60</v>
      </c>
      <c r="AY64" s="22">
        <f>IF(AY$4&gt;=Teams!$E$80,Teams!$E$18,0)</f>
        <v>60</v>
      </c>
      <c r="AZ64" s="22">
        <f>IF(AZ$4&gt;=Teams!$E$80,Teams!$E$18,0)</f>
        <v>60</v>
      </c>
      <c r="BA64" s="22">
        <f>IF(BA$4&gt;=Teams!$E$80,Teams!$E$18,0)</f>
        <v>60</v>
      </c>
      <c r="BB64" s="22">
        <f>IF(BB$4&gt;=Teams!$E$80,Teams!$E$18,0)</f>
        <v>60</v>
      </c>
      <c r="BC64" s="22">
        <f>IF(BC$4&gt;=Teams!$E$80,Teams!$E$18,0)</f>
        <v>60</v>
      </c>
      <c r="BD64" s="22">
        <f>IF(BD$4&gt;=Teams!$E$80,Teams!$E$18,0)</f>
        <v>60</v>
      </c>
      <c r="BE64" s="22">
        <f>IF(BE$4&gt;=Teams!$E$80,Teams!$E$18,0)</f>
        <v>60</v>
      </c>
      <c r="BF64" s="22">
        <f>IF(BF$4&gt;=Teams!$E$80,Teams!$E$18,0)</f>
        <v>60</v>
      </c>
      <c r="BG64" s="22">
        <f>IF(BG$4&gt;=Teams!$E$80,Teams!$E$18,0)</f>
        <v>60</v>
      </c>
      <c r="BH64" s="22">
        <f>IF(BH$4&gt;=Teams!$E$80,Teams!$E$18,0)</f>
        <v>60</v>
      </c>
      <c r="BI64" s="22">
        <f>IF(BI$4&gt;=Teams!$E$80,Teams!$E$18,0)</f>
        <v>60</v>
      </c>
      <c r="BJ64" s="22">
        <f>IF(BJ$4&gt;=Teams!$E$80,Teams!$E$18,0)</f>
        <v>60</v>
      </c>
      <c r="BK64" s="22">
        <f>IF(BK$4&gt;=Teams!$E$80,Teams!$E$18,0)</f>
        <v>60</v>
      </c>
      <c r="BL64" s="22">
        <f>IF(BL$4&gt;=Teams!$E$80,Teams!$E$18,0)</f>
        <v>60</v>
      </c>
    </row>
    <row r="65" spans="1:64" x14ac:dyDescent="0.3">
      <c r="A65" s="8" t="s">
        <v>1011</v>
      </c>
      <c r="C65" s="22">
        <f>SUMPRODUCT(E65:BL65,E$5:BL$5)</f>
        <v>1657.5</v>
      </c>
      <c r="E65" s="22">
        <f>E64*Teams!$E$19*E63</f>
        <v>0</v>
      </c>
      <c r="F65" s="22">
        <f>F64*Teams!$E$19*F63</f>
        <v>3.7777777777777777</v>
      </c>
      <c r="G65" s="22">
        <f>G64*Teams!$E$19*G63</f>
        <v>13.222222222222221</v>
      </c>
      <c r="H65" s="22">
        <f>H64*Teams!$E$19*H63</f>
        <v>25.5</v>
      </c>
      <c r="I65" s="22">
        <f>I64*Teams!$E$19*I63</f>
        <v>37.777777777777779</v>
      </c>
      <c r="J65" s="22">
        <f>J64*Teams!$E$19*J63</f>
        <v>47.222222222222229</v>
      </c>
      <c r="K65" s="22">
        <f>K64*Teams!$E$19*K63</f>
        <v>51</v>
      </c>
      <c r="L65" s="22">
        <f>L64*Teams!$E$19*L63</f>
        <v>51</v>
      </c>
      <c r="M65" s="22">
        <f>M64*Teams!$E$19*M63</f>
        <v>51</v>
      </c>
      <c r="N65" s="22">
        <f>N64*Teams!$E$19*N63</f>
        <v>51</v>
      </c>
      <c r="O65" s="22">
        <f>O64*Teams!$E$19*O63</f>
        <v>51</v>
      </c>
      <c r="P65" s="22">
        <f>P64*Teams!$E$19*P63</f>
        <v>51</v>
      </c>
      <c r="Q65" s="22">
        <f>Q64*Teams!$E$19*Q63</f>
        <v>51</v>
      </c>
      <c r="R65" s="22">
        <f>R64*Teams!$E$19*R63</f>
        <v>51</v>
      </c>
      <c r="S65" s="22">
        <f>S64*Teams!$E$19*S63</f>
        <v>51</v>
      </c>
      <c r="T65" s="22">
        <f>T64*Teams!$E$19*T63</f>
        <v>51</v>
      </c>
      <c r="U65" s="22">
        <f>U64*Teams!$E$19*U63</f>
        <v>51</v>
      </c>
      <c r="V65" s="22">
        <f>V64*Teams!$E$19*V63</f>
        <v>51</v>
      </c>
      <c r="W65" s="22">
        <f>W64*Teams!$E$19*W63</f>
        <v>51</v>
      </c>
      <c r="X65" s="22">
        <f>X64*Teams!$E$19*X63</f>
        <v>51</v>
      </c>
      <c r="Y65" s="22">
        <f>Y64*Teams!$E$19*Y63</f>
        <v>51</v>
      </c>
      <c r="Z65" s="22">
        <f>Z64*Teams!$E$19*Z63</f>
        <v>51</v>
      </c>
      <c r="AA65" s="22">
        <f>AA64*Teams!$E$19*AA63</f>
        <v>51</v>
      </c>
      <c r="AB65" s="22">
        <f>AB64*Teams!$E$19*AB63</f>
        <v>51</v>
      </c>
      <c r="AC65" s="22">
        <f>AC64*Teams!$E$19*AC63</f>
        <v>51</v>
      </c>
      <c r="AD65" s="22">
        <f>AD64*Teams!$E$19*AD63</f>
        <v>51</v>
      </c>
      <c r="AE65" s="22">
        <f>AE64*Teams!$E$19*AE63</f>
        <v>51</v>
      </c>
      <c r="AF65" s="22">
        <f>AF64*Teams!$E$19*AF63</f>
        <v>51</v>
      </c>
      <c r="AG65" s="22">
        <f>AG64*Teams!$E$19*AG63</f>
        <v>51</v>
      </c>
      <c r="AH65" s="22">
        <f>AH64*Teams!$E$19*AH63</f>
        <v>51</v>
      </c>
      <c r="AI65" s="22">
        <f>AI64*Teams!$E$19*AI63</f>
        <v>51</v>
      </c>
      <c r="AJ65" s="22">
        <f>AJ64*Teams!$E$19*AJ63</f>
        <v>51</v>
      </c>
      <c r="AK65" s="22">
        <f>AK64*Teams!$E$19*AK63</f>
        <v>51</v>
      </c>
      <c r="AL65" s="22">
        <f>AL64*Teams!$E$19*AL63</f>
        <v>51</v>
      </c>
      <c r="AM65" s="22">
        <f>AM64*Teams!$E$19*AM63</f>
        <v>51</v>
      </c>
      <c r="AN65" s="22">
        <f>AN64*Teams!$E$19*AN63</f>
        <v>51</v>
      </c>
      <c r="AO65" s="22">
        <f>AO64*Teams!$E$19*AO63</f>
        <v>51</v>
      </c>
      <c r="AP65" s="22">
        <f>AP64*Teams!$E$19*AP63</f>
        <v>51</v>
      </c>
      <c r="AQ65" s="22">
        <f>AQ64*Teams!$E$19*AQ63</f>
        <v>51</v>
      </c>
      <c r="AR65" s="22">
        <f>AR64*Teams!$E$19*AR63</f>
        <v>51</v>
      </c>
      <c r="AS65" s="22">
        <f>AS64*Teams!$E$19*AS63</f>
        <v>51</v>
      </c>
      <c r="AT65" s="22">
        <f>AT64*Teams!$E$19*AT63</f>
        <v>51</v>
      </c>
      <c r="AU65" s="22">
        <f>AU64*Teams!$E$19*AU63</f>
        <v>51</v>
      </c>
      <c r="AV65" s="22">
        <f>AV64*Teams!$E$19*AV63</f>
        <v>51</v>
      </c>
      <c r="AW65" s="22">
        <f>AW64*Teams!$E$19*AW63</f>
        <v>51</v>
      </c>
      <c r="AX65" s="22">
        <f>AX64*Teams!$E$19*AX63</f>
        <v>51</v>
      </c>
      <c r="AY65" s="22">
        <f>AY64*Teams!$E$19*AY63</f>
        <v>51</v>
      </c>
      <c r="AZ65" s="22">
        <f>AZ64*Teams!$E$19*AZ63</f>
        <v>51</v>
      </c>
      <c r="BA65" s="22">
        <f>BA64*Teams!$E$19*BA63</f>
        <v>51</v>
      </c>
      <c r="BB65" s="22">
        <f>BB64*Teams!$E$19*BB63</f>
        <v>51</v>
      </c>
      <c r="BC65" s="22">
        <f>BC64*Teams!$E$19*BC63</f>
        <v>51</v>
      </c>
      <c r="BD65" s="22">
        <f>BD64*Teams!$E$19*BD63</f>
        <v>51</v>
      </c>
      <c r="BE65" s="22">
        <f>BE64*Teams!$E$19*BE63</f>
        <v>51</v>
      </c>
      <c r="BF65" s="22">
        <f>BF64*Teams!$E$19*BF63</f>
        <v>51</v>
      </c>
      <c r="BG65" s="22">
        <f>BG64*Teams!$E$19*BG63</f>
        <v>51</v>
      </c>
      <c r="BH65" s="22">
        <f>BH64*Teams!$E$19*BH63</f>
        <v>51</v>
      </c>
      <c r="BI65" s="22">
        <f>BI64*Teams!$E$19*BI63</f>
        <v>51</v>
      </c>
      <c r="BJ65" s="22">
        <f>BJ64*Teams!$E$19*BJ63</f>
        <v>51</v>
      </c>
      <c r="BK65" s="22">
        <f>BK64*Teams!$E$19*BK63</f>
        <v>51</v>
      </c>
      <c r="BL65" s="22">
        <f>BL64*Teams!$E$19*BL63</f>
        <v>51</v>
      </c>
    </row>
    <row r="66" spans="1:64" x14ac:dyDescent="0.3">
      <c r="A66" s="8" t="s">
        <v>28</v>
      </c>
      <c r="C66" s="22">
        <f>SUMPRODUCT(E66:BL66,E$5:BL$5)</f>
        <v>1300000</v>
      </c>
      <c r="E66" s="22">
        <f>IF(Teams!$E$23="per user",E65*Teams!$E$24,Teams!$E$25*E63)</f>
        <v>0</v>
      </c>
      <c r="F66" s="22">
        <f>IF(Teams!$E$23="per user",F65*Teams!$E$24,Teams!$E$25*F63)</f>
        <v>2962.9629629629626</v>
      </c>
      <c r="G66" s="22">
        <f>IF(Teams!$E$23="per user",G65*Teams!$E$24,Teams!$E$25*G63)</f>
        <v>10370.37037037037</v>
      </c>
      <c r="H66" s="22">
        <f>IF(Teams!$E$23="per user",H65*Teams!$E$24,Teams!$E$25*H63)</f>
        <v>20000</v>
      </c>
      <c r="I66" s="22">
        <f>IF(Teams!$E$23="per user",I65*Teams!$E$24,Teams!$E$25*I63)</f>
        <v>29629.629629629628</v>
      </c>
      <c r="J66" s="22">
        <f>IF(Teams!$E$23="per user",J65*Teams!$E$24,Teams!$E$25*J63)</f>
        <v>37037.037037037044</v>
      </c>
      <c r="K66" s="22">
        <f>IF(Teams!$E$23="per user",K65*Teams!$E$24,Teams!$E$25*K63)</f>
        <v>40000</v>
      </c>
      <c r="L66" s="22">
        <f>IF(Teams!$E$23="per user",L65*Teams!$E$24,Teams!$E$25*L63)</f>
        <v>40000</v>
      </c>
      <c r="M66" s="22">
        <f>IF(Teams!$E$23="per user",M65*Teams!$E$24,Teams!$E$25*M63)</f>
        <v>40000</v>
      </c>
      <c r="N66" s="22">
        <f>IF(Teams!$E$23="per user",N65*Teams!$E$24,Teams!$E$25*N63)</f>
        <v>40000</v>
      </c>
      <c r="O66" s="22">
        <f>IF(Teams!$E$23="per user",O65*Teams!$E$24,Teams!$E$25*O63)</f>
        <v>40000</v>
      </c>
      <c r="P66" s="22">
        <f>IF(Teams!$E$23="per user",P65*Teams!$E$24,Teams!$E$25*P63)</f>
        <v>40000</v>
      </c>
      <c r="Q66" s="22">
        <f>IF(Teams!$E$23="per user",Q65*Teams!$E$24,Teams!$E$25*Q63)</f>
        <v>40000</v>
      </c>
      <c r="R66" s="22">
        <f>IF(Teams!$E$23="per user",R65*Teams!$E$24,Teams!$E$25*R63)</f>
        <v>40000</v>
      </c>
      <c r="S66" s="22">
        <f>IF(Teams!$E$23="per user",S65*Teams!$E$24,Teams!$E$25*S63)</f>
        <v>40000</v>
      </c>
      <c r="T66" s="22">
        <f>IF(Teams!$E$23="per user",T65*Teams!$E$24,Teams!$E$25*T63)</f>
        <v>40000</v>
      </c>
      <c r="U66" s="22">
        <f>IF(Teams!$E$23="per user",U65*Teams!$E$24,Teams!$E$25*U63)</f>
        <v>40000</v>
      </c>
      <c r="V66" s="22">
        <f>IF(Teams!$E$23="per user",V65*Teams!$E$24,Teams!$E$25*V63)</f>
        <v>40000</v>
      </c>
      <c r="W66" s="22">
        <f>IF(Teams!$E$23="per user",W65*Teams!$E$24,Teams!$E$25*W63)</f>
        <v>40000</v>
      </c>
      <c r="X66" s="22">
        <f>IF(Teams!$E$23="per user",X65*Teams!$E$24,Teams!$E$25*X63)</f>
        <v>40000</v>
      </c>
      <c r="Y66" s="22">
        <f>IF(Teams!$E$23="per user",Y65*Teams!$E$24,Teams!$E$25*Y63)</f>
        <v>40000</v>
      </c>
      <c r="Z66" s="22">
        <f>IF(Teams!$E$23="per user",Z65*Teams!$E$24,Teams!$E$25*Z63)</f>
        <v>40000</v>
      </c>
      <c r="AA66" s="22">
        <f>IF(Teams!$E$23="per user",AA65*Teams!$E$24,Teams!$E$25*AA63)</f>
        <v>40000</v>
      </c>
      <c r="AB66" s="22">
        <f>IF(Teams!$E$23="per user",AB65*Teams!$E$24,Teams!$E$25*AB63)</f>
        <v>40000</v>
      </c>
      <c r="AC66" s="22">
        <f>IF(Teams!$E$23="per user",AC65*Teams!$E$24,Teams!$E$25*AC63)</f>
        <v>40000</v>
      </c>
      <c r="AD66" s="22">
        <f>IF(Teams!$E$23="per user",AD65*Teams!$E$24,Teams!$E$25*AD63)</f>
        <v>40000</v>
      </c>
      <c r="AE66" s="22">
        <f>IF(Teams!$E$23="per user",AE65*Teams!$E$24,Teams!$E$25*AE63)</f>
        <v>40000</v>
      </c>
      <c r="AF66" s="22">
        <f>IF(Teams!$E$23="per user",AF65*Teams!$E$24,Teams!$E$25*AF63)</f>
        <v>40000</v>
      </c>
      <c r="AG66" s="22">
        <f>IF(Teams!$E$23="per user",AG65*Teams!$E$24,Teams!$E$25*AG63)</f>
        <v>40000</v>
      </c>
      <c r="AH66" s="22">
        <f>IF(Teams!$E$23="per user",AH65*Teams!$E$24,Teams!$E$25*AH63)</f>
        <v>40000</v>
      </c>
      <c r="AI66" s="22">
        <f>IF(Teams!$E$23="per user",AI65*Teams!$E$24,Teams!$E$25*AI63)</f>
        <v>40000</v>
      </c>
      <c r="AJ66" s="22">
        <f>IF(Teams!$E$23="per user",AJ65*Teams!$E$24,Teams!$E$25*AJ63)</f>
        <v>40000</v>
      </c>
      <c r="AK66" s="22">
        <f>IF(Teams!$E$23="per user",AK65*Teams!$E$24,Teams!$E$25*AK63)</f>
        <v>40000</v>
      </c>
      <c r="AL66" s="22">
        <f>IF(Teams!$E$23="per user",AL65*Teams!$E$24,Teams!$E$25*AL63)</f>
        <v>40000</v>
      </c>
      <c r="AM66" s="22">
        <f>IF(Teams!$E$23="per user",AM65*Teams!$E$24,Teams!$E$25*AM63)</f>
        <v>40000</v>
      </c>
      <c r="AN66" s="22">
        <f>IF(Teams!$E$23="per user",AN65*Teams!$E$24,Teams!$E$25*AN63)</f>
        <v>40000</v>
      </c>
      <c r="AO66" s="22">
        <f>IF(Teams!$E$23="per user",AO65*Teams!$E$24,Teams!$E$25*AO63)</f>
        <v>40000</v>
      </c>
      <c r="AP66" s="22">
        <f>IF(Teams!$E$23="per user",AP65*Teams!$E$24,Teams!$E$25*AP63)</f>
        <v>40000</v>
      </c>
      <c r="AQ66" s="22">
        <f>IF(Teams!$E$23="per user",AQ65*Teams!$E$24,Teams!$E$25*AQ63)</f>
        <v>40000</v>
      </c>
      <c r="AR66" s="22">
        <f>IF(Teams!$E$23="per user",AR65*Teams!$E$24,Teams!$E$25*AR63)</f>
        <v>40000</v>
      </c>
      <c r="AS66" s="22">
        <f>IF(Teams!$E$23="per user",AS65*Teams!$E$24,Teams!$E$25*AS63)</f>
        <v>40000</v>
      </c>
      <c r="AT66" s="22">
        <f>IF(Teams!$E$23="per user",AT65*Teams!$E$24,Teams!$E$25*AT63)</f>
        <v>40000</v>
      </c>
      <c r="AU66" s="22">
        <f>IF(Teams!$E$23="per user",AU65*Teams!$E$24,Teams!$E$25*AU63)</f>
        <v>40000</v>
      </c>
      <c r="AV66" s="22">
        <f>IF(Teams!$E$23="per user",AV65*Teams!$E$24,Teams!$E$25*AV63)</f>
        <v>40000</v>
      </c>
      <c r="AW66" s="22">
        <f>IF(Teams!$E$23="per user",AW65*Teams!$E$24,Teams!$E$25*AW63)</f>
        <v>40000</v>
      </c>
      <c r="AX66" s="22">
        <f>IF(Teams!$E$23="per user",AX65*Teams!$E$24,Teams!$E$25*AX63)</f>
        <v>40000</v>
      </c>
      <c r="AY66" s="22">
        <f>IF(Teams!$E$23="per user",AY65*Teams!$E$24,Teams!$E$25*AY63)</f>
        <v>40000</v>
      </c>
      <c r="AZ66" s="22">
        <f>IF(Teams!$E$23="per user",AZ65*Teams!$E$24,Teams!$E$25*AZ63)</f>
        <v>40000</v>
      </c>
      <c r="BA66" s="22">
        <f>IF(Teams!$E$23="per user",BA65*Teams!$E$24,Teams!$E$25*BA63)</f>
        <v>40000</v>
      </c>
      <c r="BB66" s="22">
        <f>IF(Teams!$E$23="per user",BB65*Teams!$E$24,Teams!$E$25*BB63)</f>
        <v>40000</v>
      </c>
      <c r="BC66" s="22">
        <f>IF(Teams!$E$23="per user",BC65*Teams!$E$24,Teams!$E$25*BC63)</f>
        <v>40000</v>
      </c>
      <c r="BD66" s="22">
        <f>IF(Teams!$E$23="per user",BD65*Teams!$E$24,Teams!$E$25*BD63)</f>
        <v>40000</v>
      </c>
      <c r="BE66" s="22">
        <f>IF(Teams!$E$23="per user",BE65*Teams!$E$24,Teams!$E$25*BE63)</f>
        <v>40000</v>
      </c>
      <c r="BF66" s="22">
        <f>IF(Teams!$E$23="per user",BF65*Teams!$E$24,Teams!$E$25*BF63)</f>
        <v>40000</v>
      </c>
      <c r="BG66" s="22">
        <f>IF(Teams!$E$23="per user",BG65*Teams!$E$24,Teams!$E$25*BG63)</f>
        <v>40000</v>
      </c>
      <c r="BH66" s="22">
        <f>IF(Teams!$E$23="per user",BH65*Teams!$E$24,Teams!$E$25*BH63)</f>
        <v>40000</v>
      </c>
      <c r="BI66" s="22">
        <f>IF(Teams!$E$23="per user",BI65*Teams!$E$24,Teams!$E$25*BI63)</f>
        <v>40000</v>
      </c>
      <c r="BJ66" s="22">
        <f>IF(Teams!$E$23="per user",BJ65*Teams!$E$24,Teams!$E$25*BJ63)</f>
        <v>40000</v>
      </c>
      <c r="BK66" s="22">
        <f>IF(Teams!$E$23="per user",BK65*Teams!$E$24,Teams!$E$25*BK63)</f>
        <v>40000</v>
      </c>
      <c r="BL66" s="22">
        <f>IF(Teams!$E$23="per user",BL65*Teams!$E$24,Teams!$E$25*BL63)</f>
        <v>40000</v>
      </c>
    </row>
    <row r="67" spans="1:64" x14ac:dyDescent="0.3">
      <c r="A67" s="8" t="s">
        <v>665</v>
      </c>
      <c r="B67" s="18" t="s">
        <v>435</v>
      </c>
      <c r="C67" s="44">
        <f t="shared" ref="C67:C85" si="20">SUM(D67:BL67)</f>
        <v>0</v>
      </c>
      <c r="E67" s="44">
        <f>E$5*Teams!$E$60*E64*Teams!$E$66</f>
        <v>0</v>
      </c>
      <c r="F67" s="44">
        <f>F$5*Teams!$E$60*F64*Teams!$E$66</f>
        <v>0</v>
      </c>
      <c r="G67" s="44">
        <f>G$5*Teams!$E$60*G64*Teams!$E$66</f>
        <v>0</v>
      </c>
      <c r="H67" s="44">
        <f>H$5*Teams!$E$60*H64*Teams!$E$66</f>
        <v>0</v>
      </c>
      <c r="I67" s="44">
        <f>I$5*Teams!$E$60*I64*Teams!$E$66</f>
        <v>0</v>
      </c>
      <c r="J67" s="44">
        <f>J$5*Teams!$E$60*J64*Teams!$E$66</f>
        <v>0</v>
      </c>
      <c r="K67" s="44">
        <f>K$5*Teams!$E$60*K64*Teams!$E$66</f>
        <v>0</v>
      </c>
      <c r="L67" s="44">
        <f>L$5*Teams!$E$60*L64*Teams!$E$66</f>
        <v>0</v>
      </c>
      <c r="M67" s="44">
        <f>M$5*Teams!$E$60*M64*Teams!$E$66</f>
        <v>0</v>
      </c>
      <c r="N67" s="44">
        <f>N$5*Teams!$E$60*N64*Teams!$E$66</f>
        <v>0</v>
      </c>
      <c r="O67" s="44">
        <f>O$5*Teams!$E$60*O64*Teams!$E$66</f>
        <v>0</v>
      </c>
      <c r="P67" s="44">
        <f>P$5*Teams!$E$60*P64*Teams!$E$66</f>
        <v>0</v>
      </c>
      <c r="Q67" s="44">
        <f>Q$5*Teams!$E$60*Q64*Teams!$E$66</f>
        <v>0</v>
      </c>
      <c r="R67" s="44">
        <f>R$5*Teams!$E$60*R64*Teams!$E$66</f>
        <v>0</v>
      </c>
      <c r="S67" s="44">
        <f>S$5*Teams!$E$60*S64*Teams!$E$66</f>
        <v>0</v>
      </c>
      <c r="T67" s="44">
        <f>T$5*Teams!$E$60*T64*Teams!$E$66</f>
        <v>0</v>
      </c>
      <c r="U67" s="44">
        <f>U$5*Teams!$E$60*U64*Teams!$E$66</f>
        <v>0</v>
      </c>
      <c r="V67" s="44">
        <f>V$5*Teams!$E$60*V64*Teams!$E$66</f>
        <v>0</v>
      </c>
      <c r="W67" s="44">
        <f>W$5*Teams!$E$60*W64*Teams!$E$66</f>
        <v>0</v>
      </c>
      <c r="X67" s="44">
        <f>X$5*Teams!$E$60*X64*Teams!$E$66</f>
        <v>0</v>
      </c>
      <c r="Y67" s="44">
        <f>Y$5*Teams!$E$60*Y64*Teams!$E$66</f>
        <v>0</v>
      </c>
      <c r="Z67" s="44">
        <f>Z$5*Teams!$E$60*Z64*Teams!$E$66</f>
        <v>0</v>
      </c>
      <c r="AA67" s="44">
        <f>AA$5*Teams!$E$60*AA64*Teams!$E$66</f>
        <v>0</v>
      </c>
      <c r="AB67" s="44">
        <f>AB$5*Teams!$E$60*AB64*Teams!$E$66</f>
        <v>0</v>
      </c>
      <c r="AC67" s="44">
        <f>AC$5*Teams!$E$60*AC64*Teams!$E$66</f>
        <v>0</v>
      </c>
      <c r="AD67" s="44">
        <f>AD$5*Teams!$E$60*AD64*Teams!$E$66</f>
        <v>0</v>
      </c>
      <c r="AE67" s="44">
        <f>AE$5*Teams!$E$60*AE64*Teams!$E$66</f>
        <v>0</v>
      </c>
      <c r="AF67" s="44">
        <f>AF$5*Teams!$E$60*AF64*Teams!$E$66</f>
        <v>0</v>
      </c>
      <c r="AG67" s="44">
        <f>AG$5*Teams!$E$60*AG64*Teams!$E$66</f>
        <v>0</v>
      </c>
      <c r="AH67" s="44">
        <f>AH$5*Teams!$E$60*AH64*Teams!$E$66</f>
        <v>0</v>
      </c>
      <c r="AI67" s="44">
        <f>AI$5*Teams!$E$60*AI64*Teams!$E$66</f>
        <v>0</v>
      </c>
      <c r="AJ67" s="44">
        <f>AJ$5*Teams!$E$60*AJ64*Teams!$E$66</f>
        <v>0</v>
      </c>
      <c r="AK67" s="44">
        <f>AK$5*Teams!$E$60*AK64*Teams!$E$66</f>
        <v>0</v>
      </c>
      <c r="AL67" s="44">
        <f>AL$5*Teams!$E$60*AL64*Teams!$E$66</f>
        <v>0</v>
      </c>
      <c r="AM67" s="44">
        <f>AM$5*Teams!$E$60*AM64*Teams!$E$66</f>
        <v>0</v>
      </c>
      <c r="AN67" s="44">
        <f>AN$5*Teams!$E$60*AN64*Teams!$E$66</f>
        <v>0</v>
      </c>
      <c r="AO67" s="44">
        <f>AO$5*Teams!$E$60*AO64*Teams!$E$66</f>
        <v>0</v>
      </c>
      <c r="AP67" s="44">
        <f>AP$5*Teams!$E$60*AP64*Teams!$E$66</f>
        <v>0</v>
      </c>
      <c r="AQ67" s="44">
        <f>AQ$5*Teams!$E$60*AQ64*Teams!$E$66</f>
        <v>0</v>
      </c>
      <c r="AR67" s="44">
        <f>AR$5*Teams!$E$60*AR64*Teams!$E$66</f>
        <v>0</v>
      </c>
      <c r="AS67" s="44">
        <f>AS$5*Teams!$E$60*AS64*Teams!$E$66</f>
        <v>0</v>
      </c>
      <c r="AT67" s="44">
        <f>AT$5*Teams!$E$60*AT64*Teams!$E$66</f>
        <v>0</v>
      </c>
      <c r="AU67" s="44">
        <f>AU$5*Teams!$E$60*AU64*Teams!$E$66</f>
        <v>0</v>
      </c>
      <c r="AV67" s="44">
        <f>AV$5*Teams!$E$60*AV64*Teams!$E$66</f>
        <v>0</v>
      </c>
      <c r="AW67" s="44">
        <f>AW$5*Teams!$E$60*AW64*Teams!$E$66</f>
        <v>0</v>
      </c>
      <c r="AX67" s="44">
        <f>AX$5*Teams!$E$60*AX64*Teams!$E$66</f>
        <v>0</v>
      </c>
      <c r="AY67" s="44">
        <f>AY$5*Teams!$E$60*AY64*Teams!$E$66</f>
        <v>0</v>
      </c>
      <c r="AZ67" s="44">
        <f>AZ$5*Teams!$E$60*AZ64*Teams!$E$66</f>
        <v>0</v>
      </c>
      <c r="BA67" s="44">
        <f>BA$5*Teams!$E$60*BA64*Teams!$E$66</f>
        <v>0</v>
      </c>
      <c r="BB67" s="44">
        <f>BB$5*Teams!$E$60*BB64*Teams!$E$66</f>
        <v>0</v>
      </c>
      <c r="BC67" s="44">
        <f>BC$5*Teams!$E$60*BC64*Teams!$E$66</f>
        <v>0</v>
      </c>
      <c r="BD67" s="44">
        <f>BD$5*Teams!$E$60*BD64*Teams!$E$66</f>
        <v>0</v>
      </c>
      <c r="BE67" s="44">
        <f>BE$5*Teams!$E$60*BE64*Teams!$E$66</f>
        <v>0</v>
      </c>
      <c r="BF67" s="44">
        <f>BF$5*Teams!$E$60*BF64*Teams!$E$66</f>
        <v>0</v>
      </c>
      <c r="BG67" s="44">
        <f>BG$5*Teams!$E$60*BG64*Teams!$E$66</f>
        <v>0</v>
      </c>
      <c r="BH67" s="44">
        <f>BH$5*Teams!$E$60*BH64*Teams!$E$66</f>
        <v>0</v>
      </c>
      <c r="BI67" s="44">
        <f>BI$5*Teams!$E$60*BI64*Teams!$E$66</f>
        <v>0</v>
      </c>
      <c r="BJ67" s="44">
        <f>BJ$5*Teams!$E$60*BJ64*Teams!$E$66</f>
        <v>0</v>
      </c>
      <c r="BK67" s="44">
        <f>BK$5*Teams!$E$60*BK64*Teams!$E$66</f>
        <v>0</v>
      </c>
      <c r="BL67" s="44">
        <f>BL$5*Teams!$E$60*BL64*Teams!$E$66</f>
        <v>0</v>
      </c>
    </row>
    <row r="68" spans="1:64" x14ac:dyDescent="0.3">
      <c r="A68" s="8" t="s">
        <v>666</v>
      </c>
      <c r="B68" s="18" t="s">
        <v>435</v>
      </c>
      <c r="C68" s="44">
        <f t="shared" si="20"/>
        <v>0</v>
      </c>
      <c r="E68" s="44">
        <f>E$5*IF(Teams!$E$61=1,E65*((1-Teams!$E$13)*MAX(0,Teams!$E$72*$C$62-Teams!$E$12)+Teams!$E$13*MAX(0,Teams!$E$73*$C$62-Teams!$E$12)),IF(Teams!$E$62=1,E66*$C$62,0))</f>
        <v>0</v>
      </c>
      <c r="F68" s="44">
        <f>F$5*IF(Teams!$E$61=1,F65*((1-Teams!$E$13)*MAX(0,Teams!$E$72*$C$62-Teams!$E$12)+Teams!$E$13*MAX(0,Teams!$E$73*$C$62-Teams!$E$12)),IF(Teams!$E$62=1,F66*$C$62,0))</f>
        <v>0</v>
      </c>
      <c r="G68" s="44">
        <f>G$5*IF(Teams!$E$61=1,G65*((1-Teams!$E$13)*MAX(0,Teams!$E$72*$C$62-Teams!$E$12)+Teams!$E$13*MAX(0,Teams!$E$73*$C$62-Teams!$E$12)),IF(Teams!$E$62=1,G66*$C$62,0))</f>
        <v>0</v>
      </c>
      <c r="H68" s="44">
        <f>H$5*IF(Teams!$E$61=1,H65*((1-Teams!$E$13)*MAX(0,Teams!$E$72*$C$62-Teams!$E$12)+Teams!$E$13*MAX(0,Teams!$E$73*$C$62-Teams!$E$12)),IF(Teams!$E$62=1,H66*$C$62,0))</f>
        <v>0</v>
      </c>
      <c r="I68" s="44">
        <f>I$5*IF(Teams!$E$61=1,I65*((1-Teams!$E$13)*MAX(0,Teams!$E$72*$C$62-Teams!$E$12)+Teams!$E$13*MAX(0,Teams!$E$73*$C$62-Teams!$E$12)),IF(Teams!$E$62=1,I66*$C$62,0))</f>
        <v>0</v>
      </c>
      <c r="J68" s="44">
        <f>J$5*IF(Teams!$E$61=1,J65*((1-Teams!$E$13)*MAX(0,Teams!$E$72*$C$62-Teams!$E$12)+Teams!$E$13*MAX(0,Teams!$E$73*$C$62-Teams!$E$12)),IF(Teams!$E$62=1,J66*$C$62,0))</f>
        <v>0</v>
      </c>
      <c r="K68" s="44">
        <f>K$5*IF(Teams!$E$61=1,K65*((1-Teams!$E$13)*MAX(0,Teams!$E$72*$C$62-Teams!$E$12)+Teams!$E$13*MAX(0,Teams!$E$73*$C$62-Teams!$E$12)),IF(Teams!$E$62=1,K66*$C$62,0))</f>
        <v>0</v>
      </c>
      <c r="L68" s="44">
        <f>L$5*IF(Teams!$E$61=1,L65*((1-Teams!$E$13)*MAX(0,Teams!$E$72*$C$62-Teams!$E$12)+Teams!$E$13*MAX(0,Teams!$E$73*$C$62-Teams!$E$12)),IF(Teams!$E$62=1,L66*$C$62,0))</f>
        <v>0</v>
      </c>
      <c r="M68" s="44">
        <f>M$5*IF(Teams!$E$61=1,M65*((1-Teams!$E$13)*MAX(0,Teams!$E$72*$C$62-Teams!$E$12)+Teams!$E$13*MAX(0,Teams!$E$73*$C$62-Teams!$E$12)),IF(Teams!$E$62=1,M66*$C$62,0))</f>
        <v>0</v>
      </c>
      <c r="N68" s="44">
        <f>N$5*IF(Teams!$E$61=1,N65*((1-Teams!$E$13)*MAX(0,Teams!$E$72*$C$62-Teams!$E$12)+Teams!$E$13*MAX(0,Teams!$E$73*$C$62-Teams!$E$12)),IF(Teams!$E$62=1,N66*$C$62,0))</f>
        <v>0</v>
      </c>
      <c r="O68" s="44">
        <f>O$5*IF(Teams!$E$61=1,O65*((1-Teams!$E$13)*MAX(0,Teams!$E$72*$C$62-Teams!$E$12)+Teams!$E$13*MAX(0,Teams!$E$73*$C$62-Teams!$E$12)),IF(Teams!$E$62=1,O66*$C$62,0))</f>
        <v>0</v>
      </c>
      <c r="P68" s="44">
        <f>P$5*IF(Teams!$E$61=1,P65*((1-Teams!$E$13)*MAX(0,Teams!$E$72*$C$62-Teams!$E$12)+Teams!$E$13*MAX(0,Teams!$E$73*$C$62-Teams!$E$12)),IF(Teams!$E$62=1,P66*$C$62,0))</f>
        <v>0</v>
      </c>
      <c r="Q68" s="44">
        <f>Q$5*IF(Teams!$E$61=1,Q65*((1-Teams!$E$13)*MAX(0,Teams!$E$72*$C$62-Teams!$E$12)+Teams!$E$13*MAX(0,Teams!$E$73*$C$62-Teams!$E$12)),IF(Teams!$E$62=1,Q66*$C$62,0))</f>
        <v>0</v>
      </c>
      <c r="R68" s="44">
        <f>R$5*IF(Teams!$E$61=1,R65*((1-Teams!$E$13)*MAX(0,Teams!$E$72*$C$62-Teams!$E$12)+Teams!$E$13*MAX(0,Teams!$E$73*$C$62-Teams!$E$12)),IF(Teams!$E$62=1,R66*$C$62,0))</f>
        <v>0</v>
      </c>
      <c r="S68" s="44">
        <f>S$5*IF(Teams!$E$61=1,S65*((1-Teams!$E$13)*MAX(0,Teams!$E$72*$C$62-Teams!$E$12)+Teams!$E$13*MAX(0,Teams!$E$73*$C$62-Teams!$E$12)),IF(Teams!$E$62=1,S66*$C$62,0))</f>
        <v>0</v>
      </c>
      <c r="T68" s="44">
        <f>T$5*IF(Teams!$E$61=1,T65*((1-Teams!$E$13)*MAX(0,Teams!$E$72*$C$62-Teams!$E$12)+Teams!$E$13*MAX(0,Teams!$E$73*$C$62-Teams!$E$12)),IF(Teams!$E$62=1,T66*$C$62,0))</f>
        <v>0</v>
      </c>
      <c r="U68" s="44">
        <f>U$5*IF(Teams!$E$61=1,U65*((1-Teams!$E$13)*MAX(0,Teams!$E$72*$C$62-Teams!$E$12)+Teams!$E$13*MAX(0,Teams!$E$73*$C$62-Teams!$E$12)),IF(Teams!$E$62=1,U66*$C$62,0))</f>
        <v>0</v>
      </c>
      <c r="V68" s="44">
        <f>V$5*IF(Teams!$E$61=1,V65*((1-Teams!$E$13)*MAX(0,Teams!$E$72*$C$62-Teams!$E$12)+Teams!$E$13*MAX(0,Teams!$E$73*$C$62-Teams!$E$12)),IF(Teams!$E$62=1,V66*$C$62,0))</f>
        <v>0</v>
      </c>
      <c r="W68" s="44">
        <f>W$5*IF(Teams!$E$61=1,W65*((1-Teams!$E$13)*MAX(0,Teams!$E$72*$C$62-Teams!$E$12)+Teams!$E$13*MAX(0,Teams!$E$73*$C$62-Teams!$E$12)),IF(Teams!$E$62=1,W66*$C$62,0))</f>
        <v>0</v>
      </c>
      <c r="X68" s="44">
        <f>X$5*IF(Teams!$E$61=1,X65*((1-Teams!$E$13)*MAX(0,Teams!$E$72*$C$62-Teams!$E$12)+Teams!$E$13*MAX(0,Teams!$E$73*$C$62-Teams!$E$12)),IF(Teams!$E$62=1,X66*$C$62,0))</f>
        <v>0</v>
      </c>
      <c r="Y68" s="44">
        <f>Y$5*IF(Teams!$E$61=1,Y65*((1-Teams!$E$13)*MAX(0,Teams!$E$72*$C$62-Teams!$E$12)+Teams!$E$13*MAX(0,Teams!$E$73*$C$62-Teams!$E$12)),IF(Teams!$E$62=1,Y66*$C$62,0))</f>
        <v>0</v>
      </c>
      <c r="Z68" s="44">
        <f>Z$5*IF(Teams!$E$61=1,Z65*((1-Teams!$E$13)*MAX(0,Teams!$E$72*$C$62-Teams!$E$12)+Teams!$E$13*MAX(0,Teams!$E$73*$C$62-Teams!$E$12)),IF(Teams!$E$62=1,Z66*$C$62,0))</f>
        <v>0</v>
      </c>
      <c r="AA68" s="44">
        <f>AA$5*IF(Teams!$E$61=1,AA65*((1-Teams!$E$13)*MAX(0,Teams!$E$72*$C$62-Teams!$E$12)+Teams!$E$13*MAX(0,Teams!$E$73*$C$62-Teams!$E$12)),IF(Teams!$E$62=1,AA66*$C$62,0))</f>
        <v>0</v>
      </c>
      <c r="AB68" s="44">
        <f>AB$5*IF(Teams!$E$61=1,AB65*((1-Teams!$E$13)*MAX(0,Teams!$E$72*$C$62-Teams!$E$12)+Teams!$E$13*MAX(0,Teams!$E$73*$C$62-Teams!$E$12)),IF(Teams!$E$62=1,AB66*$C$62,0))</f>
        <v>0</v>
      </c>
      <c r="AC68" s="44">
        <f>AC$5*IF(Teams!$E$61=1,AC65*((1-Teams!$E$13)*MAX(0,Teams!$E$72*$C$62-Teams!$E$12)+Teams!$E$13*MAX(0,Teams!$E$73*$C$62-Teams!$E$12)),IF(Teams!$E$62=1,AC66*$C$62,0))</f>
        <v>0</v>
      </c>
      <c r="AD68" s="44">
        <f>AD$5*IF(Teams!$E$61=1,AD65*((1-Teams!$E$13)*MAX(0,Teams!$E$72*$C$62-Teams!$E$12)+Teams!$E$13*MAX(0,Teams!$E$73*$C$62-Teams!$E$12)),IF(Teams!$E$62=1,AD66*$C$62,0))</f>
        <v>0</v>
      </c>
      <c r="AE68" s="44">
        <f>AE$5*IF(Teams!$E$61=1,AE65*((1-Teams!$E$13)*MAX(0,Teams!$E$72*$C$62-Teams!$E$12)+Teams!$E$13*MAX(0,Teams!$E$73*$C$62-Teams!$E$12)),IF(Teams!$E$62=1,AE66*$C$62,0))</f>
        <v>0</v>
      </c>
      <c r="AF68" s="44">
        <f>AF$5*IF(Teams!$E$61=1,AF65*((1-Teams!$E$13)*MAX(0,Teams!$E$72*$C$62-Teams!$E$12)+Teams!$E$13*MAX(0,Teams!$E$73*$C$62-Teams!$E$12)),IF(Teams!$E$62=1,AF66*$C$62,0))</f>
        <v>0</v>
      </c>
      <c r="AG68" s="44">
        <f>AG$5*IF(Teams!$E$61=1,AG65*((1-Teams!$E$13)*MAX(0,Teams!$E$72*$C$62-Teams!$E$12)+Teams!$E$13*MAX(0,Teams!$E$73*$C$62-Teams!$E$12)),IF(Teams!$E$62=1,AG66*$C$62,0))</f>
        <v>0</v>
      </c>
      <c r="AH68" s="44">
        <f>AH$5*IF(Teams!$E$61=1,AH65*((1-Teams!$E$13)*MAX(0,Teams!$E$72*$C$62-Teams!$E$12)+Teams!$E$13*MAX(0,Teams!$E$73*$C$62-Teams!$E$12)),IF(Teams!$E$62=1,AH66*$C$62,0))</f>
        <v>0</v>
      </c>
      <c r="AI68" s="44">
        <f>AI$5*IF(Teams!$E$61=1,AI65*((1-Teams!$E$13)*MAX(0,Teams!$E$72*$C$62-Teams!$E$12)+Teams!$E$13*MAX(0,Teams!$E$73*$C$62-Teams!$E$12)),IF(Teams!$E$62=1,AI66*$C$62,0))</f>
        <v>0</v>
      </c>
      <c r="AJ68" s="44">
        <f>AJ$5*IF(Teams!$E$61=1,AJ65*((1-Teams!$E$13)*MAX(0,Teams!$E$72*$C$62-Teams!$E$12)+Teams!$E$13*MAX(0,Teams!$E$73*$C$62-Teams!$E$12)),IF(Teams!$E$62=1,AJ66*$C$62,0))</f>
        <v>0</v>
      </c>
      <c r="AK68" s="44">
        <f>AK$5*IF(Teams!$E$61=1,AK65*((1-Teams!$E$13)*MAX(0,Teams!$E$72*$C$62-Teams!$E$12)+Teams!$E$13*MAX(0,Teams!$E$73*$C$62-Teams!$E$12)),IF(Teams!$E$62=1,AK66*$C$62,0))</f>
        <v>0</v>
      </c>
      <c r="AL68" s="44">
        <f>AL$5*IF(Teams!$E$61=1,AL65*((1-Teams!$E$13)*MAX(0,Teams!$E$72*$C$62-Teams!$E$12)+Teams!$E$13*MAX(0,Teams!$E$73*$C$62-Teams!$E$12)),IF(Teams!$E$62=1,AL66*$C$62,0))</f>
        <v>0</v>
      </c>
      <c r="AM68" s="44">
        <f>AM$5*IF(Teams!$E$61=1,AM65*((1-Teams!$E$13)*MAX(0,Teams!$E$72*$C$62-Teams!$E$12)+Teams!$E$13*MAX(0,Teams!$E$73*$C$62-Teams!$E$12)),IF(Teams!$E$62=1,AM66*$C$62,0))</f>
        <v>0</v>
      </c>
      <c r="AN68" s="44">
        <f>AN$5*IF(Teams!$E$61=1,AN65*((1-Teams!$E$13)*MAX(0,Teams!$E$72*$C$62-Teams!$E$12)+Teams!$E$13*MAX(0,Teams!$E$73*$C$62-Teams!$E$12)),IF(Teams!$E$62=1,AN66*$C$62,0))</f>
        <v>0</v>
      </c>
      <c r="AO68" s="44">
        <f>AO$5*IF(Teams!$E$61=1,AO65*((1-Teams!$E$13)*MAX(0,Teams!$E$72*$C$62-Teams!$E$12)+Teams!$E$13*MAX(0,Teams!$E$73*$C$62-Teams!$E$12)),IF(Teams!$E$62=1,AO66*$C$62,0))</f>
        <v>0</v>
      </c>
      <c r="AP68" s="44">
        <f>AP$5*IF(Teams!$E$61=1,AP65*((1-Teams!$E$13)*MAX(0,Teams!$E$72*$C$62-Teams!$E$12)+Teams!$E$13*MAX(0,Teams!$E$73*$C$62-Teams!$E$12)),IF(Teams!$E$62=1,AP66*$C$62,0))</f>
        <v>0</v>
      </c>
      <c r="AQ68" s="44">
        <f>AQ$5*IF(Teams!$E$61=1,AQ65*((1-Teams!$E$13)*MAX(0,Teams!$E$72*$C$62-Teams!$E$12)+Teams!$E$13*MAX(0,Teams!$E$73*$C$62-Teams!$E$12)),IF(Teams!$E$62=1,AQ66*$C$62,0))</f>
        <v>0</v>
      </c>
      <c r="AR68" s="44">
        <f>AR$5*IF(Teams!$E$61=1,AR65*((1-Teams!$E$13)*MAX(0,Teams!$E$72*$C$62-Teams!$E$12)+Teams!$E$13*MAX(0,Teams!$E$73*$C$62-Teams!$E$12)),IF(Teams!$E$62=1,AR66*$C$62,0))</f>
        <v>0</v>
      </c>
      <c r="AS68" s="44">
        <f>AS$5*IF(Teams!$E$61=1,AS65*((1-Teams!$E$13)*MAX(0,Teams!$E$72*$C$62-Teams!$E$12)+Teams!$E$13*MAX(0,Teams!$E$73*$C$62-Teams!$E$12)),IF(Teams!$E$62=1,AS66*$C$62,0))</f>
        <v>0</v>
      </c>
      <c r="AT68" s="44">
        <f>AT$5*IF(Teams!$E$61=1,AT65*((1-Teams!$E$13)*MAX(0,Teams!$E$72*$C$62-Teams!$E$12)+Teams!$E$13*MAX(0,Teams!$E$73*$C$62-Teams!$E$12)),IF(Teams!$E$62=1,AT66*$C$62,0))</f>
        <v>0</v>
      </c>
      <c r="AU68" s="44">
        <f>AU$5*IF(Teams!$E$61=1,AU65*((1-Teams!$E$13)*MAX(0,Teams!$E$72*$C$62-Teams!$E$12)+Teams!$E$13*MAX(0,Teams!$E$73*$C$62-Teams!$E$12)),IF(Teams!$E$62=1,AU66*$C$62,0))</f>
        <v>0</v>
      </c>
      <c r="AV68" s="44">
        <f>AV$5*IF(Teams!$E$61=1,AV65*((1-Teams!$E$13)*MAX(0,Teams!$E$72*$C$62-Teams!$E$12)+Teams!$E$13*MAX(0,Teams!$E$73*$C$62-Teams!$E$12)),IF(Teams!$E$62=1,AV66*$C$62,0))</f>
        <v>0</v>
      </c>
      <c r="AW68" s="44">
        <f>AW$5*IF(Teams!$E$61=1,AW65*((1-Teams!$E$13)*MAX(0,Teams!$E$72*$C$62-Teams!$E$12)+Teams!$E$13*MAX(0,Teams!$E$73*$C$62-Teams!$E$12)),IF(Teams!$E$62=1,AW66*$C$62,0))</f>
        <v>0</v>
      </c>
      <c r="AX68" s="44">
        <f>AX$5*IF(Teams!$E$61=1,AX65*((1-Teams!$E$13)*MAX(0,Teams!$E$72*$C$62-Teams!$E$12)+Teams!$E$13*MAX(0,Teams!$E$73*$C$62-Teams!$E$12)),IF(Teams!$E$62=1,AX66*$C$62,0))</f>
        <v>0</v>
      </c>
      <c r="AY68" s="44">
        <f>AY$5*IF(Teams!$E$61=1,AY65*((1-Teams!$E$13)*MAX(0,Teams!$E$72*$C$62-Teams!$E$12)+Teams!$E$13*MAX(0,Teams!$E$73*$C$62-Teams!$E$12)),IF(Teams!$E$62=1,AY66*$C$62,0))</f>
        <v>0</v>
      </c>
      <c r="AZ68" s="44">
        <f>AZ$5*IF(Teams!$E$61=1,AZ65*((1-Teams!$E$13)*MAX(0,Teams!$E$72*$C$62-Teams!$E$12)+Teams!$E$13*MAX(0,Teams!$E$73*$C$62-Teams!$E$12)),IF(Teams!$E$62=1,AZ66*$C$62,0))</f>
        <v>0</v>
      </c>
      <c r="BA68" s="44">
        <f>BA$5*IF(Teams!$E$61=1,BA65*((1-Teams!$E$13)*MAX(0,Teams!$E$72*$C$62-Teams!$E$12)+Teams!$E$13*MAX(0,Teams!$E$73*$C$62-Teams!$E$12)),IF(Teams!$E$62=1,BA66*$C$62,0))</f>
        <v>0</v>
      </c>
      <c r="BB68" s="44">
        <f>BB$5*IF(Teams!$E$61=1,BB65*((1-Teams!$E$13)*MAX(0,Teams!$E$72*$C$62-Teams!$E$12)+Teams!$E$13*MAX(0,Teams!$E$73*$C$62-Teams!$E$12)),IF(Teams!$E$62=1,BB66*$C$62,0))</f>
        <v>0</v>
      </c>
      <c r="BC68" s="44">
        <f>BC$5*IF(Teams!$E$61=1,BC65*((1-Teams!$E$13)*MAX(0,Teams!$E$72*$C$62-Teams!$E$12)+Teams!$E$13*MAX(0,Teams!$E$73*$C$62-Teams!$E$12)),IF(Teams!$E$62=1,BC66*$C$62,0))</f>
        <v>0</v>
      </c>
      <c r="BD68" s="44">
        <f>BD$5*IF(Teams!$E$61=1,BD65*((1-Teams!$E$13)*MAX(0,Teams!$E$72*$C$62-Teams!$E$12)+Teams!$E$13*MAX(0,Teams!$E$73*$C$62-Teams!$E$12)),IF(Teams!$E$62=1,BD66*$C$62,0))</f>
        <v>0</v>
      </c>
      <c r="BE68" s="44">
        <f>BE$5*IF(Teams!$E$61=1,BE65*((1-Teams!$E$13)*MAX(0,Teams!$E$72*$C$62-Teams!$E$12)+Teams!$E$13*MAX(0,Teams!$E$73*$C$62-Teams!$E$12)),IF(Teams!$E$62=1,BE66*$C$62,0))</f>
        <v>0</v>
      </c>
      <c r="BF68" s="44">
        <f>BF$5*IF(Teams!$E$61=1,BF65*((1-Teams!$E$13)*MAX(0,Teams!$E$72*$C$62-Teams!$E$12)+Teams!$E$13*MAX(0,Teams!$E$73*$C$62-Teams!$E$12)),IF(Teams!$E$62=1,BF66*$C$62,0))</f>
        <v>0</v>
      </c>
      <c r="BG68" s="44">
        <f>BG$5*IF(Teams!$E$61=1,BG65*((1-Teams!$E$13)*MAX(0,Teams!$E$72*$C$62-Teams!$E$12)+Teams!$E$13*MAX(0,Teams!$E$73*$C$62-Teams!$E$12)),IF(Teams!$E$62=1,BG66*$C$62,0))</f>
        <v>0</v>
      </c>
      <c r="BH68" s="44">
        <f>BH$5*IF(Teams!$E$61=1,BH65*((1-Teams!$E$13)*MAX(0,Teams!$E$72*$C$62-Teams!$E$12)+Teams!$E$13*MAX(0,Teams!$E$73*$C$62-Teams!$E$12)),IF(Teams!$E$62=1,BH66*$C$62,0))</f>
        <v>0</v>
      </c>
      <c r="BI68" s="44">
        <f>BI$5*IF(Teams!$E$61=1,BI65*((1-Teams!$E$13)*MAX(0,Teams!$E$72*$C$62-Teams!$E$12)+Teams!$E$13*MAX(0,Teams!$E$73*$C$62-Teams!$E$12)),IF(Teams!$E$62=1,BI66*$C$62,0))</f>
        <v>0</v>
      </c>
      <c r="BJ68" s="44">
        <f>BJ$5*IF(Teams!$E$61=1,BJ65*((1-Teams!$E$13)*MAX(0,Teams!$E$72*$C$62-Teams!$E$12)+Teams!$E$13*MAX(0,Teams!$E$73*$C$62-Teams!$E$12)),IF(Teams!$E$62=1,BJ66*$C$62,0))</f>
        <v>0</v>
      </c>
      <c r="BK68" s="44">
        <f>BK$5*IF(Teams!$E$61=1,BK65*((1-Teams!$E$13)*MAX(0,Teams!$E$72*$C$62-Teams!$E$12)+Teams!$E$13*MAX(0,Teams!$E$73*$C$62-Teams!$E$12)),IF(Teams!$E$62=1,BK66*$C$62,0))</f>
        <v>0</v>
      </c>
      <c r="BL68" s="44">
        <f>BL$5*IF(Teams!$E$61=1,BL65*((1-Teams!$E$13)*MAX(0,Teams!$E$72*$C$62-Teams!$E$12)+Teams!$E$13*MAX(0,Teams!$E$73*$C$62-Teams!$E$12)),IF(Teams!$E$62=1,BL66*$C$62,0))</f>
        <v>0</v>
      </c>
    </row>
    <row r="69" spans="1:64" x14ac:dyDescent="0.3">
      <c r="A69" s="8" t="s">
        <v>667</v>
      </c>
      <c r="B69" s="18" t="s">
        <v>435</v>
      </c>
      <c r="C69" s="44">
        <f t="shared" si="20"/>
        <v>1287000</v>
      </c>
      <c r="E69" s="44">
        <f>E$5*Teams!$E$63*E66*Teams!$E$67</f>
        <v>0</v>
      </c>
      <c r="F69" s="44">
        <f>F$5*Teams!$E$63*F66*Teams!$E$67</f>
        <v>2933.333333333333</v>
      </c>
      <c r="G69" s="44">
        <f>G$5*Teams!$E$63*G66*Teams!$E$67</f>
        <v>10266.666666666666</v>
      </c>
      <c r="H69" s="44">
        <f>H$5*Teams!$E$63*H66*Teams!$E$67</f>
        <v>19800</v>
      </c>
      <c r="I69" s="44">
        <f>I$5*Teams!$E$63*I66*Teams!$E$67</f>
        <v>29333.333333333332</v>
      </c>
      <c r="J69" s="44">
        <f>J$5*Teams!$E$63*J66*Teams!$E$67</f>
        <v>36666.666666666672</v>
      </c>
      <c r="K69" s="44">
        <f>K$5*Teams!$E$63*K66*Teams!$E$67</f>
        <v>39600</v>
      </c>
      <c r="L69" s="44">
        <f>L$5*Teams!$E$63*L66*Teams!$E$67</f>
        <v>39600</v>
      </c>
      <c r="M69" s="44">
        <f>M$5*Teams!$E$63*M66*Teams!$E$67</f>
        <v>39600</v>
      </c>
      <c r="N69" s="44">
        <f>N$5*Teams!$E$63*N66*Teams!$E$67</f>
        <v>39600</v>
      </c>
      <c r="O69" s="44">
        <f>O$5*Teams!$E$63*O66*Teams!$E$67</f>
        <v>39600</v>
      </c>
      <c r="P69" s="44">
        <f>P$5*Teams!$E$63*P66*Teams!$E$67</f>
        <v>39600</v>
      </c>
      <c r="Q69" s="44">
        <f>Q$5*Teams!$E$63*Q66*Teams!$E$67</f>
        <v>39600</v>
      </c>
      <c r="R69" s="44">
        <f>R$5*Teams!$E$63*R66*Teams!$E$67</f>
        <v>39600</v>
      </c>
      <c r="S69" s="44">
        <f>S$5*Teams!$E$63*S66*Teams!$E$67</f>
        <v>39600</v>
      </c>
      <c r="T69" s="44">
        <f>T$5*Teams!$E$63*T66*Teams!$E$67</f>
        <v>39600</v>
      </c>
      <c r="U69" s="44">
        <f>U$5*Teams!$E$63*U66*Teams!$E$67</f>
        <v>39600</v>
      </c>
      <c r="V69" s="44">
        <f>V$5*Teams!$E$63*V66*Teams!$E$67</f>
        <v>39600</v>
      </c>
      <c r="W69" s="44">
        <f>W$5*Teams!$E$63*W66*Teams!$E$67</f>
        <v>39600</v>
      </c>
      <c r="X69" s="44">
        <f>X$5*Teams!$E$63*X66*Teams!$E$67</f>
        <v>39600</v>
      </c>
      <c r="Y69" s="44">
        <f>Y$5*Teams!$E$63*Y66*Teams!$E$67</f>
        <v>39600</v>
      </c>
      <c r="Z69" s="44">
        <f>Z$5*Teams!$E$63*Z66*Teams!$E$67</f>
        <v>39600</v>
      </c>
      <c r="AA69" s="44">
        <f>AA$5*Teams!$E$63*AA66*Teams!$E$67</f>
        <v>39600</v>
      </c>
      <c r="AB69" s="44">
        <f>AB$5*Teams!$E$63*AB66*Teams!$E$67</f>
        <v>39600</v>
      </c>
      <c r="AC69" s="44">
        <f>AC$5*Teams!$E$63*AC66*Teams!$E$67</f>
        <v>39600</v>
      </c>
      <c r="AD69" s="44">
        <f>AD$5*Teams!$E$63*AD66*Teams!$E$67</f>
        <v>39600</v>
      </c>
      <c r="AE69" s="44">
        <f>AE$5*Teams!$E$63*AE66*Teams!$E$67</f>
        <v>39600</v>
      </c>
      <c r="AF69" s="44">
        <f>AF$5*Teams!$E$63*AF66*Teams!$E$67</f>
        <v>39600</v>
      </c>
      <c r="AG69" s="44">
        <f>AG$5*Teams!$E$63*AG66*Teams!$E$67</f>
        <v>39600</v>
      </c>
      <c r="AH69" s="44">
        <f>AH$5*Teams!$E$63*AH66*Teams!$E$67</f>
        <v>39600</v>
      </c>
      <c r="AI69" s="44">
        <f>AI$5*Teams!$E$63*AI66*Teams!$E$67</f>
        <v>39600</v>
      </c>
      <c r="AJ69" s="44">
        <f>AJ$5*Teams!$E$63*AJ66*Teams!$E$67</f>
        <v>39600</v>
      </c>
      <c r="AK69" s="44">
        <f>AK$5*Teams!$E$63*AK66*Teams!$E$67</f>
        <v>39600</v>
      </c>
      <c r="AL69" s="44">
        <f>AL$5*Teams!$E$63*AL66*Teams!$E$67</f>
        <v>39600</v>
      </c>
      <c r="AM69" s="44">
        <f>AM$5*Teams!$E$63*AM66*Teams!$E$67</f>
        <v>39600</v>
      </c>
      <c r="AN69" s="44">
        <f>AN$5*Teams!$E$63*AN66*Teams!$E$67</f>
        <v>39600</v>
      </c>
      <c r="AO69" s="44">
        <f>AO$5*Teams!$E$63*AO66*Teams!$E$67</f>
        <v>0</v>
      </c>
      <c r="AP69" s="44">
        <f>AP$5*Teams!$E$63*AP66*Teams!$E$67</f>
        <v>0</v>
      </c>
      <c r="AQ69" s="44">
        <f>AQ$5*Teams!$E$63*AQ66*Teams!$E$67</f>
        <v>0</v>
      </c>
      <c r="AR69" s="44">
        <f>AR$5*Teams!$E$63*AR66*Teams!$E$67</f>
        <v>0</v>
      </c>
      <c r="AS69" s="44">
        <f>AS$5*Teams!$E$63*AS66*Teams!$E$67</f>
        <v>0</v>
      </c>
      <c r="AT69" s="44">
        <f>AT$5*Teams!$E$63*AT66*Teams!$E$67</f>
        <v>0</v>
      </c>
      <c r="AU69" s="44">
        <f>AU$5*Teams!$E$63*AU66*Teams!$E$67</f>
        <v>0</v>
      </c>
      <c r="AV69" s="44">
        <f>AV$5*Teams!$E$63*AV66*Teams!$E$67</f>
        <v>0</v>
      </c>
      <c r="AW69" s="44">
        <f>AW$5*Teams!$E$63*AW66*Teams!$E$67</f>
        <v>0</v>
      </c>
      <c r="AX69" s="44">
        <f>AX$5*Teams!$E$63*AX66*Teams!$E$67</f>
        <v>0</v>
      </c>
      <c r="AY69" s="44">
        <f>AY$5*Teams!$E$63*AY66*Teams!$E$67</f>
        <v>0</v>
      </c>
      <c r="AZ69" s="44">
        <f>AZ$5*Teams!$E$63*AZ66*Teams!$E$67</f>
        <v>0</v>
      </c>
      <c r="BA69" s="44">
        <f>BA$5*Teams!$E$63*BA66*Teams!$E$67</f>
        <v>0</v>
      </c>
      <c r="BB69" s="44">
        <f>BB$5*Teams!$E$63*BB66*Teams!$E$67</f>
        <v>0</v>
      </c>
      <c r="BC69" s="44">
        <f>BC$5*Teams!$E$63*BC66*Teams!$E$67</f>
        <v>0</v>
      </c>
      <c r="BD69" s="44">
        <f>BD$5*Teams!$E$63*BD66*Teams!$E$67</f>
        <v>0</v>
      </c>
      <c r="BE69" s="44">
        <f>BE$5*Teams!$E$63*BE66*Teams!$E$67</f>
        <v>0</v>
      </c>
      <c r="BF69" s="44">
        <f>BF$5*Teams!$E$63*BF66*Teams!$E$67</f>
        <v>0</v>
      </c>
      <c r="BG69" s="44">
        <f>BG$5*Teams!$E$63*BG66*Teams!$E$67</f>
        <v>0</v>
      </c>
      <c r="BH69" s="44">
        <f>BH$5*Teams!$E$63*BH66*Teams!$E$67</f>
        <v>0</v>
      </c>
      <c r="BI69" s="44">
        <f>BI$5*Teams!$E$63*BI66*Teams!$E$67</f>
        <v>0</v>
      </c>
      <c r="BJ69" s="44">
        <f>BJ$5*Teams!$E$63*BJ66*Teams!$E$67</f>
        <v>0</v>
      </c>
      <c r="BK69" s="44">
        <f>BK$5*Teams!$E$63*BK66*Teams!$E$67</f>
        <v>0</v>
      </c>
      <c r="BL69" s="44">
        <f>BL$5*Teams!$E$63*BL66*Teams!$E$67</f>
        <v>0</v>
      </c>
    </row>
    <row r="70" spans="1:64" x14ac:dyDescent="0.3">
      <c r="A70" s="8" t="s">
        <v>668</v>
      </c>
      <c r="B70" s="18" t="s">
        <v>435</v>
      </c>
      <c r="C70" s="44">
        <f t="shared" si="20"/>
        <v>0</v>
      </c>
      <c r="E70" s="44">
        <f>E$5*Teams!$E$65*E66*Teams!$E$74</f>
        <v>0</v>
      </c>
      <c r="F70" s="44">
        <f>F$5*Teams!$E$65*F66*Teams!$E$74</f>
        <v>0</v>
      </c>
      <c r="G70" s="44">
        <f>G$5*Teams!$E$65*G66*Teams!$E$74</f>
        <v>0</v>
      </c>
      <c r="H70" s="44">
        <f>H$5*Teams!$E$65*H66*Teams!$E$74</f>
        <v>0</v>
      </c>
      <c r="I70" s="44">
        <f>I$5*Teams!$E$65*I66*Teams!$E$74</f>
        <v>0</v>
      </c>
      <c r="J70" s="44">
        <f>J$5*Teams!$E$65*J66*Teams!$E$74</f>
        <v>0</v>
      </c>
      <c r="K70" s="44">
        <f>K$5*Teams!$E$65*K66*Teams!$E$74</f>
        <v>0</v>
      </c>
      <c r="L70" s="44">
        <f>L$5*Teams!$E$65*L66*Teams!$E$74</f>
        <v>0</v>
      </c>
      <c r="M70" s="44">
        <f>M$5*Teams!$E$65*M66*Teams!$E$74</f>
        <v>0</v>
      </c>
      <c r="N70" s="44">
        <f>N$5*Teams!$E$65*N66*Teams!$E$74</f>
        <v>0</v>
      </c>
      <c r="O70" s="44">
        <f>O$5*Teams!$E$65*O66*Teams!$E$74</f>
        <v>0</v>
      </c>
      <c r="P70" s="44">
        <f>P$5*Teams!$E$65*P66*Teams!$E$74</f>
        <v>0</v>
      </c>
      <c r="Q70" s="44">
        <f>Q$5*Teams!$E$65*Q66*Teams!$E$74</f>
        <v>0</v>
      </c>
      <c r="R70" s="44">
        <f>R$5*Teams!$E$65*R66*Teams!$E$74</f>
        <v>0</v>
      </c>
      <c r="S70" s="44">
        <f>S$5*Teams!$E$65*S66*Teams!$E$74</f>
        <v>0</v>
      </c>
      <c r="T70" s="44">
        <f>T$5*Teams!$E$65*T66*Teams!$E$74</f>
        <v>0</v>
      </c>
      <c r="U70" s="44">
        <f>U$5*Teams!$E$65*U66*Teams!$E$74</f>
        <v>0</v>
      </c>
      <c r="V70" s="44">
        <f>V$5*Teams!$E$65*V66*Teams!$E$74</f>
        <v>0</v>
      </c>
      <c r="W70" s="44">
        <f>W$5*Teams!$E$65*W66*Teams!$E$74</f>
        <v>0</v>
      </c>
      <c r="X70" s="44">
        <f>X$5*Teams!$E$65*X66*Teams!$E$74</f>
        <v>0</v>
      </c>
      <c r="Y70" s="44">
        <f>Y$5*Teams!$E$65*Y66*Teams!$E$74</f>
        <v>0</v>
      </c>
      <c r="Z70" s="44">
        <f>Z$5*Teams!$E$65*Z66*Teams!$E$74</f>
        <v>0</v>
      </c>
      <c r="AA70" s="44">
        <f>AA$5*Teams!$E$65*AA66*Teams!$E$74</f>
        <v>0</v>
      </c>
      <c r="AB70" s="44">
        <f>AB$5*Teams!$E$65*AB66*Teams!$E$74</f>
        <v>0</v>
      </c>
      <c r="AC70" s="44">
        <f>AC$5*Teams!$E$65*AC66*Teams!$E$74</f>
        <v>0</v>
      </c>
      <c r="AD70" s="44">
        <f>AD$5*Teams!$E$65*AD66*Teams!$E$74</f>
        <v>0</v>
      </c>
      <c r="AE70" s="44">
        <f>AE$5*Teams!$E$65*AE66*Teams!$E$74</f>
        <v>0</v>
      </c>
      <c r="AF70" s="44">
        <f>AF$5*Teams!$E$65*AF66*Teams!$E$74</f>
        <v>0</v>
      </c>
      <c r="AG70" s="44">
        <f>AG$5*Teams!$E$65*AG66*Teams!$E$74</f>
        <v>0</v>
      </c>
      <c r="AH70" s="44">
        <f>AH$5*Teams!$E$65*AH66*Teams!$E$74</f>
        <v>0</v>
      </c>
      <c r="AI70" s="44">
        <f>AI$5*Teams!$E$65*AI66*Teams!$E$74</f>
        <v>0</v>
      </c>
      <c r="AJ70" s="44">
        <f>AJ$5*Teams!$E$65*AJ66*Teams!$E$74</f>
        <v>0</v>
      </c>
      <c r="AK70" s="44">
        <f>AK$5*Teams!$E$65*AK66*Teams!$E$74</f>
        <v>0</v>
      </c>
      <c r="AL70" s="44">
        <f>AL$5*Teams!$E$65*AL66*Teams!$E$74</f>
        <v>0</v>
      </c>
      <c r="AM70" s="44">
        <f>AM$5*Teams!$E$65*AM66*Teams!$E$74</f>
        <v>0</v>
      </c>
      <c r="AN70" s="44">
        <f>AN$5*Teams!$E$65*AN66*Teams!$E$74</f>
        <v>0</v>
      </c>
      <c r="AO70" s="44">
        <f>AO$5*Teams!$E$65*AO66*Teams!$E$74</f>
        <v>0</v>
      </c>
      <c r="AP70" s="44">
        <f>AP$5*Teams!$E$65*AP66*Teams!$E$74</f>
        <v>0</v>
      </c>
      <c r="AQ70" s="44">
        <f>AQ$5*Teams!$E$65*AQ66*Teams!$E$74</f>
        <v>0</v>
      </c>
      <c r="AR70" s="44">
        <f>AR$5*Teams!$E$65*AR66*Teams!$E$74</f>
        <v>0</v>
      </c>
      <c r="AS70" s="44">
        <f>AS$5*Teams!$E$65*AS66*Teams!$E$74</f>
        <v>0</v>
      </c>
      <c r="AT70" s="44">
        <f>AT$5*Teams!$E$65*AT66*Teams!$E$74</f>
        <v>0</v>
      </c>
      <c r="AU70" s="44">
        <f>AU$5*Teams!$E$65*AU66*Teams!$E$74</f>
        <v>0</v>
      </c>
      <c r="AV70" s="44">
        <f>AV$5*Teams!$E$65*AV66*Teams!$E$74</f>
        <v>0</v>
      </c>
      <c r="AW70" s="44">
        <f>AW$5*Teams!$E$65*AW66*Teams!$E$74</f>
        <v>0</v>
      </c>
      <c r="AX70" s="44">
        <f>AX$5*Teams!$E$65*AX66*Teams!$E$74</f>
        <v>0</v>
      </c>
      <c r="AY70" s="44">
        <f>AY$5*Teams!$E$65*AY66*Teams!$E$74</f>
        <v>0</v>
      </c>
      <c r="AZ70" s="44">
        <f>AZ$5*Teams!$E$65*AZ66*Teams!$E$74</f>
        <v>0</v>
      </c>
      <c r="BA70" s="44">
        <f>BA$5*Teams!$E$65*BA66*Teams!$E$74</f>
        <v>0</v>
      </c>
      <c r="BB70" s="44">
        <f>BB$5*Teams!$E$65*BB66*Teams!$E$74</f>
        <v>0</v>
      </c>
      <c r="BC70" s="44">
        <f>BC$5*Teams!$E$65*BC66*Teams!$E$74</f>
        <v>0</v>
      </c>
      <c r="BD70" s="44">
        <f>BD$5*Teams!$E$65*BD66*Teams!$E$74</f>
        <v>0</v>
      </c>
      <c r="BE70" s="44">
        <f>BE$5*Teams!$E$65*BE66*Teams!$E$74</f>
        <v>0</v>
      </c>
      <c r="BF70" s="44">
        <f>BF$5*Teams!$E$65*BF66*Teams!$E$74</f>
        <v>0</v>
      </c>
      <c r="BG70" s="44">
        <f>BG$5*Teams!$E$65*BG66*Teams!$E$74</f>
        <v>0</v>
      </c>
      <c r="BH70" s="44">
        <f>BH$5*Teams!$E$65*BH66*Teams!$E$74</f>
        <v>0</v>
      </c>
      <c r="BI70" s="44">
        <f>BI$5*Teams!$E$65*BI66*Teams!$E$74</f>
        <v>0</v>
      </c>
      <c r="BJ70" s="44">
        <f>BJ$5*Teams!$E$65*BJ66*Teams!$E$74</f>
        <v>0</v>
      </c>
      <c r="BK70" s="44">
        <f>BK$5*Teams!$E$65*BK66*Teams!$E$74</f>
        <v>0</v>
      </c>
      <c r="BL70" s="44">
        <f>BL$5*Teams!$E$65*BL66*Teams!$E$74</f>
        <v>0</v>
      </c>
    </row>
    <row r="71" spans="1:64" x14ac:dyDescent="0.3">
      <c r="A71" s="8" t="s">
        <v>669</v>
      </c>
      <c r="B71" s="18" t="s">
        <v>505</v>
      </c>
      <c r="C71" s="44">
        <f t="shared" si="20"/>
        <v>0</v>
      </c>
      <c r="E71" s="44">
        <f>E$5*Teams!$E$64*Teams!$E$16*IF(E$4&gt;=Teams!$E$80,1,0)</f>
        <v>0</v>
      </c>
      <c r="F71" s="44">
        <f>F$5*Teams!$E$64*Teams!$E$16*IF(F$4&gt;=Teams!$E$80,1,0)</f>
        <v>0</v>
      </c>
      <c r="G71" s="44">
        <f>G$5*Teams!$E$64*Teams!$E$16*IF(G$4&gt;=Teams!$E$80,1,0)</f>
        <v>0</v>
      </c>
      <c r="H71" s="44">
        <f>H$5*Teams!$E$64*Teams!$E$16*IF(H$4&gt;=Teams!$E$80,1,0)</f>
        <v>0</v>
      </c>
      <c r="I71" s="44">
        <f>I$5*Teams!$E$64*Teams!$E$16*IF(I$4&gt;=Teams!$E$80,1,0)</f>
        <v>0</v>
      </c>
      <c r="J71" s="44">
        <f>J$5*Teams!$E$64*Teams!$E$16*IF(J$4&gt;=Teams!$E$80,1,0)</f>
        <v>0</v>
      </c>
      <c r="K71" s="44">
        <f>K$5*Teams!$E$64*Teams!$E$16*IF(K$4&gt;=Teams!$E$80,1,0)</f>
        <v>0</v>
      </c>
      <c r="L71" s="44">
        <f>L$5*Teams!$E$64*Teams!$E$16*IF(L$4&gt;=Teams!$E$80,1,0)</f>
        <v>0</v>
      </c>
      <c r="M71" s="44">
        <f>M$5*Teams!$E$64*Teams!$E$16*IF(M$4&gt;=Teams!$E$80,1,0)</f>
        <v>0</v>
      </c>
      <c r="N71" s="44">
        <f>N$5*Teams!$E$64*Teams!$E$16*IF(N$4&gt;=Teams!$E$80,1,0)</f>
        <v>0</v>
      </c>
      <c r="O71" s="44">
        <f>O$5*Teams!$E$64*Teams!$E$16*IF(O$4&gt;=Teams!$E$80,1,0)</f>
        <v>0</v>
      </c>
      <c r="P71" s="44">
        <f>P$5*Teams!$E$64*Teams!$E$16*IF(P$4&gt;=Teams!$E$80,1,0)</f>
        <v>0</v>
      </c>
      <c r="Q71" s="44">
        <f>Q$5*Teams!$E$64*Teams!$E$16*IF(Q$4&gt;=Teams!$E$80,1,0)</f>
        <v>0</v>
      </c>
      <c r="R71" s="44">
        <f>R$5*Teams!$E$64*Teams!$E$16*IF(R$4&gt;=Teams!$E$80,1,0)</f>
        <v>0</v>
      </c>
      <c r="S71" s="44">
        <f>S$5*Teams!$E$64*Teams!$E$16*IF(S$4&gt;=Teams!$E$80,1,0)</f>
        <v>0</v>
      </c>
      <c r="T71" s="44">
        <f>T$5*Teams!$E$64*Teams!$E$16*IF(T$4&gt;=Teams!$E$80,1,0)</f>
        <v>0</v>
      </c>
      <c r="U71" s="44">
        <f>U$5*Teams!$E$64*Teams!$E$16*IF(U$4&gt;=Teams!$E$80,1,0)</f>
        <v>0</v>
      </c>
      <c r="V71" s="44">
        <f>V$5*Teams!$E$64*Teams!$E$16*IF(V$4&gt;=Teams!$E$80,1,0)</f>
        <v>0</v>
      </c>
      <c r="W71" s="44">
        <f>W$5*Teams!$E$64*Teams!$E$16*IF(W$4&gt;=Teams!$E$80,1,0)</f>
        <v>0</v>
      </c>
      <c r="X71" s="44">
        <f>X$5*Teams!$E$64*Teams!$E$16*IF(X$4&gt;=Teams!$E$80,1,0)</f>
        <v>0</v>
      </c>
      <c r="Y71" s="44">
        <f>Y$5*Teams!$E$64*Teams!$E$16*IF(Y$4&gt;=Teams!$E$80,1,0)</f>
        <v>0</v>
      </c>
      <c r="Z71" s="44">
        <f>Z$5*Teams!$E$64*Teams!$E$16*IF(Z$4&gt;=Teams!$E$80,1,0)</f>
        <v>0</v>
      </c>
      <c r="AA71" s="44">
        <f>AA$5*Teams!$E$64*Teams!$E$16*IF(AA$4&gt;=Teams!$E$80,1,0)</f>
        <v>0</v>
      </c>
      <c r="AB71" s="44">
        <f>AB$5*Teams!$E$64*Teams!$E$16*IF(AB$4&gt;=Teams!$E$80,1,0)</f>
        <v>0</v>
      </c>
      <c r="AC71" s="44">
        <f>AC$5*Teams!$E$64*Teams!$E$16*IF(AC$4&gt;=Teams!$E$80,1,0)</f>
        <v>0</v>
      </c>
      <c r="AD71" s="44">
        <f>AD$5*Teams!$E$64*Teams!$E$16*IF(AD$4&gt;=Teams!$E$80,1,0)</f>
        <v>0</v>
      </c>
      <c r="AE71" s="44">
        <f>AE$5*Teams!$E$64*Teams!$E$16*IF(AE$4&gt;=Teams!$E$80,1,0)</f>
        <v>0</v>
      </c>
      <c r="AF71" s="44">
        <f>AF$5*Teams!$E$64*Teams!$E$16*IF(AF$4&gt;=Teams!$E$80,1,0)</f>
        <v>0</v>
      </c>
      <c r="AG71" s="44">
        <f>AG$5*Teams!$E$64*Teams!$E$16*IF(AG$4&gt;=Teams!$E$80,1,0)</f>
        <v>0</v>
      </c>
      <c r="AH71" s="44">
        <f>AH$5*Teams!$E$64*Teams!$E$16*IF(AH$4&gt;=Teams!$E$80,1,0)</f>
        <v>0</v>
      </c>
      <c r="AI71" s="44">
        <f>AI$5*Teams!$E$64*Teams!$E$16*IF(AI$4&gt;=Teams!$E$80,1,0)</f>
        <v>0</v>
      </c>
      <c r="AJ71" s="44">
        <f>AJ$5*Teams!$E$64*Teams!$E$16*IF(AJ$4&gt;=Teams!$E$80,1,0)</f>
        <v>0</v>
      </c>
      <c r="AK71" s="44">
        <f>AK$5*Teams!$E$64*Teams!$E$16*IF(AK$4&gt;=Teams!$E$80,1,0)</f>
        <v>0</v>
      </c>
      <c r="AL71" s="44">
        <f>AL$5*Teams!$E$64*Teams!$E$16*IF(AL$4&gt;=Teams!$E$80,1,0)</f>
        <v>0</v>
      </c>
      <c r="AM71" s="44">
        <f>AM$5*Teams!$E$64*Teams!$E$16*IF(AM$4&gt;=Teams!$E$80,1,0)</f>
        <v>0</v>
      </c>
      <c r="AN71" s="44">
        <f>AN$5*Teams!$E$64*Teams!$E$16*IF(AN$4&gt;=Teams!$E$80,1,0)</f>
        <v>0</v>
      </c>
      <c r="AO71" s="44">
        <f>AO$5*Teams!$E$64*Teams!$E$16*IF(AO$4&gt;=Teams!$E$80,1,0)</f>
        <v>0</v>
      </c>
      <c r="AP71" s="44">
        <f>AP$5*Teams!$E$64*Teams!$E$16*IF(AP$4&gt;=Teams!$E$80,1,0)</f>
        <v>0</v>
      </c>
      <c r="AQ71" s="44">
        <f>AQ$5*Teams!$E$64*Teams!$E$16*IF(AQ$4&gt;=Teams!$E$80,1,0)</f>
        <v>0</v>
      </c>
      <c r="AR71" s="44">
        <f>AR$5*Teams!$E$64*Teams!$E$16*IF(AR$4&gt;=Teams!$E$80,1,0)</f>
        <v>0</v>
      </c>
      <c r="AS71" s="44">
        <f>AS$5*Teams!$E$64*Teams!$E$16*IF(AS$4&gt;=Teams!$E$80,1,0)</f>
        <v>0</v>
      </c>
      <c r="AT71" s="44">
        <f>AT$5*Teams!$E$64*Teams!$E$16*IF(AT$4&gt;=Teams!$E$80,1,0)</f>
        <v>0</v>
      </c>
      <c r="AU71" s="44">
        <f>AU$5*Teams!$E$64*Teams!$E$16*IF(AU$4&gt;=Teams!$E$80,1,0)</f>
        <v>0</v>
      </c>
      <c r="AV71" s="44">
        <f>AV$5*Teams!$E$64*Teams!$E$16*IF(AV$4&gt;=Teams!$E$80,1,0)</f>
        <v>0</v>
      </c>
      <c r="AW71" s="44">
        <f>AW$5*Teams!$E$64*Teams!$E$16*IF(AW$4&gt;=Teams!$E$80,1,0)</f>
        <v>0</v>
      </c>
      <c r="AX71" s="44">
        <f>AX$5*Teams!$E$64*Teams!$E$16*IF(AX$4&gt;=Teams!$E$80,1,0)</f>
        <v>0</v>
      </c>
      <c r="AY71" s="44">
        <f>AY$5*Teams!$E$64*Teams!$E$16*IF(AY$4&gt;=Teams!$E$80,1,0)</f>
        <v>0</v>
      </c>
      <c r="AZ71" s="44">
        <f>AZ$5*Teams!$E$64*Teams!$E$16*IF(AZ$4&gt;=Teams!$E$80,1,0)</f>
        <v>0</v>
      </c>
      <c r="BA71" s="44">
        <f>BA$5*Teams!$E$64*Teams!$E$16*IF(BA$4&gt;=Teams!$E$80,1,0)</f>
        <v>0</v>
      </c>
      <c r="BB71" s="44">
        <f>BB$5*Teams!$E$64*Teams!$E$16*IF(BB$4&gt;=Teams!$E$80,1,0)</f>
        <v>0</v>
      </c>
      <c r="BC71" s="44">
        <f>BC$5*Teams!$E$64*Teams!$E$16*IF(BC$4&gt;=Teams!$E$80,1,0)</f>
        <v>0</v>
      </c>
      <c r="BD71" s="44">
        <f>BD$5*Teams!$E$64*Teams!$E$16*IF(BD$4&gt;=Teams!$E$80,1,0)</f>
        <v>0</v>
      </c>
      <c r="BE71" s="44">
        <f>BE$5*Teams!$E$64*Teams!$E$16*IF(BE$4&gt;=Teams!$E$80,1,0)</f>
        <v>0</v>
      </c>
      <c r="BF71" s="44">
        <f>BF$5*Teams!$E$64*Teams!$E$16*IF(BF$4&gt;=Teams!$E$80,1,0)</f>
        <v>0</v>
      </c>
      <c r="BG71" s="44">
        <f>BG$5*Teams!$E$64*Teams!$E$16*IF(BG$4&gt;=Teams!$E$80,1,0)</f>
        <v>0</v>
      </c>
      <c r="BH71" s="44">
        <f>BH$5*Teams!$E$64*Teams!$E$16*IF(BH$4&gt;=Teams!$E$80,1,0)</f>
        <v>0</v>
      </c>
      <c r="BI71" s="44">
        <f>BI$5*Teams!$E$64*Teams!$E$16*IF(BI$4&gt;=Teams!$E$80,1,0)</f>
        <v>0</v>
      </c>
      <c r="BJ71" s="44">
        <f>BJ$5*Teams!$E$64*Teams!$E$16*IF(BJ$4&gt;=Teams!$E$80,1,0)</f>
        <v>0</v>
      </c>
      <c r="BK71" s="44">
        <f>BK$5*Teams!$E$64*Teams!$E$16*IF(BK$4&gt;=Teams!$E$80,1,0)</f>
        <v>0</v>
      </c>
      <c r="BL71" s="44">
        <f>BL$5*Teams!$E$64*Teams!$E$16*IF(BL$4&gt;=Teams!$E$80,1,0)</f>
        <v>0</v>
      </c>
    </row>
    <row r="72" spans="1:64" x14ac:dyDescent="0.3">
      <c r="A72" s="8" t="s">
        <v>670</v>
      </c>
      <c r="B72" s="18" t="s">
        <v>435</v>
      </c>
      <c r="C72" s="44">
        <f t="shared" si="20"/>
        <v>0</v>
      </c>
      <c r="E72" s="44">
        <f>E$5*IF(AND(E$4&gt;=Teams!$E$80,Teams!$E$49=1),Teams!$E$44*Params!$F$10*Teams!$E$45*Teams!$E$75+Teams!$E$44*Params!$F$10*Teams!$E$47*Teams!$E$76/1000000+Teams!$E$77+Teams!$E$50*Teams!$E$78+E66*Teams!$E$51*Teams!$E$79/1000000,0)</f>
        <v>0</v>
      </c>
      <c r="F72" s="44">
        <f>F$5*IF(AND(F$4&gt;=Teams!$E$80,Teams!$E$49=1),Teams!$E$44*Params!$F$10*Teams!$E$45*Teams!$E$75+Teams!$E$44*Params!$F$10*Teams!$E$47*Teams!$E$76/1000000+Teams!$E$77+Teams!$E$50*Teams!$E$78+F66*Teams!$E$51*Teams!$E$79/1000000,0)</f>
        <v>0</v>
      </c>
      <c r="G72" s="44">
        <f>G$5*IF(AND(G$4&gt;=Teams!$E$80,Teams!$E$49=1),Teams!$E$44*Params!$F$10*Teams!$E$45*Teams!$E$75+Teams!$E$44*Params!$F$10*Teams!$E$47*Teams!$E$76/1000000+Teams!$E$77+Teams!$E$50*Teams!$E$78+G66*Teams!$E$51*Teams!$E$79/1000000,0)</f>
        <v>0</v>
      </c>
      <c r="H72" s="44">
        <f>H$5*IF(AND(H$4&gt;=Teams!$E$80,Teams!$E$49=1),Teams!$E$44*Params!$F$10*Teams!$E$45*Teams!$E$75+Teams!$E$44*Params!$F$10*Teams!$E$47*Teams!$E$76/1000000+Teams!$E$77+Teams!$E$50*Teams!$E$78+H66*Teams!$E$51*Teams!$E$79/1000000,0)</f>
        <v>0</v>
      </c>
      <c r="I72" s="44">
        <f>I$5*IF(AND(I$4&gt;=Teams!$E$80,Teams!$E$49=1),Teams!$E$44*Params!$F$10*Teams!$E$45*Teams!$E$75+Teams!$E$44*Params!$F$10*Teams!$E$47*Teams!$E$76/1000000+Teams!$E$77+Teams!$E$50*Teams!$E$78+I66*Teams!$E$51*Teams!$E$79/1000000,0)</f>
        <v>0</v>
      </c>
      <c r="J72" s="44">
        <f>J$5*IF(AND(J$4&gt;=Teams!$E$80,Teams!$E$49=1),Teams!$E$44*Params!$F$10*Teams!$E$45*Teams!$E$75+Teams!$E$44*Params!$F$10*Teams!$E$47*Teams!$E$76/1000000+Teams!$E$77+Teams!$E$50*Teams!$E$78+J66*Teams!$E$51*Teams!$E$79/1000000,0)</f>
        <v>0</v>
      </c>
      <c r="K72" s="44">
        <f>K$5*IF(AND(K$4&gt;=Teams!$E$80,Teams!$E$49=1),Teams!$E$44*Params!$F$10*Teams!$E$45*Teams!$E$75+Teams!$E$44*Params!$F$10*Teams!$E$47*Teams!$E$76/1000000+Teams!$E$77+Teams!$E$50*Teams!$E$78+K66*Teams!$E$51*Teams!$E$79/1000000,0)</f>
        <v>0</v>
      </c>
      <c r="L72" s="44">
        <f>L$5*IF(AND(L$4&gt;=Teams!$E$80,Teams!$E$49=1),Teams!$E$44*Params!$F$10*Teams!$E$45*Teams!$E$75+Teams!$E$44*Params!$F$10*Teams!$E$47*Teams!$E$76/1000000+Teams!$E$77+Teams!$E$50*Teams!$E$78+L66*Teams!$E$51*Teams!$E$79/1000000,0)</f>
        <v>0</v>
      </c>
      <c r="M72" s="44">
        <f>M$5*IF(AND(M$4&gt;=Teams!$E$80,Teams!$E$49=1),Teams!$E$44*Params!$F$10*Teams!$E$45*Teams!$E$75+Teams!$E$44*Params!$F$10*Teams!$E$47*Teams!$E$76/1000000+Teams!$E$77+Teams!$E$50*Teams!$E$78+M66*Teams!$E$51*Teams!$E$79/1000000,0)</f>
        <v>0</v>
      </c>
      <c r="N72" s="44">
        <f>N$5*IF(AND(N$4&gt;=Teams!$E$80,Teams!$E$49=1),Teams!$E$44*Params!$F$10*Teams!$E$45*Teams!$E$75+Teams!$E$44*Params!$F$10*Teams!$E$47*Teams!$E$76/1000000+Teams!$E$77+Teams!$E$50*Teams!$E$78+N66*Teams!$E$51*Teams!$E$79/1000000,0)</f>
        <v>0</v>
      </c>
      <c r="O72" s="44">
        <f>O$5*IF(AND(O$4&gt;=Teams!$E$80,Teams!$E$49=1),Teams!$E$44*Params!$F$10*Teams!$E$45*Teams!$E$75+Teams!$E$44*Params!$F$10*Teams!$E$47*Teams!$E$76/1000000+Teams!$E$77+Teams!$E$50*Teams!$E$78+O66*Teams!$E$51*Teams!$E$79/1000000,0)</f>
        <v>0</v>
      </c>
      <c r="P72" s="44">
        <f>P$5*IF(AND(P$4&gt;=Teams!$E$80,Teams!$E$49=1),Teams!$E$44*Params!$F$10*Teams!$E$45*Teams!$E$75+Teams!$E$44*Params!$F$10*Teams!$E$47*Teams!$E$76/1000000+Teams!$E$77+Teams!$E$50*Teams!$E$78+P66*Teams!$E$51*Teams!$E$79/1000000,0)</f>
        <v>0</v>
      </c>
      <c r="Q72" s="44">
        <f>Q$5*IF(AND(Q$4&gt;=Teams!$E$80,Teams!$E$49=1),Teams!$E$44*Params!$F$10*Teams!$E$45*Teams!$E$75+Teams!$E$44*Params!$F$10*Teams!$E$47*Teams!$E$76/1000000+Teams!$E$77+Teams!$E$50*Teams!$E$78+Q66*Teams!$E$51*Teams!$E$79/1000000,0)</f>
        <v>0</v>
      </c>
      <c r="R72" s="44">
        <f>R$5*IF(AND(R$4&gt;=Teams!$E$80,Teams!$E$49=1),Teams!$E$44*Params!$F$10*Teams!$E$45*Teams!$E$75+Teams!$E$44*Params!$F$10*Teams!$E$47*Teams!$E$76/1000000+Teams!$E$77+Teams!$E$50*Teams!$E$78+R66*Teams!$E$51*Teams!$E$79/1000000,0)</f>
        <v>0</v>
      </c>
      <c r="S72" s="44">
        <f>S$5*IF(AND(S$4&gt;=Teams!$E$80,Teams!$E$49=1),Teams!$E$44*Params!$F$10*Teams!$E$45*Teams!$E$75+Teams!$E$44*Params!$F$10*Teams!$E$47*Teams!$E$76/1000000+Teams!$E$77+Teams!$E$50*Teams!$E$78+S66*Teams!$E$51*Teams!$E$79/1000000,0)</f>
        <v>0</v>
      </c>
      <c r="T72" s="44">
        <f>T$5*IF(AND(T$4&gt;=Teams!$E$80,Teams!$E$49=1),Teams!$E$44*Params!$F$10*Teams!$E$45*Teams!$E$75+Teams!$E$44*Params!$F$10*Teams!$E$47*Teams!$E$76/1000000+Teams!$E$77+Teams!$E$50*Teams!$E$78+T66*Teams!$E$51*Teams!$E$79/1000000,0)</f>
        <v>0</v>
      </c>
      <c r="U72" s="44">
        <f>U$5*IF(AND(U$4&gt;=Teams!$E$80,Teams!$E$49=1),Teams!$E$44*Params!$F$10*Teams!$E$45*Teams!$E$75+Teams!$E$44*Params!$F$10*Teams!$E$47*Teams!$E$76/1000000+Teams!$E$77+Teams!$E$50*Teams!$E$78+U66*Teams!$E$51*Teams!$E$79/1000000,0)</f>
        <v>0</v>
      </c>
      <c r="V72" s="44">
        <f>V$5*IF(AND(V$4&gt;=Teams!$E$80,Teams!$E$49=1),Teams!$E$44*Params!$F$10*Teams!$E$45*Teams!$E$75+Teams!$E$44*Params!$F$10*Teams!$E$47*Teams!$E$76/1000000+Teams!$E$77+Teams!$E$50*Teams!$E$78+V66*Teams!$E$51*Teams!$E$79/1000000,0)</f>
        <v>0</v>
      </c>
      <c r="W72" s="44">
        <f>W$5*IF(AND(W$4&gt;=Teams!$E$80,Teams!$E$49=1),Teams!$E$44*Params!$F$10*Teams!$E$45*Teams!$E$75+Teams!$E$44*Params!$F$10*Teams!$E$47*Teams!$E$76/1000000+Teams!$E$77+Teams!$E$50*Teams!$E$78+W66*Teams!$E$51*Teams!$E$79/1000000,0)</f>
        <v>0</v>
      </c>
      <c r="X72" s="44">
        <f>X$5*IF(AND(X$4&gt;=Teams!$E$80,Teams!$E$49=1),Teams!$E$44*Params!$F$10*Teams!$E$45*Teams!$E$75+Teams!$E$44*Params!$F$10*Teams!$E$47*Teams!$E$76/1000000+Teams!$E$77+Teams!$E$50*Teams!$E$78+X66*Teams!$E$51*Teams!$E$79/1000000,0)</f>
        <v>0</v>
      </c>
      <c r="Y72" s="44">
        <f>Y$5*IF(AND(Y$4&gt;=Teams!$E$80,Teams!$E$49=1),Teams!$E$44*Params!$F$10*Teams!$E$45*Teams!$E$75+Teams!$E$44*Params!$F$10*Teams!$E$47*Teams!$E$76/1000000+Teams!$E$77+Teams!$E$50*Teams!$E$78+Y66*Teams!$E$51*Teams!$E$79/1000000,0)</f>
        <v>0</v>
      </c>
      <c r="Z72" s="44">
        <f>Z$5*IF(AND(Z$4&gt;=Teams!$E$80,Teams!$E$49=1),Teams!$E$44*Params!$F$10*Teams!$E$45*Teams!$E$75+Teams!$E$44*Params!$F$10*Teams!$E$47*Teams!$E$76/1000000+Teams!$E$77+Teams!$E$50*Teams!$E$78+Z66*Teams!$E$51*Teams!$E$79/1000000,0)</f>
        <v>0</v>
      </c>
      <c r="AA72" s="44">
        <f>AA$5*IF(AND(AA$4&gt;=Teams!$E$80,Teams!$E$49=1),Teams!$E$44*Params!$F$10*Teams!$E$45*Teams!$E$75+Teams!$E$44*Params!$F$10*Teams!$E$47*Teams!$E$76/1000000+Teams!$E$77+Teams!$E$50*Teams!$E$78+AA66*Teams!$E$51*Teams!$E$79/1000000,0)</f>
        <v>0</v>
      </c>
      <c r="AB72" s="44">
        <f>AB$5*IF(AND(AB$4&gt;=Teams!$E$80,Teams!$E$49=1),Teams!$E$44*Params!$F$10*Teams!$E$45*Teams!$E$75+Teams!$E$44*Params!$F$10*Teams!$E$47*Teams!$E$76/1000000+Teams!$E$77+Teams!$E$50*Teams!$E$78+AB66*Teams!$E$51*Teams!$E$79/1000000,0)</f>
        <v>0</v>
      </c>
      <c r="AC72" s="44">
        <f>AC$5*IF(AND(AC$4&gt;=Teams!$E$80,Teams!$E$49=1),Teams!$E$44*Params!$F$10*Teams!$E$45*Teams!$E$75+Teams!$E$44*Params!$F$10*Teams!$E$47*Teams!$E$76/1000000+Teams!$E$77+Teams!$E$50*Teams!$E$78+AC66*Teams!$E$51*Teams!$E$79/1000000,0)</f>
        <v>0</v>
      </c>
      <c r="AD72" s="44">
        <f>AD$5*IF(AND(AD$4&gt;=Teams!$E$80,Teams!$E$49=1),Teams!$E$44*Params!$F$10*Teams!$E$45*Teams!$E$75+Teams!$E$44*Params!$F$10*Teams!$E$47*Teams!$E$76/1000000+Teams!$E$77+Teams!$E$50*Teams!$E$78+AD66*Teams!$E$51*Teams!$E$79/1000000,0)</f>
        <v>0</v>
      </c>
      <c r="AE72" s="44">
        <f>AE$5*IF(AND(AE$4&gt;=Teams!$E$80,Teams!$E$49=1),Teams!$E$44*Params!$F$10*Teams!$E$45*Teams!$E$75+Teams!$E$44*Params!$F$10*Teams!$E$47*Teams!$E$76/1000000+Teams!$E$77+Teams!$E$50*Teams!$E$78+AE66*Teams!$E$51*Teams!$E$79/1000000,0)</f>
        <v>0</v>
      </c>
      <c r="AF72" s="44">
        <f>AF$5*IF(AND(AF$4&gt;=Teams!$E$80,Teams!$E$49=1),Teams!$E$44*Params!$F$10*Teams!$E$45*Teams!$E$75+Teams!$E$44*Params!$F$10*Teams!$E$47*Teams!$E$76/1000000+Teams!$E$77+Teams!$E$50*Teams!$E$78+AF66*Teams!$E$51*Teams!$E$79/1000000,0)</f>
        <v>0</v>
      </c>
      <c r="AG72" s="44">
        <f>AG$5*IF(AND(AG$4&gt;=Teams!$E$80,Teams!$E$49=1),Teams!$E$44*Params!$F$10*Teams!$E$45*Teams!$E$75+Teams!$E$44*Params!$F$10*Teams!$E$47*Teams!$E$76/1000000+Teams!$E$77+Teams!$E$50*Teams!$E$78+AG66*Teams!$E$51*Teams!$E$79/1000000,0)</f>
        <v>0</v>
      </c>
      <c r="AH72" s="44">
        <f>AH$5*IF(AND(AH$4&gt;=Teams!$E$80,Teams!$E$49=1),Teams!$E$44*Params!$F$10*Teams!$E$45*Teams!$E$75+Teams!$E$44*Params!$F$10*Teams!$E$47*Teams!$E$76/1000000+Teams!$E$77+Teams!$E$50*Teams!$E$78+AH66*Teams!$E$51*Teams!$E$79/1000000,0)</f>
        <v>0</v>
      </c>
      <c r="AI72" s="44">
        <f>AI$5*IF(AND(AI$4&gt;=Teams!$E$80,Teams!$E$49=1),Teams!$E$44*Params!$F$10*Teams!$E$45*Teams!$E$75+Teams!$E$44*Params!$F$10*Teams!$E$47*Teams!$E$76/1000000+Teams!$E$77+Teams!$E$50*Teams!$E$78+AI66*Teams!$E$51*Teams!$E$79/1000000,0)</f>
        <v>0</v>
      </c>
      <c r="AJ72" s="44">
        <f>AJ$5*IF(AND(AJ$4&gt;=Teams!$E$80,Teams!$E$49=1),Teams!$E$44*Params!$F$10*Teams!$E$45*Teams!$E$75+Teams!$E$44*Params!$F$10*Teams!$E$47*Teams!$E$76/1000000+Teams!$E$77+Teams!$E$50*Teams!$E$78+AJ66*Teams!$E$51*Teams!$E$79/1000000,0)</f>
        <v>0</v>
      </c>
      <c r="AK72" s="44">
        <f>AK$5*IF(AND(AK$4&gt;=Teams!$E$80,Teams!$E$49=1),Teams!$E$44*Params!$F$10*Teams!$E$45*Teams!$E$75+Teams!$E$44*Params!$F$10*Teams!$E$47*Teams!$E$76/1000000+Teams!$E$77+Teams!$E$50*Teams!$E$78+AK66*Teams!$E$51*Teams!$E$79/1000000,0)</f>
        <v>0</v>
      </c>
      <c r="AL72" s="44">
        <f>AL$5*IF(AND(AL$4&gt;=Teams!$E$80,Teams!$E$49=1),Teams!$E$44*Params!$F$10*Teams!$E$45*Teams!$E$75+Teams!$E$44*Params!$F$10*Teams!$E$47*Teams!$E$76/1000000+Teams!$E$77+Teams!$E$50*Teams!$E$78+AL66*Teams!$E$51*Teams!$E$79/1000000,0)</f>
        <v>0</v>
      </c>
      <c r="AM72" s="44">
        <f>AM$5*IF(AND(AM$4&gt;=Teams!$E$80,Teams!$E$49=1),Teams!$E$44*Params!$F$10*Teams!$E$45*Teams!$E$75+Teams!$E$44*Params!$F$10*Teams!$E$47*Teams!$E$76/1000000+Teams!$E$77+Teams!$E$50*Teams!$E$78+AM66*Teams!$E$51*Teams!$E$79/1000000,0)</f>
        <v>0</v>
      </c>
      <c r="AN72" s="44">
        <f>AN$5*IF(AND(AN$4&gt;=Teams!$E$80,Teams!$E$49=1),Teams!$E$44*Params!$F$10*Teams!$E$45*Teams!$E$75+Teams!$E$44*Params!$F$10*Teams!$E$47*Teams!$E$76/1000000+Teams!$E$77+Teams!$E$50*Teams!$E$78+AN66*Teams!$E$51*Teams!$E$79/1000000,0)</f>
        <v>0</v>
      </c>
      <c r="AO72" s="44">
        <f>AO$5*IF(AND(AO$4&gt;=Teams!$E$80,Teams!$E$49=1),Teams!$E$44*Params!$F$10*Teams!$E$45*Teams!$E$75+Teams!$E$44*Params!$F$10*Teams!$E$47*Teams!$E$76/1000000+Teams!$E$77+Teams!$E$50*Teams!$E$78+AO66*Teams!$E$51*Teams!$E$79/1000000,0)</f>
        <v>0</v>
      </c>
      <c r="AP72" s="44">
        <f>AP$5*IF(AND(AP$4&gt;=Teams!$E$80,Teams!$E$49=1),Teams!$E$44*Params!$F$10*Teams!$E$45*Teams!$E$75+Teams!$E$44*Params!$F$10*Teams!$E$47*Teams!$E$76/1000000+Teams!$E$77+Teams!$E$50*Teams!$E$78+AP66*Teams!$E$51*Teams!$E$79/1000000,0)</f>
        <v>0</v>
      </c>
      <c r="AQ72" s="44">
        <f>AQ$5*IF(AND(AQ$4&gt;=Teams!$E$80,Teams!$E$49=1),Teams!$E$44*Params!$F$10*Teams!$E$45*Teams!$E$75+Teams!$E$44*Params!$F$10*Teams!$E$47*Teams!$E$76/1000000+Teams!$E$77+Teams!$E$50*Teams!$E$78+AQ66*Teams!$E$51*Teams!$E$79/1000000,0)</f>
        <v>0</v>
      </c>
      <c r="AR72" s="44">
        <f>AR$5*IF(AND(AR$4&gt;=Teams!$E$80,Teams!$E$49=1),Teams!$E$44*Params!$F$10*Teams!$E$45*Teams!$E$75+Teams!$E$44*Params!$F$10*Teams!$E$47*Teams!$E$76/1000000+Teams!$E$77+Teams!$E$50*Teams!$E$78+AR66*Teams!$E$51*Teams!$E$79/1000000,0)</f>
        <v>0</v>
      </c>
      <c r="AS72" s="44">
        <f>AS$5*IF(AND(AS$4&gt;=Teams!$E$80,Teams!$E$49=1),Teams!$E$44*Params!$F$10*Teams!$E$45*Teams!$E$75+Teams!$E$44*Params!$F$10*Teams!$E$47*Teams!$E$76/1000000+Teams!$E$77+Teams!$E$50*Teams!$E$78+AS66*Teams!$E$51*Teams!$E$79/1000000,0)</f>
        <v>0</v>
      </c>
      <c r="AT72" s="44">
        <f>AT$5*IF(AND(AT$4&gt;=Teams!$E$80,Teams!$E$49=1),Teams!$E$44*Params!$F$10*Teams!$E$45*Teams!$E$75+Teams!$E$44*Params!$F$10*Teams!$E$47*Teams!$E$76/1000000+Teams!$E$77+Teams!$E$50*Teams!$E$78+AT66*Teams!$E$51*Teams!$E$79/1000000,0)</f>
        <v>0</v>
      </c>
      <c r="AU72" s="44">
        <f>AU$5*IF(AND(AU$4&gt;=Teams!$E$80,Teams!$E$49=1),Teams!$E$44*Params!$F$10*Teams!$E$45*Teams!$E$75+Teams!$E$44*Params!$F$10*Teams!$E$47*Teams!$E$76/1000000+Teams!$E$77+Teams!$E$50*Teams!$E$78+AU66*Teams!$E$51*Teams!$E$79/1000000,0)</f>
        <v>0</v>
      </c>
      <c r="AV72" s="44">
        <f>AV$5*IF(AND(AV$4&gt;=Teams!$E$80,Teams!$E$49=1),Teams!$E$44*Params!$F$10*Teams!$E$45*Teams!$E$75+Teams!$E$44*Params!$F$10*Teams!$E$47*Teams!$E$76/1000000+Teams!$E$77+Teams!$E$50*Teams!$E$78+AV66*Teams!$E$51*Teams!$E$79/1000000,0)</f>
        <v>0</v>
      </c>
      <c r="AW72" s="44">
        <f>AW$5*IF(AND(AW$4&gt;=Teams!$E$80,Teams!$E$49=1),Teams!$E$44*Params!$F$10*Teams!$E$45*Teams!$E$75+Teams!$E$44*Params!$F$10*Teams!$E$47*Teams!$E$76/1000000+Teams!$E$77+Teams!$E$50*Teams!$E$78+AW66*Teams!$E$51*Teams!$E$79/1000000,0)</f>
        <v>0</v>
      </c>
      <c r="AX72" s="44">
        <f>AX$5*IF(AND(AX$4&gt;=Teams!$E$80,Teams!$E$49=1),Teams!$E$44*Params!$F$10*Teams!$E$45*Teams!$E$75+Teams!$E$44*Params!$F$10*Teams!$E$47*Teams!$E$76/1000000+Teams!$E$77+Teams!$E$50*Teams!$E$78+AX66*Teams!$E$51*Teams!$E$79/1000000,0)</f>
        <v>0</v>
      </c>
      <c r="AY72" s="44">
        <f>AY$5*IF(AND(AY$4&gt;=Teams!$E$80,Teams!$E$49=1),Teams!$E$44*Params!$F$10*Teams!$E$45*Teams!$E$75+Teams!$E$44*Params!$F$10*Teams!$E$47*Teams!$E$76/1000000+Teams!$E$77+Teams!$E$50*Teams!$E$78+AY66*Teams!$E$51*Teams!$E$79/1000000,0)</f>
        <v>0</v>
      </c>
      <c r="AZ72" s="44">
        <f>AZ$5*IF(AND(AZ$4&gt;=Teams!$E$80,Teams!$E$49=1),Teams!$E$44*Params!$F$10*Teams!$E$45*Teams!$E$75+Teams!$E$44*Params!$F$10*Teams!$E$47*Teams!$E$76/1000000+Teams!$E$77+Teams!$E$50*Teams!$E$78+AZ66*Teams!$E$51*Teams!$E$79/1000000,0)</f>
        <v>0</v>
      </c>
      <c r="BA72" s="44">
        <f>BA$5*IF(AND(BA$4&gt;=Teams!$E$80,Teams!$E$49=1),Teams!$E$44*Params!$F$10*Teams!$E$45*Teams!$E$75+Teams!$E$44*Params!$F$10*Teams!$E$47*Teams!$E$76/1000000+Teams!$E$77+Teams!$E$50*Teams!$E$78+BA66*Teams!$E$51*Teams!$E$79/1000000,0)</f>
        <v>0</v>
      </c>
      <c r="BB72" s="44">
        <f>BB$5*IF(AND(BB$4&gt;=Teams!$E$80,Teams!$E$49=1),Teams!$E$44*Params!$F$10*Teams!$E$45*Teams!$E$75+Teams!$E$44*Params!$F$10*Teams!$E$47*Teams!$E$76/1000000+Teams!$E$77+Teams!$E$50*Teams!$E$78+BB66*Teams!$E$51*Teams!$E$79/1000000,0)</f>
        <v>0</v>
      </c>
      <c r="BC72" s="44">
        <f>BC$5*IF(AND(BC$4&gt;=Teams!$E$80,Teams!$E$49=1),Teams!$E$44*Params!$F$10*Teams!$E$45*Teams!$E$75+Teams!$E$44*Params!$F$10*Teams!$E$47*Teams!$E$76/1000000+Teams!$E$77+Teams!$E$50*Teams!$E$78+BC66*Teams!$E$51*Teams!$E$79/1000000,0)</f>
        <v>0</v>
      </c>
      <c r="BD72" s="44">
        <f>BD$5*IF(AND(BD$4&gt;=Teams!$E$80,Teams!$E$49=1),Teams!$E$44*Params!$F$10*Teams!$E$45*Teams!$E$75+Teams!$E$44*Params!$F$10*Teams!$E$47*Teams!$E$76/1000000+Teams!$E$77+Teams!$E$50*Teams!$E$78+BD66*Teams!$E$51*Teams!$E$79/1000000,0)</f>
        <v>0</v>
      </c>
      <c r="BE72" s="44">
        <f>BE$5*IF(AND(BE$4&gt;=Teams!$E$80,Teams!$E$49=1),Teams!$E$44*Params!$F$10*Teams!$E$45*Teams!$E$75+Teams!$E$44*Params!$F$10*Teams!$E$47*Teams!$E$76/1000000+Teams!$E$77+Teams!$E$50*Teams!$E$78+BE66*Teams!$E$51*Teams!$E$79/1000000,0)</f>
        <v>0</v>
      </c>
      <c r="BF72" s="44">
        <f>BF$5*IF(AND(BF$4&gt;=Teams!$E$80,Teams!$E$49=1),Teams!$E$44*Params!$F$10*Teams!$E$45*Teams!$E$75+Teams!$E$44*Params!$F$10*Teams!$E$47*Teams!$E$76/1000000+Teams!$E$77+Teams!$E$50*Teams!$E$78+BF66*Teams!$E$51*Teams!$E$79/1000000,0)</f>
        <v>0</v>
      </c>
      <c r="BG72" s="44">
        <f>BG$5*IF(AND(BG$4&gt;=Teams!$E$80,Teams!$E$49=1),Teams!$E$44*Params!$F$10*Teams!$E$45*Teams!$E$75+Teams!$E$44*Params!$F$10*Teams!$E$47*Teams!$E$76/1000000+Teams!$E$77+Teams!$E$50*Teams!$E$78+BG66*Teams!$E$51*Teams!$E$79/1000000,0)</f>
        <v>0</v>
      </c>
      <c r="BH72" s="44">
        <f>BH$5*IF(AND(BH$4&gt;=Teams!$E$80,Teams!$E$49=1),Teams!$E$44*Params!$F$10*Teams!$E$45*Teams!$E$75+Teams!$E$44*Params!$F$10*Teams!$E$47*Teams!$E$76/1000000+Teams!$E$77+Teams!$E$50*Teams!$E$78+BH66*Teams!$E$51*Teams!$E$79/1000000,0)</f>
        <v>0</v>
      </c>
      <c r="BI72" s="44">
        <f>BI$5*IF(AND(BI$4&gt;=Teams!$E$80,Teams!$E$49=1),Teams!$E$44*Params!$F$10*Teams!$E$45*Teams!$E$75+Teams!$E$44*Params!$F$10*Teams!$E$47*Teams!$E$76/1000000+Teams!$E$77+Teams!$E$50*Teams!$E$78+BI66*Teams!$E$51*Teams!$E$79/1000000,0)</f>
        <v>0</v>
      </c>
      <c r="BJ72" s="44">
        <f>BJ$5*IF(AND(BJ$4&gt;=Teams!$E$80,Teams!$E$49=1),Teams!$E$44*Params!$F$10*Teams!$E$45*Teams!$E$75+Teams!$E$44*Params!$F$10*Teams!$E$47*Teams!$E$76/1000000+Teams!$E$77+Teams!$E$50*Teams!$E$78+BJ66*Teams!$E$51*Teams!$E$79/1000000,0)</f>
        <v>0</v>
      </c>
      <c r="BK72" s="44">
        <f>BK$5*IF(AND(BK$4&gt;=Teams!$E$80,Teams!$E$49=1),Teams!$E$44*Params!$F$10*Teams!$E$45*Teams!$E$75+Teams!$E$44*Params!$F$10*Teams!$E$47*Teams!$E$76/1000000+Teams!$E$77+Teams!$E$50*Teams!$E$78+BK66*Teams!$E$51*Teams!$E$79/1000000,0)</f>
        <v>0</v>
      </c>
      <c r="BL72" s="44">
        <f>BL$5*IF(AND(BL$4&gt;=Teams!$E$80,Teams!$E$49=1),Teams!$E$44*Params!$F$10*Teams!$E$45*Teams!$E$75+Teams!$E$44*Params!$F$10*Teams!$E$47*Teams!$E$76/1000000+Teams!$E$77+Teams!$E$50*Teams!$E$78+BL66*Teams!$E$51*Teams!$E$79/1000000,0)</f>
        <v>0</v>
      </c>
    </row>
    <row r="73" spans="1:64" x14ac:dyDescent="0.3">
      <c r="A73" s="8" t="s">
        <v>671</v>
      </c>
      <c r="B73" s="18" t="s">
        <v>169</v>
      </c>
      <c r="C73" s="44">
        <f t="shared" si="20"/>
        <v>43750</v>
      </c>
      <c r="E73" s="44">
        <f>E$5*IF(E$4&gt;=Teams!$E$80,Teams!$E$43*Params!$F$6*Org!$B$10*Params!$F$7/12,0)</f>
        <v>0</v>
      </c>
      <c r="F73" s="44">
        <f>F$5*IF(F$4&gt;=Teams!$E$80,Teams!$E$43*Params!$F$6*Org!$B$10*Params!$F$7/12,0)</f>
        <v>1250</v>
      </c>
      <c r="G73" s="44">
        <f>G$5*IF(G$4&gt;=Teams!$E$80,Teams!$E$43*Params!$F$6*Org!$B$10*Params!$F$7/12,0)</f>
        <v>1250</v>
      </c>
      <c r="H73" s="44">
        <f>H$5*IF(H$4&gt;=Teams!$E$80,Teams!$E$43*Params!$F$6*Org!$B$10*Params!$F$7/12,0)</f>
        <v>1250</v>
      </c>
      <c r="I73" s="44">
        <f>I$5*IF(I$4&gt;=Teams!$E$80,Teams!$E$43*Params!$F$6*Org!$B$10*Params!$F$7/12,0)</f>
        <v>1250</v>
      </c>
      <c r="J73" s="44">
        <f>J$5*IF(J$4&gt;=Teams!$E$80,Teams!$E$43*Params!$F$6*Org!$B$10*Params!$F$7/12,0)</f>
        <v>1250</v>
      </c>
      <c r="K73" s="44">
        <f>K$5*IF(K$4&gt;=Teams!$E$80,Teams!$E$43*Params!$F$6*Org!$B$10*Params!$F$7/12,0)</f>
        <v>1250</v>
      </c>
      <c r="L73" s="44">
        <f>L$5*IF(L$4&gt;=Teams!$E$80,Teams!$E$43*Params!$F$6*Org!$B$10*Params!$F$7/12,0)</f>
        <v>1250</v>
      </c>
      <c r="M73" s="44">
        <f>M$5*IF(M$4&gt;=Teams!$E$80,Teams!$E$43*Params!$F$6*Org!$B$10*Params!$F$7/12,0)</f>
        <v>1250</v>
      </c>
      <c r="N73" s="44">
        <f>N$5*IF(N$4&gt;=Teams!$E$80,Teams!$E$43*Params!$F$6*Org!$B$10*Params!$F$7/12,0)</f>
        <v>1250</v>
      </c>
      <c r="O73" s="44">
        <f>O$5*IF(O$4&gt;=Teams!$E$80,Teams!$E$43*Params!$F$6*Org!$B$10*Params!$F$7/12,0)</f>
        <v>1250</v>
      </c>
      <c r="P73" s="44">
        <f>P$5*IF(P$4&gt;=Teams!$E$80,Teams!$E$43*Params!$F$6*Org!$B$10*Params!$F$7/12,0)</f>
        <v>1250</v>
      </c>
      <c r="Q73" s="44">
        <f>Q$5*IF(Q$4&gt;=Teams!$E$80,Teams!$E$43*Params!$F$6*Org!$B$10*Params!$F$7/12,0)</f>
        <v>1250</v>
      </c>
      <c r="R73" s="44">
        <f>R$5*IF(R$4&gt;=Teams!$E$80,Teams!$E$43*Params!$F$6*Org!$B$10*Params!$F$7/12,0)</f>
        <v>1250</v>
      </c>
      <c r="S73" s="44">
        <f>S$5*IF(S$4&gt;=Teams!$E$80,Teams!$E$43*Params!$F$6*Org!$B$10*Params!$F$7/12,0)</f>
        <v>1250</v>
      </c>
      <c r="T73" s="44">
        <f>T$5*IF(T$4&gt;=Teams!$E$80,Teams!$E$43*Params!$F$6*Org!$B$10*Params!$F$7/12,0)</f>
        <v>1250</v>
      </c>
      <c r="U73" s="44">
        <f>U$5*IF(U$4&gt;=Teams!$E$80,Teams!$E$43*Params!$F$6*Org!$B$10*Params!$F$7/12,0)</f>
        <v>1250</v>
      </c>
      <c r="V73" s="44">
        <f>V$5*IF(V$4&gt;=Teams!$E$80,Teams!$E$43*Params!$F$6*Org!$B$10*Params!$F$7/12,0)</f>
        <v>1250</v>
      </c>
      <c r="W73" s="44">
        <f>W$5*IF(W$4&gt;=Teams!$E$80,Teams!$E$43*Params!$F$6*Org!$B$10*Params!$F$7/12,0)</f>
        <v>1250</v>
      </c>
      <c r="X73" s="44">
        <f>X$5*IF(X$4&gt;=Teams!$E$80,Teams!$E$43*Params!$F$6*Org!$B$10*Params!$F$7/12,0)</f>
        <v>1250</v>
      </c>
      <c r="Y73" s="44">
        <f>Y$5*IF(Y$4&gt;=Teams!$E$80,Teams!$E$43*Params!$F$6*Org!$B$10*Params!$F$7/12,0)</f>
        <v>1250</v>
      </c>
      <c r="Z73" s="44">
        <f>Z$5*IF(Z$4&gt;=Teams!$E$80,Teams!$E$43*Params!$F$6*Org!$B$10*Params!$F$7/12,0)</f>
        <v>1250</v>
      </c>
      <c r="AA73" s="44">
        <f>AA$5*IF(AA$4&gt;=Teams!$E$80,Teams!$E$43*Params!$F$6*Org!$B$10*Params!$F$7/12,0)</f>
        <v>1250</v>
      </c>
      <c r="AB73" s="44">
        <f>AB$5*IF(AB$4&gt;=Teams!$E$80,Teams!$E$43*Params!$F$6*Org!$B$10*Params!$F$7/12,0)</f>
        <v>1250</v>
      </c>
      <c r="AC73" s="44">
        <f>AC$5*IF(AC$4&gt;=Teams!$E$80,Teams!$E$43*Params!$F$6*Org!$B$10*Params!$F$7/12,0)</f>
        <v>1250</v>
      </c>
      <c r="AD73" s="44">
        <f>AD$5*IF(AD$4&gt;=Teams!$E$80,Teams!$E$43*Params!$F$6*Org!$B$10*Params!$F$7/12,0)</f>
        <v>1250</v>
      </c>
      <c r="AE73" s="44">
        <f>AE$5*IF(AE$4&gt;=Teams!$E$80,Teams!$E$43*Params!$F$6*Org!$B$10*Params!$F$7/12,0)</f>
        <v>1250</v>
      </c>
      <c r="AF73" s="44">
        <f>AF$5*IF(AF$4&gt;=Teams!$E$80,Teams!$E$43*Params!$F$6*Org!$B$10*Params!$F$7/12,0)</f>
        <v>1250</v>
      </c>
      <c r="AG73" s="44">
        <f>AG$5*IF(AG$4&gt;=Teams!$E$80,Teams!$E$43*Params!$F$6*Org!$B$10*Params!$F$7/12,0)</f>
        <v>1250</v>
      </c>
      <c r="AH73" s="44">
        <f>AH$5*IF(AH$4&gt;=Teams!$E$80,Teams!$E$43*Params!$F$6*Org!$B$10*Params!$F$7/12,0)</f>
        <v>1250</v>
      </c>
      <c r="AI73" s="44">
        <f>AI$5*IF(AI$4&gt;=Teams!$E$80,Teams!$E$43*Params!$F$6*Org!$B$10*Params!$F$7/12,0)</f>
        <v>1250</v>
      </c>
      <c r="AJ73" s="44">
        <f>AJ$5*IF(AJ$4&gt;=Teams!$E$80,Teams!$E$43*Params!$F$6*Org!$B$10*Params!$F$7/12,0)</f>
        <v>1250</v>
      </c>
      <c r="AK73" s="44">
        <f>AK$5*IF(AK$4&gt;=Teams!$E$80,Teams!$E$43*Params!$F$6*Org!$B$10*Params!$F$7/12,0)</f>
        <v>1250</v>
      </c>
      <c r="AL73" s="44">
        <f>AL$5*IF(AL$4&gt;=Teams!$E$80,Teams!$E$43*Params!$F$6*Org!$B$10*Params!$F$7/12,0)</f>
        <v>1250</v>
      </c>
      <c r="AM73" s="44">
        <f>AM$5*IF(AM$4&gt;=Teams!$E$80,Teams!$E$43*Params!$F$6*Org!$B$10*Params!$F$7/12,0)</f>
        <v>1250</v>
      </c>
      <c r="AN73" s="44">
        <f>AN$5*IF(AN$4&gt;=Teams!$E$80,Teams!$E$43*Params!$F$6*Org!$B$10*Params!$F$7/12,0)</f>
        <v>1250</v>
      </c>
      <c r="AO73" s="44">
        <f>AO$5*IF(AO$4&gt;=Teams!$E$80,Teams!$E$43*Params!$F$6*Org!$B$10*Params!$F$7/12,0)</f>
        <v>0</v>
      </c>
      <c r="AP73" s="44">
        <f>AP$5*IF(AP$4&gt;=Teams!$E$80,Teams!$E$43*Params!$F$6*Org!$B$10*Params!$F$7/12,0)</f>
        <v>0</v>
      </c>
      <c r="AQ73" s="44">
        <f>AQ$5*IF(AQ$4&gt;=Teams!$E$80,Teams!$E$43*Params!$F$6*Org!$B$10*Params!$F$7/12,0)</f>
        <v>0</v>
      </c>
      <c r="AR73" s="44">
        <f>AR$5*IF(AR$4&gt;=Teams!$E$80,Teams!$E$43*Params!$F$6*Org!$B$10*Params!$F$7/12,0)</f>
        <v>0</v>
      </c>
      <c r="AS73" s="44">
        <f>AS$5*IF(AS$4&gt;=Teams!$E$80,Teams!$E$43*Params!$F$6*Org!$B$10*Params!$F$7/12,0)</f>
        <v>0</v>
      </c>
      <c r="AT73" s="44">
        <f>AT$5*IF(AT$4&gt;=Teams!$E$80,Teams!$E$43*Params!$F$6*Org!$B$10*Params!$F$7/12,0)</f>
        <v>0</v>
      </c>
      <c r="AU73" s="44">
        <f>AU$5*IF(AU$4&gt;=Teams!$E$80,Teams!$E$43*Params!$F$6*Org!$B$10*Params!$F$7/12,0)</f>
        <v>0</v>
      </c>
      <c r="AV73" s="44">
        <f>AV$5*IF(AV$4&gt;=Teams!$E$80,Teams!$E$43*Params!$F$6*Org!$B$10*Params!$F$7/12,0)</f>
        <v>0</v>
      </c>
      <c r="AW73" s="44">
        <f>AW$5*IF(AW$4&gt;=Teams!$E$80,Teams!$E$43*Params!$F$6*Org!$B$10*Params!$F$7/12,0)</f>
        <v>0</v>
      </c>
      <c r="AX73" s="44">
        <f>AX$5*IF(AX$4&gt;=Teams!$E$80,Teams!$E$43*Params!$F$6*Org!$B$10*Params!$F$7/12,0)</f>
        <v>0</v>
      </c>
      <c r="AY73" s="44">
        <f>AY$5*IF(AY$4&gt;=Teams!$E$80,Teams!$E$43*Params!$F$6*Org!$B$10*Params!$F$7/12,0)</f>
        <v>0</v>
      </c>
      <c r="AZ73" s="44">
        <f>AZ$5*IF(AZ$4&gt;=Teams!$E$80,Teams!$E$43*Params!$F$6*Org!$B$10*Params!$F$7/12,0)</f>
        <v>0</v>
      </c>
      <c r="BA73" s="44">
        <f>BA$5*IF(BA$4&gt;=Teams!$E$80,Teams!$E$43*Params!$F$6*Org!$B$10*Params!$F$7/12,0)</f>
        <v>0</v>
      </c>
      <c r="BB73" s="44">
        <f>BB$5*IF(BB$4&gt;=Teams!$E$80,Teams!$E$43*Params!$F$6*Org!$B$10*Params!$F$7/12,0)</f>
        <v>0</v>
      </c>
      <c r="BC73" s="44">
        <f>BC$5*IF(BC$4&gt;=Teams!$E$80,Teams!$E$43*Params!$F$6*Org!$B$10*Params!$F$7/12,0)</f>
        <v>0</v>
      </c>
      <c r="BD73" s="44">
        <f>BD$5*IF(BD$4&gt;=Teams!$E$80,Teams!$E$43*Params!$F$6*Org!$B$10*Params!$F$7/12,0)</f>
        <v>0</v>
      </c>
      <c r="BE73" s="44">
        <f>BE$5*IF(BE$4&gt;=Teams!$E$80,Teams!$E$43*Params!$F$6*Org!$B$10*Params!$F$7/12,0)</f>
        <v>0</v>
      </c>
      <c r="BF73" s="44">
        <f>BF$5*IF(BF$4&gt;=Teams!$E$80,Teams!$E$43*Params!$F$6*Org!$B$10*Params!$F$7/12,0)</f>
        <v>0</v>
      </c>
      <c r="BG73" s="44">
        <f>BG$5*IF(BG$4&gt;=Teams!$E$80,Teams!$E$43*Params!$F$6*Org!$B$10*Params!$F$7/12,0)</f>
        <v>0</v>
      </c>
      <c r="BH73" s="44">
        <f>BH$5*IF(BH$4&gt;=Teams!$E$80,Teams!$E$43*Params!$F$6*Org!$B$10*Params!$F$7/12,0)</f>
        <v>0</v>
      </c>
      <c r="BI73" s="44">
        <f>BI$5*IF(BI$4&gt;=Teams!$E$80,Teams!$E$43*Params!$F$6*Org!$B$10*Params!$F$7/12,0)</f>
        <v>0</v>
      </c>
      <c r="BJ73" s="44">
        <f>BJ$5*IF(BJ$4&gt;=Teams!$E$80,Teams!$E$43*Params!$F$6*Org!$B$10*Params!$F$7/12,0)</f>
        <v>0</v>
      </c>
      <c r="BK73" s="44">
        <f>BK$5*IF(BK$4&gt;=Teams!$E$80,Teams!$E$43*Params!$F$6*Org!$B$10*Params!$F$7/12,0)</f>
        <v>0</v>
      </c>
      <c r="BL73" s="44">
        <f>BL$5*IF(BL$4&gt;=Teams!$E$80,Teams!$E$43*Params!$F$6*Org!$B$10*Params!$F$7/12,0)</f>
        <v>0</v>
      </c>
    </row>
    <row r="74" spans="1:64" x14ac:dyDescent="0.3">
      <c r="A74" s="8" t="s">
        <v>672</v>
      </c>
      <c r="B74" s="18" t="s">
        <v>169</v>
      </c>
      <c r="C74" s="44">
        <f t="shared" si="20"/>
        <v>1256556.6666666667</v>
      </c>
      <c r="E74" s="44">
        <f>E$5*IF(E$4&gt;=Teams!$E$80,Params!$F$23*Params!$F$24/60*(Org!$B$10/Org!$B$11)+Params!$F$27/12*Params!$F$13*Org!$B$10+E65/1000*Params!$F$28*Params!$F$29*(Org!$B$10/Org!$B$11),0)</f>
        <v>0</v>
      </c>
      <c r="F74" s="44">
        <f>F$5*IF(F$4&gt;=Teams!$E$80,Params!$F$23*Params!$F$24/60*(Org!$B$10/Org!$B$11)+Params!$F$27/12*Params!$F$13*Org!$B$10+F65/1000*Params!$F$28*Params!$F$29*(Org!$B$10/Org!$B$11),0)</f>
        <v>35378.666666666664</v>
      </c>
      <c r="G74" s="44">
        <f>G$5*IF(G$4&gt;=Teams!$E$80,Params!$F$23*Params!$F$24/60*(Org!$B$10/Org!$B$11)+Params!$F$27/12*Params!$F$13*Org!$B$10+G65/1000*Params!$F$28*Params!$F$29*(Org!$B$10/Org!$B$11),0)</f>
        <v>35491.999999999993</v>
      </c>
      <c r="H74" s="44">
        <f>H$5*IF(H$4&gt;=Teams!$E$80,Params!$F$23*Params!$F$24/60*(Org!$B$10/Org!$B$11)+Params!$F$27/12*Params!$F$13*Org!$B$10+H65/1000*Params!$F$28*Params!$F$29*(Org!$B$10/Org!$B$11),0)</f>
        <v>35639.333333333328</v>
      </c>
      <c r="I74" s="44">
        <f>I$5*IF(I$4&gt;=Teams!$E$80,Params!$F$23*Params!$F$24/60*(Org!$B$10/Org!$B$11)+Params!$F$27/12*Params!$F$13*Org!$B$10+I65/1000*Params!$F$28*Params!$F$29*(Org!$B$10/Org!$B$11),0)</f>
        <v>35786.666666666664</v>
      </c>
      <c r="J74" s="44">
        <f>J$5*IF(J$4&gt;=Teams!$E$80,Params!$F$23*Params!$F$24/60*(Org!$B$10/Org!$B$11)+Params!$F$27/12*Params!$F$13*Org!$B$10+J65/1000*Params!$F$28*Params!$F$29*(Org!$B$10/Org!$B$11),0)</f>
        <v>35899.999999999993</v>
      </c>
      <c r="K74" s="44">
        <f>K$5*IF(K$4&gt;=Teams!$E$80,Params!$F$23*Params!$F$24/60*(Org!$B$10/Org!$B$11)+Params!$F$27/12*Params!$F$13*Org!$B$10+K65/1000*Params!$F$28*Params!$F$29*(Org!$B$10/Org!$B$11),0)</f>
        <v>35945.333333333328</v>
      </c>
      <c r="L74" s="44">
        <f>L$5*IF(L$4&gt;=Teams!$E$80,Params!$F$23*Params!$F$24/60*(Org!$B$10/Org!$B$11)+Params!$F$27/12*Params!$F$13*Org!$B$10+L65/1000*Params!$F$28*Params!$F$29*(Org!$B$10/Org!$B$11),0)</f>
        <v>35945.333333333328</v>
      </c>
      <c r="M74" s="44">
        <f>M$5*IF(M$4&gt;=Teams!$E$80,Params!$F$23*Params!$F$24/60*(Org!$B$10/Org!$B$11)+Params!$F$27/12*Params!$F$13*Org!$B$10+M65/1000*Params!$F$28*Params!$F$29*(Org!$B$10/Org!$B$11),0)</f>
        <v>35945.333333333328</v>
      </c>
      <c r="N74" s="44">
        <f>N$5*IF(N$4&gt;=Teams!$E$80,Params!$F$23*Params!$F$24/60*(Org!$B$10/Org!$B$11)+Params!$F$27/12*Params!$F$13*Org!$B$10+N65/1000*Params!$F$28*Params!$F$29*(Org!$B$10/Org!$B$11),0)</f>
        <v>35945.333333333328</v>
      </c>
      <c r="O74" s="44">
        <f>O$5*IF(O$4&gt;=Teams!$E$80,Params!$F$23*Params!$F$24/60*(Org!$B$10/Org!$B$11)+Params!$F$27/12*Params!$F$13*Org!$B$10+O65/1000*Params!$F$28*Params!$F$29*(Org!$B$10/Org!$B$11),0)</f>
        <v>35945.333333333328</v>
      </c>
      <c r="P74" s="44">
        <f>P$5*IF(P$4&gt;=Teams!$E$80,Params!$F$23*Params!$F$24/60*(Org!$B$10/Org!$B$11)+Params!$F$27/12*Params!$F$13*Org!$B$10+P65/1000*Params!$F$28*Params!$F$29*(Org!$B$10/Org!$B$11),0)</f>
        <v>35945.333333333328</v>
      </c>
      <c r="Q74" s="44">
        <f>Q$5*IF(Q$4&gt;=Teams!$E$80,Params!$F$23*Params!$F$24/60*(Org!$B$10/Org!$B$11)+Params!$F$27/12*Params!$F$13*Org!$B$10+Q65/1000*Params!$F$28*Params!$F$29*(Org!$B$10/Org!$B$11),0)</f>
        <v>35945.333333333328</v>
      </c>
      <c r="R74" s="44">
        <f>R$5*IF(R$4&gt;=Teams!$E$80,Params!$F$23*Params!$F$24/60*(Org!$B$10/Org!$B$11)+Params!$F$27/12*Params!$F$13*Org!$B$10+R65/1000*Params!$F$28*Params!$F$29*(Org!$B$10/Org!$B$11),0)</f>
        <v>35945.333333333328</v>
      </c>
      <c r="S74" s="44">
        <f>S$5*IF(S$4&gt;=Teams!$E$80,Params!$F$23*Params!$F$24/60*(Org!$B$10/Org!$B$11)+Params!$F$27/12*Params!$F$13*Org!$B$10+S65/1000*Params!$F$28*Params!$F$29*(Org!$B$10/Org!$B$11),0)</f>
        <v>35945.333333333328</v>
      </c>
      <c r="T74" s="44">
        <f>T$5*IF(T$4&gt;=Teams!$E$80,Params!$F$23*Params!$F$24/60*(Org!$B$10/Org!$B$11)+Params!$F$27/12*Params!$F$13*Org!$B$10+T65/1000*Params!$F$28*Params!$F$29*(Org!$B$10/Org!$B$11),0)</f>
        <v>35945.333333333328</v>
      </c>
      <c r="U74" s="44">
        <f>U$5*IF(U$4&gt;=Teams!$E$80,Params!$F$23*Params!$F$24/60*(Org!$B$10/Org!$B$11)+Params!$F$27/12*Params!$F$13*Org!$B$10+U65/1000*Params!$F$28*Params!$F$29*(Org!$B$10/Org!$B$11),0)</f>
        <v>35945.333333333328</v>
      </c>
      <c r="V74" s="44">
        <f>V$5*IF(V$4&gt;=Teams!$E$80,Params!$F$23*Params!$F$24/60*(Org!$B$10/Org!$B$11)+Params!$F$27/12*Params!$F$13*Org!$B$10+V65/1000*Params!$F$28*Params!$F$29*(Org!$B$10/Org!$B$11),0)</f>
        <v>35945.333333333328</v>
      </c>
      <c r="W74" s="44">
        <f>W$5*IF(W$4&gt;=Teams!$E$80,Params!$F$23*Params!$F$24/60*(Org!$B$10/Org!$B$11)+Params!$F$27/12*Params!$F$13*Org!$B$10+W65/1000*Params!$F$28*Params!$F$29*(Org!$B$10/Org!$B$11),0)</f>
        <v>35945.333333333328</v>
      </c>
      <c r="X74" s="44">
        <f>X$5*IF(X$4&gt;=Teams!$E$80,Params!$F$23*Params!$F$24/60*(Org!$B$10/Org!$B$11)+Params!$F$27/12*Params!$F$13*Org!$B$10+X65/1000*Params!$F$28*Params!$F$29*(Org!$B$10/Org!$B$11),0)</f>
        <v>35945.333333333328</v>
      </c>
      <c r="Y74" s="44">
        <f>Y$5*IF(Y$4&gt;=Teams!$E$80,Params!$F$23*Params!$F$24/60*(Org!$B$10/Org!$B$11)+Params!$F$27/12*Params!$F$13*Org!$B$10+Y65/1000*Params!$F$28*Params!$F$29*(Org!$B$10/Org!$B$11),0)</f>
        <v>35945.333333333328</v>
      </c>
      <c r="Z74" s="44">
        <f>Z$5*IF(Z$4&gt;=Teams!$E$80,Params!$F$23*Params!$F$24/60*(Org!$B$10/Org!$B$11)+Params!$F$27/12*Params!$F$13*Org!$B$10+Z65/1000*Params!$F$28*Params!$F$29*(Org!$B$10/Org!$B$11),0)</f>
        <v>35945.333333333328</v>
      </c>
      <c r="AA74" s="44">
        <f>AA$5*IF(AA$4&gt;=Teams!$E$80,Params!$F$23*Params!$F$24/60*(Org!$B$10/Org!$B$11)+Params!$F$27/12*Params!$F$13*Org!$B$10+AA65/1000*Params!$F$28*Params!$F$29*(Org!$B$10/Org!$B$11),0)</f>
        <v>35945.333333333328</v>
      </c>
      <c r="AB74" s="44">
        <f>AB$5*IF(AB$4&gt;=Teams!$E$80,Params!$F$23*Params!$F$24/60*(Org!$B$10/Org!$B$11)+Params!$F$27/12*Params!$F$13*Org!$B$10+AB65/1000*Params!$F$28*Params!$F$29*(Org!$B$10/Org!$B$11),0)</f>
        <v>35945.333333333328</v>
      </c>
      <c r="AC74" s="44">
        <f>AC$5*IF(AC$4&gt;=Teams!$E$80,Params!$F$23*Params!$F$24/60*(Org!$B$10/Org!$B$11)+Params!$F$27/12*Params!$F$13*Org!$B$10+AC65/1000*Params!$F$28*Params!$F$29*(Org!$B$10/Org!$B$11),0)</f>
        <v>35945.333333333328</v>
      </c>
      <c r="AD74" s="44">
        <f>AD$5*IF(AD$4&gt;=Teams!$E$80,Params!$F$23*Params!$F$24/60*(Org!$B$10/Org!$B$11)+Params!$F$27/12*Params!$F$13*Org!$B$10+AD65/1000*Params!$F$28*Params!$F$29*(Org!$B$10/Org!$B$11),0)</f>
        <v>35945.333333333328</v>
      </c>
      <c r="AE74" s="44">
        <f>AE$5*IF(AE$4&gt;=Teams!$E$80,Params!$F$23*Params!$F$24/60*(Org!$B$10/Org!$B$11)+Params!$F$27/12*Params!$F$13*Org!$B$10+AE65/1000*Params!$F$28*Params!$F$29*(Org!$B$10/Org!$B$11),0)</f>
        <v>35945.333333333328</v>
      </c>
      <c r="AF74" s="44">
        <f>AF$5*IF(AF$4&gt;=Teams!$E$80,Params!$F$23*Params!$F$24/60*(Org!$B$10/Org!$B$11)+Params!$F$27/12*Params!$F$13*Org!$B$10+AF65/1000*Params!$F$28*Params!$F$29*(Org!$B$10/Org!$B$11),0)</f>
        <v>35945.333333333328</v>
      </c>
      <c r="AG74" s="44">
        <f>AG$5*IF(AG$4&gt;=Teams!$E$80,Params!$F$23*Params!$F$24/60*(Org!$B$10/Org!$B$11)+Params!$F$27/12*Params!$F$13*Org!$B$10+AG65/1000*Params!$F$28*Params!$F$29*(Org!$B$10/Org!$B$11),0)</f>
        <v>35945.333333333328</v>
      </c>
      <c r="AH74" s="44">
        <f>AH$5*IF(AH$4&gt;=Teams!$E$80,Params!$F$23*Params!$F$24/60*(Org!$B$10/Org!$B$11)+Params!$F$27/12*Params!$F$13*Org!$B$10+AH65/1000*Params!$F$28*Params!$F$29*(Org!$B$10/Org!$B$11),0)</f>
        <v>35945.333333333328</v>
      </c>
      <c r="AI74" s="44">
        <f>AI$5*IF(AI$4&gt;=Teams!$E$80,Params!$F$23*Params!$F$24/60*(Org!$B$10/Org!$B$11)+Params!$F$27/12*Params!$F$13*Org!$B$10+AI65/1000*Params!$F$28*Params!$F$29*(Org!$B$10/Org!$B$11),0)</f>
        <v>35945.333333333328</v>
      </c>
      <c r="AJ74" s="44">
        <f>AJ$5*IF(AJ$4&gt;=Teams!$E$80,Params!$F$23*Params!$F$24/60*(Org!$B$10/Org!$B$11)+Params!$F$27/12*Params!$F$13*Org!$B$10+AJ65/1000*Params!$F$28*Params!$F$29*(Org!$B$10/Org!$B$11),0)</f>
        <v>35945.333333333328</v>
      </c>
      <c r="AK74" s="44">
        <f>AK$5*IF(AK$4&gt;=Teams!$E$80,Params!$F$23*Params!$F$24/60*(Org!$B$10/Org!$B$11)+Params!$F$27/12*Params!$F$13*Org!$B$10+AK65/1000*Params!$F$28*Params!$F$29*(Org!$B$10/Org!$B$11),0)</f>
        <v>35945.333333333328</v>
      </c>
      <c r="AL74" s="44">
        <f>AL$5*IF(AL$4&gt;=Teams!$E$80,Params!$F$23*Params!$F$24/60*(Org!$B$10/Org!$B$11)+Params!$F$27/12*Params!$F$13*Org!$B$10+AL65/1000*Params!$F$28*Params!$F$29*(Org!$B$10/Org!$B$11),0)</f>
        <v>35945.333333333328</v>
      </c>
      <c r="AM74" s="44">
        <f>AM$5*IF(AM$4&gt;=Teams!$E$80,Params!$F$23*Params!$F$24/60*(Org!$B$10/Org!$B$11)+Params!$F$27/12*Params!$F$13*Org!$B$10+AM65/1000*Params!$F$28*Params!$F$29*(Org!$B$10/Org!$B$11),0)</f>
        <v>35945.333333333328</v>
      </c>
      <c r="AN74" s="44">
        <f>AN$5*IF(AN$4&gt;=Teams!$E$80,Params!$F$23*Params!$F$24/60*(Org!$B$10/Org!$B$11)+Params!$F$27/12*Params!$F$13*Org!$B$10+AN65/1000*Params!$F$28*Params!$F$29*(Org!$B$10/Org!$B$11),0)</f>
        <v>35945.333333333328</v>
      </c>
      <c r="AO74" s="44">
        <f>AO$5*IF(AO$4&gt;=Teams!$E$80,Params!$F$23*Params!$F$24/60*(Org!$B$10/Org!$B$11)+Params!$F$27/12*Params!$F$13*Org!$B$10+AO65/1000*Params!$F$28*Params!$F$29*(Org!$B$10/Org!$B$11),0)</f>
        <v>0</v>
      </c>
      <c r="AP74" s="44">
        <f>AP$5*IF(AP$4&gt;=Teams!$E$80,Params!$F$23*Params!$F$24/60*(Org!$B$10/Org!$B$11)+Params!$F$27/12*Params!$F$13*Org!$B$10+AP65/1000*Params!$F$28*Params!$F$29*(Org!$B$10/Org!$B$11),0)</f>
        <v>0</v>
      </c>
      <c r="AQ74" s="44">
        <f>AQ$5*IF(AQ$4&gt;=Teams!$E$80,Params!$F$23*Params!$F$24/60*(Org!$B$10/Org!$B$11)+Params!$F$27/12*Params!$F$13*Org!$B$10+AQ65/1000*Params!$F$28*Params!$F$29*(Org!$B$10/Org!$B$11),0)</f>
        <v>0</v>
      </c>
      <c r="AR74" s="44">
        <f>AR$5*IF(AR$4&gt;=Teams!$E$80,Params!$F$23*Params!$F$24/60*(Org!$B$10/Org!$B$11)+Params!$F$27/12*Params!$F$13*Org!$B$10+AR65/1000*Params!$F$28*Params!$F$29*(Org!$B$10/Org!$B$11),0)</f>
        <v>0</v>
      </c>
      <c r="AS74" s="44">
        <f>AS$5*IF(AS$4&gt;=Teams!$E$80,Params!$F$23*Params!$F$24/60*(Org!$B$10/Org!$B$11)+Params!$F$27/12*Params!$F$13*Org!$B$10+AS65/1000*Params!$F$28*Params!$F$29*(Org!$B$10/Org!$B$11),0)</f>
        <v>0</v>
      </c>
      <c r="AT74" s="44">
        <f>AT$5*IF(AT$4&gt;=Teams!$E$80,Params!$F$23*Params!$F$24/60*(Org!$B$10/Org!$B$11)+Params!$F$27/12*Params!$F$13*Org!$B$10+AT65/1000*Params!$F$28*Params!$F$29*(Org!$B$10/Org!$B$11),0)</f>
        <v>0</v>
      </c>
      <c r="AU74" s="44">
        <f>AU$5*IF(AU$4&gt;=Teams!$E$80,Params!$F$23*Params!$F$24/60*(Org!$B$10/Org!$B$11)+Params!$F$27/12*Params!$F$13*Org!$B$10+AU65/1000*Params!$F$28*Params!$F$29*(Org!$B$10/Org!$B$11),0)</f>
        <v>0</v>
      </c>
      <c r="AV74" s="44">
        <f>AV$5*IF(AV$4&gt;=Teams!$E$80,Params!$F$23*Params!$F$24/60*(Org!$B$10/Org!$B$11)+Params!$F$27/12*Params!$F$13*Org!$B$10+AV65/1000*Params!$F$28*Params!$F$29*(Org!$B$10/Org!$B$11),0)</f>
        <v>0</v>
      </c>
      <c r="AW74" s="44">
        <f>AW$5*IF(AW$4&gt;=Teams!$E$80,Params!$F$23*Params!$F$24/60*(Org!$B$10/Org!$B$11)+Params!$F$27/12*Params!$F$13*Org!$B$10+AW65/1000*Params!$F$28*Params!$F$29*(Org!$B$10/Org!$B$11),0)</f>
        <v>0</v>
      </c>
      <c r="AX74" s="44">
        <f>AX$5*IF(AX$4&gt;=Teams!$E$80,Params!$F$23*Params!$F$24/60*(Org!$B$10/Org!$B$11)+Params!$F$27/12*Params!$F$13*Org!$B$10+AX65/1000*Params!$F$28*Params!$F$29*(Org!$B$10/Org!$B$11),0)</f>
        <v>0</v>
      </c>
      <c r="AY74" s="44">
        <f>AY$5*IF(AY$4&gt;=Teams!$E$80,Params!$F$23*Params!$F$24/60*(Org!$B$10/Org!$B$11)+Params!$F$27/12*Params!$F$13*Org!$B$10+AY65/1000*Params!$F$28*Params!$F$29*(Org!$B$10/Org!$B$11),0)</f>
        <v>0</v>
      </c>
      <c r="AZ74" s="44">
        <f>AZ$5*IF(AZ$4&gt;=Teams!$E$80,Params!$F$23*Params!$F$24/60*(Org!$B$10/Org!$B$11)+Params!$F$27/12*Params!$F$13*Org!$B$10+AZ65/1000*Params!$F$28*Params!$F$29*(Org!$B$10/Org!$B$11),0)</f>
        <v>0</v>
      </c>
      <c r="BA74" s="44">
        <f>BA$5*IF(BA$4&gt;=Teams!$E$80,Params!$F$23*Params!$F$24/60*(Org!$B$10/Org!$B$11)+Params!$F$27/12*Params!$F$13*Org!$B$10+BA65/1000*Params!$F$28*Params!$F$29*(Org!$B$10/Org!$B$11),0)</f>
        <v>0</v>
      </c>
      <c r="BB74" s="44">
        <f>BB$5*IF(BB$4&gt;=Teams!$E$80,Params!$F$23*Params!$F$24/60*(Org!$B$10/Org!$B$11)+Params!$F$27/12*Params!$F$13*Org!$B$10+BB65/1000*Params!$F$28*Params!$F$29*(Org!$B$10/Org!$B$11),0)</f>
        <v>0</v>
      </c>
      <c r="BC74" s="44">
        <f>BC$5*IF(BC$4&gt;=Teams!$E$80,Params!$F$23*Params!$F$24/60*(Org!$B$10/Org!$B$11)+Params!$F$27/12*Params!$F$13*Org!$B$10+BC65/1000*Params!$F$28*Params!$F$29*(Org!$B$10/Org!$B$11),0)</f>
        <v>0</v>
      </c>
      <c r="BD74" s="44">
        <f>BD$5*IF(BD$4&gt;=Teams!$E$80,Params!$F$23*Params!$F$24/60*(Org!$B$10/Org!$B$11)+Params!$F$27/12*Params!$F$13*Org!$B$10+BD65/1000*Params!$F$28*Params!$F$29*(Org!$B$10/Org!$B$11),0)</f>
        <v>0</v>
      </c>
      <c r="BE74" s="44">
        <f>BE$5*IF(BE$4&gt;=Teams!$E$80,Params!$F$23*Params!$F$24/60*(Org!$B$10/Org!$B$11)+Params!$F$27/12*Params!$F$13*Org!$B$10+BE65/1000*Params!$F$28*Params!$F$29*(Org!$B$10/Org!$B$11),0)</f>
        <v>0</v>
      </c>
      <c r="BF74" s="44">
        <f>BF$5*IF(BF$4&gt;=Teams!$E$80,Params!$F$23*Params!$F$24/60*(Org!$B$10/Org!$B$11)+Params!$F$27/12*Params!$F$13*Org!$B$10+BF65/1000*Params!$F$28*Params!$F$29*(Org!$B$10/Org!$B$11),0)</f>
        <v>0</v>
      </c>
      <c r="BG74" s="44">
        <f>BG$5*IF(BG$4&gt;=Teams!$E$80,Params!$F$23*Params!$F$24/60*(Org!$B$10/Org!$B$11)+Params!$F$27/12*Params!$F$13*Org!$B$10+BG65/1000*Params!$F$28*Params!$F$29*(Org!$B$10/Org!$B$11),0)</f>
        <v>0</v>
      </c>
      <c r="BH74" s="44">
        <f>BH$5*IF(BH$4&gt;=Teams!$E$80,Params!$F$23*Params!$F$24/60*(Org!$B$10/Org!$B$11)+Params!$F$27/12*Params!$F$13*Org!$B$10+BH65/1000*Params!$F$28*Params!$F$29*(Org!$B$10/Org!$B$11),0)</f>
        <v>0</v>
      </c>
      <c r="BI74" s="44">
        <f>BI$5*IF(BI$4&gt;=Teams!$E$80,Params!$F$23*Params!$F$24/60*(Org!$B$10/Org!$B$11)+Params!$F$27/12*Params!$F$13*Org!$B$10+BI65/1000*Params!$F$28*Params!$F$29*(Org!$B$10/Org!$B$11),0)</f>
        <v>0</v>
      </c>
      <c r="BJ74" s="44">
        <f>BJ$5*IF(BJ$4&gt;=Teams!$E$80,Params!$F$23*Params!$F$24/60*(Org!$B$10/Org!$B$11)+Params!$F$27/12*Params!$F$13*Org!$B$10+BJ65/1000*Params!$F$28*Params!$F$29*(Org!$B$10/Org!$B$11),0)</f>
        <v>0</v>
      </c>
      <c r="BK74" s="44">
        <f>BK$5*IF(BK$4&gt;=Teams!$E$80,Params!$F$23*Params!$F$24/60*(Org!$B$10/Org!$B$11)+Params!$F$27/12*Params!$F$13*Org!$B$10+BK65/1000*Params!$F$28*Params!$F$29*(Org!$B$10/Org!$B$11),0)</f>
        <v>0</v>
      </c>
      <c r="BL74" s="44">
        <f>BL$5*IF(BL$4&gt;=Teams!$E$80,Params!$F$23*Params!$F$24/60*(Org!$B$10/Org!$B$11)+Params!$F$27/12*Params!$F$13*Org!$B$10+BL65/1000*Params!$F$28*Params!$F$29*(Org!$B$10/Org!$B$11),0)</f>
        <v>0</v>
      </c>
    </row>
    <row r="75" spans="1:64" x14ac:dyDescent="0.3">
      <c r="A75" s="8" t="s">
        <v>673</v>
      </c>
      <c r="B75" s="18" t="s">
        <v>604</v>
      </c>
      <c r="C75" s="44">
        <f t="shared" si="20"/>
        <v>54400</v>
      </c>
      <c r="E75" s="44">
        <f>E$5*IF(AND(E$4&gt;Teams!$E$80,MOD(E$4-Teams!$E$80,MAX(1,ROUND(Params!$F$25,0)))=0),(Params!$F$26+Params!$F$17*Params!$F$16)*Org!$B$10,0)</f>
        <v>0</v>
      </c>
      <c r="F75" s="44">
        <f>F$5*IF(AND(F$4&gt;Teams!$E$80,MOD(F$4-Teams!$E$80,MAX(1,ROUND(Params!$F$25,0)))=0),(Params!$F$26+Params!$F$17*Params!$F$16)*Org!$B$10,0)</f>
        <v>0</v>
      </c>
      <c r="G75" s="44">
        <f>G$5*IF(AND(G$4&gt;Teams!$E$80,MOD(G$4-Teams!$E$80,MAX(1,ROUND(Params!$F$25,0)))=0),(Params!$F$26+Params!$F$17*Params!$F$16)*Org!$B$10,0)</f>
        <v>0</v>
      </c>
      <c r="H75" s="44">
        <f>H$5*IF(AND(H$4&gt;Teams!$E$80,MOD(H$4-Teams!$E$80,MAX(1,ROUND(Params!$F$25,0)))=0),(Params!$F$26+Params!$F$17*Params!$F$16)*Org!$B$10,0)</f>
        <v>0</v>
      </c>
      <c r="I75" s="44">
        <f>I$5*IF(AND(I$4&gt;Teams!$E$80,MOD(I$4-Teams!$E$80,MAX(1,ROUND(Params!$F$25,0)))=0),(Params!$F$26+Params!$F$17*Params!$F$16)*Org!$B$10,0)</f>
        <v>0</v>
      </c>
      <c r="J75" s="44">
        <f>J$5*IF(AND(J$4&gt;Teams!$E$80,MOD(J$4-Teams!$E$80,MAX(1,ROUND(Params!$F$25,0)))=0),(Params!$F$26+Params!$F$17*Params!$F$16)*Org!$B$10,0)</f>
        <v>0</v>
      </c>
      <c r="K75" s="44">
        <f>K$5*IF(AND(K$4&gt;Teams!$E$80,MOD(K$4-Teams!$E$80,MAX(1,ROUND(Params!$F$25,0)))=0),(Params!$F$26+Params!$F$17*Params!$F$16)*Org!$B$10,0)</f>
        <v>0</v>
      </c>
      <c r="L75" s="44">
        <f>L$5*IF(AND(L$4&gt;Teams!$E$80,MOD(L$4-Teams!$E$80,MAX(1,ROUND(Params!$F$25,0)))=0),(Params!$F$26+Params!$F$17*Params!$F$16)*Org!$B$10,0)</f>
        <v>0</v>
      </c>
      <c r="M75" s="44">
        <f>M$5*IF(AND(M$4&gt;Teams!$E$80,MOD(M$4-Teams!$E$80,MAX(1,ROUND(Params!$F$25,0)))=0),(Params!$F$26+Params!$F$17*Params!$F$16)*Org!$B$10,0)</f>
        <v>0</v>
      </c>
      <c r="N75" s="44">
        <f>N$5*IF(AND(N$4&gt;Teams!$E$80,MOD(N$4-Teams!$E$80,MAX(1,ROUND(Params!$F$25,0)))=0),(Params!$F$26+Params!$F$17*Params!$F$16)*Org!$B$10,0)</f>
        <v>0</v>
      </c>
      <c r="O75" s="44">
        <f>O$5*IF(AND(O$4&gt;Teams!$E$80,MOD(O$4-Teams!$E$80,MAX(1,ROUND(Params!$F$25,0)))=0),(Params!$F$26+Params!$F$17*Params!$F$16)*Org!$B$10,0)</f>
        <v>0</v>
      </c>
      <c r="P75" s="44">
        <f>P$5*IF(AND(P$4&gt;Teams!$E$80,MOD(P$4-Teams!$E$80,MAX(1,ROUND(Params!$F$25,0)))=0),(Params!$F$26+Params!$F$17*Params!$F$16)*Org!$B$10,0)</f>
        <v>0</v>
      </c>
      <c r="Q75" s="44">
        <f>Q$5*IF(AND(Q$4&gt;Teams!$E$80,MOD(Q$4-Teams!$E$80,MAX(1,ROUND(Params!$F$25,0)))=0),(Params!$F$26+Params!$F$17*Params!$F$16)*Org!$B$10,0)</f>
        <v>0</v>
      </c>
      <c r="R75" s="44">
        <f>R$5*IF(AND(R$4&gt;Teams!$E$80,MOD(R$4-Teams!$E$80,MAX(1,ROUND(Params!$F$25,0)))=0),(Params!$F$26+Params!$F$17*Params!$F$16)*Org!$B$10,0)</f>
        <v>27200</v>
      </c>
      <c r="S75" s="44">
        <f>S$5*IF(AND(S$4&gt;Teams!$E$80,MOD(S$4-Teams!$E$80,MAX(1,ROUND(Params!$F$25,0)))=0),(Params!$F$26+Params!$F$17*Params!$F$16)*Org!$B$10,0)</f>
        <v>0</v>
      </c>
      <c r="T75" s="44">
        <f>T$5*IF(AND(T$4&gt;Teams!$E$80,MOD(T$4-Teams!$E$80,MAX(1,ROUND(Params!$F$25,0)))=0),(Params!$F$26+Params!$F$17*Params!$F$16)*Org!$B$10,0)</f>
        <v>0</v>
      </c>
      <c r="U75" s="44">
        <f>U$5*IF(AND(U$4&gt;Teams!$E$80,MOD(U$4-Teams!$E$80,MAX(1,ROUND(Params!$F$25,0)))=0),(Params!$F$26+Params!$F$17*Params!$F$16)*Org!$B$10,0)</f>
        <v>0</v>
      </c>
      <c r="V75" s="44">
        <f>V$5*IF(AND(V$4&gt;Teams!$E$80,MOD(V$4-Teams!$E$80,MAX(1,ROUND(Params!$F$25,0)))=0),(Params!$F$26+Params!$F$17*Params!$F$16)*Org!$B$10,0)</f>
        <v>0</v>
      </c>
      <c r="W75" s="44">
        <f>W$5*IF(AND(W$4&gt;Teams!$E$80,MOD(W$4-Teams!$E$80,MAX(1,ROUND(Params!$F$25,0)))=0),(Params!$F$26+Params!$F$17*Params!$F$16)*Org!$B$10,0)</f>
        <v>0</v>
      </c>
      <c r="X75" s="44">
        <f>X$5*IF(AND(X$4&gt;Teams!$E$80,MOD(X$4-Teams!$E$80,MAX(1,ROUND(Params!$F$25,0)))=0),(Params!$F$26+Params!$F$17*Params!$F$16)*Org!$B$10,0)</f>
        <v>0</v>
      </c>
      <c r="Y75" s="44">
        <f>Y$5*IF(AND(Y$4&gt;Teams!$E$80,MOD(Y$4-Teams!$E$80,MAX(1,ROUND(Params!$F$25,0)))=0),(Params!$F$26+Params!$F$17*Params!$F$16)*Org!$B$10,0)</f>
        <v>0</v>
      </c>
      <c r="Z75" s="44">
        <f>Z$5*IF(AND(Z$4&gt;Teams!$E$80,MOD(Z$4-Teams!$E$80,MAX(1,ROUND(Params!$F$25,0)))=0),(Params!$F$26+Params!$F$17*Params!$F$16)*Org!$B$10,0)</f>
        <v>0</v>
      </c>
      <c r="AA75" s="44">
        <f>AA$5*IF(AND(AA$4&gt;Teams!$E$80,MOD(AA$4-Teams!$E$80,MAX(1,ROUND(Params!$F$25,0)))=0),(Params!$F$26+Params!$F$17*Params!$F$16)*Org!$B$10,0)</f>
        <v>0</v>
      </c>
      <c r="AB75" s="44">
        <f>AB$5*IF(AND(AB$4&gt;Teams!$E$80,MOD(AB$4-Teams!$E$80,MAX(1,ROUND(Params!$F$25,0)))=0),(Params!$F$26+Params!$F$17*Params!$F$16)*Org!$B$10,0)</f>
        <v>0</v>
      </c>
      <c r="AC75" s="44">
        <f>AC$5*IF(AND(AC$4&gt;Teams!$E$80,MOD(AC$4-Teams!$E$80,MAX(1,ROUND(Params!$F$25,0)))=0),(Params!$F$26+Params!$F$17*Params!$F$16)*Org!$B$10,0)</f>
        <v>0</v>
      </c>
      <c r="AD75" s="44">
        <f>AD$5*IF(AND(AD$4&gt;Teams!$E$80,MOD(AD$4-Teams!$E$80,MAX(1,ROUND(Params!$F$25,0)))=0),(Params!$F$26+Params!$F$17*Params!$F$16)*Org!$B$10,0)</f>
        <v>27200</v>
      </c>
      <c r="AE75" s="44">
        <f>AE$5*IF(AND(AE$4&gt;Teams!$E$80,MOD(AE$4-Teams!$E$80,MAX(1,ROUND(Params!$F$25,0)))=0),(Params!$F$26+Params!$F$17*Params!$F$16)*Org!$B$10,0)</f>
        <v>0</v>
      </c>
      <c r="AF75" s="44">
        <f>AF$5*IF(AND(AF$4&gt;Teams!$E$80,MOD(AF$4-Teams!$E$80,MAX(1,ROUND(Params!$F$25,0)))=0),(Params!$F$26+Params!$F$17*Params!$F$16)*Org!$B$10,0)</f>
        <v>0</v>
      </c>
      <c r="AG75" s="44">
        <f>AG$5*IF(AND(AG$4&gt;Teams!$E$80,MOD(AG$4-Teams!$E$80,MAX(1,ROUND(Params!$F$25,0)))=0),(Params!$F$26+Params!$F$17*Params!$F$16)*Org!$B$10,0)</f>
        <v>0</v>
      </c>
      <c r="AH75" s="44">
        <f>AH$5*IF(AND(AH$4&gt;Teams!$E$80,MOD(AH$4-Teams!$E$80,MAX(1,ROUND(Params!$F$25,0)))=0),(Params!$F$26+Params!$F$17*Params!$F$16)*Org!$B$10,0)</f>
        <v>0</v>
      </c>
      <c r="AI75" s="44">
        <f>AI$5*IF(AND(AI$4&gt;Teams!$E$80,MOD(AI$4-Teams!$E$80,MAX(1,ROUND(Params!$F$25,0)))=0),(Params!$F$26+Params!$F$17*Params!$F$16)*Org!$B$10,0)</f>
        <v>0</v>
      </c>
      <c r="AJ75" s="44">
        <f>AJ$5*IF(AND(AJ$4&gt;Teams!$E$80,MOD(AJ$4-Teams!$E$80,MAX(1,ROUND(Params!$F$25,0)))=0),(Params!$F$26+Params!$F$17*Params!$F$16)*Org!$B$10,0)</f>
        <v>0</v>
      </c>
      <c r="AK75" s="44">
        <f>AK$5*IF(AND(AK$4&gt;Teams!$E$80,MOD(AK$4-Teams!$E$80,MAX(1,ROUND(Params!$F$25,0)))=0),(Params!$F$26+Params!$F$17*Params!$F$16)*Org!$B$10,0)</f>
        <v>0</v>
      </c>
      <c r="AL75" s="44">
        <f>AL$5*IF(AND(AL$4&gt;Teams!$E$80,MOD(AL$4-Teams!$E$80,MAX(1,ROUND(Params!$F$25,0)))=0),(Params!$F$26+Params!$F$17*Params!$F$16)*Org!$B$10,0)</f>
        <v>0</v>
      </c>
      <c r="AM75" s="44">
        <f>AM$5*IF(AND(AM$4&gt;Teams!$E$80,MOD(AM$4-Teams!$E$80,MAX(1,ROUND(Params!$F$25,0)))=0),(Params!$F$26+Params!$F$17*Params!$F$16)*Org!$B$10,0)</f>
        <v>0</v>
      </c>
      <c r="AN75" s="44">
        <f>AN$5*IF(AND(AN$4&gt;Teams!$E$80,MOD(AN$4-Teams!$E$80,MAX(1,ROUND(Params!$F$25,0)))=0),(Params!$F$26+Params!$F$17*Params!$F$16)*Org!$B$10,0)</f>
        <v>0</v>
      </c>
      <c r="AO75" s="44">
        <f>AO$5*IF(AND(AO$4&gt;Teams!$E$80,MOD(AO$4-Teams!$E$80,MAX(1,ROUND(Params!$F$25,0)))=0),(Params!$F$26+Params!$F$17*Params!$F$16)*Org!$B$10,0)</f>
        <v>0</v>
      </c>
      <c r="AP75" s="44">
        <f>AP$5*IF(AND(AP$4&gt;Teams!$E$80,MOD(AP$4-Teams!$E$80,MAX(1,ROUND(Params!$F$25,0)))=0),(Params!$F$26+Params!$F$17*Params!$F$16)*Org!$B$10,0)</f>
        <v>0</v>
      </c>
      <c r="AQ75" s="44">
        <f>AQ$5*IF(AND(AQ$4&gt;Teams!$E$80,MOD(AQ$4-Teams!$E$80,MAX(1,ROUND(Params!$F$25,0)))=0),(Params!$F$26+Params!$F$17*Params!$F$16)*Org!$B$10,0)</f>
        <v>0</v>
      </c>
      <c r="AR75" s="44">
        <f>AR$5*IF(AND(AR$4&gt;Teams!$E$80,MOD(AR$4-Teams!$E$80,MAX(1,ROUND(Params!$F$25,0)))=0),(Params!$F$26+Params!$F$17*Params!$F$16)*Org!$B$10,0)</f>
        <v>0</v>
      </c>
      <c r="AS75" s="44">
        <f>AS$5*IF(AND(AS$4&gt;Teams!$E$80,MOD(AS$4-Teams!$E$80,MAX(1,ROUND(Params!$F$25,0)))=0),(Params!$F$26+Params!$F$17*Params!$F$16)*Org!$B$10,0)</f>
        <v>0</v>
      </c>
      <c r="AT75" s="44">
        <f>AT$5*IF(AND(AT$4&gt;Teams!$E$80,MOD(AT$4-Teams!$E$80,MAX(1,ROUND(Params!$F$25,0)))=0),(Params!$F$26+Params!$F$17*Params!$F$16)*Org!$B$10,0)</f>
        <v>0</v>
      </c>
      <c r="AU75" s="44">
        <f>AU$5*IF(AND(AU$4&gt;Teams!$E$80,MOD(AU$4-Teams!$E$80,MAX(1,ROUND(Params!$F$25,0)))=0),(Params!$F$26+Params!$F$17*Params!$F$16)*Org!$B$10,0)</f>
        <v>0</v>
      </c>
      <c r="AV75" s="44">
        <f>AV$5*IF(AND(AV$4&gt;Teams!$E$80,MOD(AV$4-Teams!$E$80,MAX(1,ROUND(Params!$F$25,0)))=0),(Params!$F$26+Params!$F$17*Params!$F$16)*Org!$B$10,0)</f>
        <v>0</v>
      </c>
      <c r="AW75" s="44">
        <f>AW$5*IF(AND(AW$4&gt;Teams!$E$80,MOD(AW$4-Teams!$E$80,MAX(1,ROUND(Params!$F$25,0)))=0),(Params!$F$26+Params!$F$17*Params!$F$16)*Org!$B$10,0)</f>
        <v>0</v>
      </c>
      <c r="AX75" s="44">
        <f>AX$5*IF(AND(AX$4&gt;Teams!$E$80,MOD(AX$4-Teams!$E$80,MAX(1,ROUND(Params!$F$25,0)))=0),(Params!$F$26+Params!$F$17*Params!$F$16)*Org!$B$10,0)</f>
        <v>0</v>
      </c>
      <c r="AY75" s="44">
        <f>AY$5*IF(AND(AY$4&gt;Teams!$E$80,MOD(AY$4-Teams!$E$80,MAX(1,ROUND(Params!$F$25,0)))=0),(Params!$F$26+Params!$F$17*Params!$F$16)*Org!$B$10,0)</f>
        <v>0</v>
      </c>
      <c r="AZ75" s="44">
        <f>AZ$5*IF(AND(AZ$4&gt;Teams!$E$80,MOD(AZ$4-Teams!$E$80,MAX(1,ROUND(Params!$F$25,0)))=0),(Params!$F$26+Params!$F$17*Params!$F$16)*Org!$B$10,0)</f>
        <v>0</v>
      </c>
      <c r="BA75" s="44">
        <f>BA$5*IF(AND(BA$4&gt;Teams!$E$80,MOD(BA$4-Teams!$E$80,MAX(1,ROUND(Params!$F$25,0)))=0),(Params!$F$26+Params!$F$17*Params!$F$16)*Org!$B$10,0)</f>
        <v>0</v>
      </c>
      <c r="BB75" s="44">
        <f>BB$5*IF(AND(BB$4&gt;Teams!$E$80,MOD(BB$4-Teams!$E$80,MAX(1,ROUND(Params!$F$25,0)))=0),(Params!$F$26+Params!$F$17*Params!$F$16)*Org!$B$10,0)</f>
        <v>0</v>
      </c>
      <c r="BC75" s="44">
        <f>BC$5*IF(AND(BC$4&gt;Teams!$E$80,MOD(BC$4-Teams!$E$80,MAX(1,ROUND(Params!$F$25,0)))=0),(Params!$F$26+Params!$F$17*Params!$F$16)*Org!$B$10,0)</f>
        <v>0</v>
      </c>
      <c r="BD75" s="44">
        <f>BD$5*IF(AND(BD$4&gt;Teams!$E$80,MOD(BD$4-Teams!$E$80,MAX(1,ROUND(Params!$F$25,0)))=0),(Params!$F$26+Params!$F$17*Params!$F$16)*Org!$B$10,0)</f>
        <v>0</v>
      </c>
      <c r="BE75" s="44">
        <f>BE$5*IF(AND(BE$4&gt;Teams!$E$80,MOD(BE$4-Teams!$E$80,MAX(1,ROUND(Params!$F$25,0)))=0),(Params!$F$26+Params!$F$17*Params!$F$16)*Org!$B$10,0)</f>
        <v>0</v>
      </c>
      <c r="BF75" s="44">
        <f>BF$5*IF(AND(BF$4&gt;Teams!$E$80,MOD(BF$4-Teams!$E$80,MAX(1,ROUND(Params!$F$25,0)))=0),(Params!$F$26+Params!$F$17*Params!$F$16)*Org!$B$10,0)</f>
        <v>0</v>
      </c>
      <c r="BG75" s="44">
        <f>BG$5*IF(AND(BG$4&gt;Teams!$E$80,MOD(BG$4-Teams!$E$80,MAX(1,ROUND(Params!$F$25,0)))=0),(Params!$F$26+Params!$F$17*Params!$F$16)*Org!$B$10,0)</f>
        <v>0</v>
      </c>
      <c r="BH75" s="44">
        <f>BH$5*IF(AND(BH$4&gt;Teams!$E$80,MOD(BH$4-Teams!$E$80,MAX(1,ROUND(Params!$F$25,0)))=0),(Params!$F$26+Params!$F$17*Params!$F$16)*Org!$B$10,0)</f>
        <v>0</v>
      </c>
      <c r="BI75" s="44">
        <f>BI$5*IF(AND(BI$4&gt;Teams!$E$80,MOD(BI$4-Teams!$E$80,MAX(1,ROUND(Params!$F$25,0)))=0),(Params!$F$26+Params!$F$17*Params!$F$16)*Org!$B$10,0)</f>
        <v>0</v>
      </c>
      <c r="BJ75" s="44">
        <f>BJ$5*IF(AND(BJ$4&gt;Teams!$E$80,MOD(BJ$4-Teams!$E$80,MAX(1,ROUND(Params!$F$25,0)))=0),(Params!$F$26+Params!$F$17*Params!$F$16)*Org!$B$10,0)</f>
        <v>0</v>
      </c>
      <c r="BK75" s="44">
        <f>BK$5*IF(AND(BK$4&gt;Teams!$E$80,MOD(BK$4-Teams!$E$80,MAX(1,ROUND(Params!$F$25,0)))=0),(Params!$F$26+Params!$F$17*Params!$F$16)*Org!$B$10,0)</f>
        <v>0</v>
      </c>
      <c r="BL75" s="44">
        <f>BL$5*IF(AND(BL$4&gt;Teams!$E$80,MOD(BL$4-Teams!$E$80,MAX(1,ROUND(Params!$F$25,0)))=0),(Params!$F$26+Params!$F$17*Params!$F$16)*Org!$B$10,0)</f>
        <v>0</v>
      </c>
    </row>
    <row r="76" spans="1:64" x14ac:dyDescent="0.3">
      <c r="A76" s="8" t="s">
        <v>674</v>
      </c>
      <c r="B76" s="18" t="s">
        <v>604</v>
      </c>
      <c r="C76" s="44">
        <f t="shared" si="20"/>
        <v>1219140</v>
      </c>
      <c r="E76" s="44">
        <f>E$5*E66*MIN(1,Teams!$E$41*Params!$F$35)*Params!$F$36/60*Teams!$E$42</f>
        <v>0</v>
      </c>
      <c r="F76" s="44">
        <f>F$5*F66*MIN(1,Teams!$E$41*Params!$F$35)*Params!$F$36/60*Teams!$E$42</f>
        <v>2778.6666666666661</v>
      </c>
      <c r="G76" s="44">
        <f>G$5*G66*MIN(1,Teams!$E$41*Params!$F$35)*Params!$F$36/60*Teams!$E$42</f>
        <v>9725.3333333333339</v>
      </c>
      <c r="H76" s="44">
        <f>H$5*H66*MIN(1,Teams!$E$41*Params!$F$35)*Params!$F$36/60*Teams!$E$42</f>
        <v>18756</v>
      </c>
      <c r="I76" s="44">
        <f>I$5*I66*MIN(1,Teams!$E$41*Params!$F$35)*Params!$F$36/60*Teams!$E$42</f>
        <v>27786.666666666668</v>
      </c>
      <c r="J76" s="44">
        <f>J$5*J66*MIN(1,Teams!$E$41*Params!$F$35)*Params!$F$36/60*Teams!$E$42</f>
        <v>34733.333333333343</v>
      </c>
      <c r="K76" s="44">
        <f>K$5*K66*MIN(1,Teams!$E$41*Params!$F$35)*Params!$F$36/60*Teams!$E$42</f>
        <v>37512</v>
      </c>
      <c r="L76" s="44">
        <f>L$5*L66*MIN(1,Teams!$E$41*Params!$F$35)*Params!$F$36/60*Teams!$E$42</f>
        <v>37512</v>
      </c>
      <c r="M76" s="44">
        <f>M$5*M66*MIN(1,Teams!$E$41*Params!$F$35)*Params!$F$36/60*Teams!$E$42</f>
        <v>37512</v>
      </c>
      <c r="N76" s="44">
        <f>N$5*N66*MIN(1,Teams!$E$41*Params!$F$35)*Params!$F$36/60*Teams!$E$42</f>
        <v>37512</v>
      </c>
      <c r="O76" s="44">
        <f>O$5*O66*MIN(1,Teams!$E$41*Params!$F$35)*Params!$F$36/60*Teams!$E$42</f>
        <v>37512</v>
      </c>
      <c r="P76" s="44">
        <f>P$5*P66*MIN(1,Teams!$E$41*Params!$F$35)*Params!$F$36/60*Teams!$E$42</f>
        <v>37512</v>
      </c>
      <c r="Q76" s="44">
        <f>Q$5*Q66*MIN(1,Teams!$E$41*Params!$F$35)*Params!$F$36/60*Teams!$E$42</f>
        <v>37512</v>
      </c>
      <c r="R76" s="44">
        <f>R$5*R66*MIN(1,Teams!$E$41*Params!$F$35)*Params!$F$36/60*Teams!$E$42</f>
        <v>37512</v>
      </c>
      <c r="S76" s="44">
        <f>S$5*S66*MIN(1,Teams!$E$41*Params!$F$35)*Params!$F$36/60*Teams!$E$42</f>
        <v>37512</v>
      </c>
      <c r="T76" s="44">
        <f>T$5*T66*MIN(1,Teams!$E$41*Params!$F$35)*Params!$F$36/60*Teams!$E$42</f>
        <v>37512</v>
      </c>
      <c r="U76" s="44">
        <f>U$5*U66*MIN(1,Teams!$E$41*Params!$F$35)*Params!$F$36/60*Teams!$E$42</f>
        <v>37512</v>
      </c>
      <c r="V76" s="44">
        <f>V$5*V66*MIN(1,Teams!$E$41*Params!$F$35)*Params!$F$36/60*Teams!$E$42</f>
        <v>37512</v>
      </c>
      <c r="W76" s="44">
        <f>W$5*W66*MIN(1,Teams!$E$41*Params!$F$35)*Params!$F$36/60*Teams!$E$42</f>
        <v>37512</v>
      </c>
      <c r="X76" s="44">
        <f>X$5*X66*MIN(1,Teams!$E$41*Params!$F$35)*Params!$F$36/60*Teams!$E$42</f>
        <v>37512</v>
      </c>
      <c r="Y76" s="44">
        <f>Y$5*Y66*MIN(1,Teams!$E$41*Params!$F$35)*Params!$F$36/60*Teams!$E$42</f>
        <v>37512</v>
      </c>
      <c r="Z76" s="44">
        <f>Z$5*Z66*MIN(1,Teams!$E$41*Params!$F$35)*Params!$F$36/60*Teams!$E$42</f>
        <v>37512</v>
      </c>
      <c r="AA76" s="44">
        <f>AA$5*AA66*MIN(1,Teams!$E$41*Params!$F$35)*Params!$F$36/60*Teams!$E$42</f>
        <v>37512</v>
      </c>
      <c r="AB76" s="44">
        <f>AB$5*AB66*MIN(1,Teams!$E$41*Params!$F$35)*Params!$F$36/60*Teams!$E$42</f>
        <v>37512</v>
      </c>
      <c r="AC76" s="44">
        <f>AC$5*AC66*MIN(1,Teams!$E$41*Params!$F$35)*Params!$F$36/60*Teams!$E$42</f>
        <v>37512</v>
      </c>
      <c r="AD76" s="44">
        <f>AD$5*AD66*MIN(1,Teams!$E$41*Params!$F$35)*Params!$F$36/60*Teams!$E$42</f>
        <v>37512</v>
      </c>
      <c r="AE76" s="44">
        <f>AE$5*AE66*MIN(1,Teams!$E$41*Params!$F$35)*Params!$F$36/60*Teams!$E$42</f>
        <v>37512</v>
      </c>
      <c r="AF76" s="44">
        <f>AF$5*AF66*MIN(1,Teams!$E$41*Params!$F$35)*Params!$F$36/60*Teams!$E$42</f>
        <v>37512</v>
      </c>
      <c r="AG76" s="44">
        <f>AG$5*AG66*MIN(1,Teams!$E$41*Params!$F$35)*Params!$F$36/60*Teams!$E$42</f>
        <v>37512</v>
      </c>
      <c r="AH76" s="44">
        <f>AH$5*AH66*MIN(1,Teams!$E$41*Params!$F$35)*Params!$F$36/60*Teams!$E$42</f>
        <v>37512</v>
      </c>
      <c r="AI76" s="44">
        <f>AI$5*AI66*MIN(1,Teams!$E$41*Params!$F$35)*Params!$F$36/60*Teams!$E$42</f>
        <v>37512</v>
      </c>
      <c r="AJ76" s="44">
        <f>AJ$5*AJ66*MIN(1,Teams!$E$41*Params!$F$35)*Params!$F$36/60*Teams!$E$42</f>
        <v>37512</v>
      </c>
      <c r="AK76" s="44">
        <f>AK$5*AK66*MIN(1,Teams!$E$41*Params!$F$35)*Params!$F$36/60*Teams!$E$42</f>
        <v>37512</v>
      </c>
      <c r="AL76" s="44">
        <f>AL$5*AL66*MIN(1,Teams!$E$41*Params!$F$35)*Params!$F$36/60*Teams!$E$42</f>
        <v>37512</v>
      </c>
      <c r="AM76" s="44">
        <f>AM$5*AM66*MIN(1,Teams!$E$41*Params!$F$35)*Params!$F$36/60*Teams!$E$42</f>
        <v>37512</v>
      </c>
      <c r="AN76" s="44">
        <f>AN$5*AN66*MIN(1,Teams!$E$41*Params!$F$35)*Params!$F$36/60*Teams!$E$42</f>
        <v>37512</v>
      </c>
      <c r="AO76" s="44">
        <f>AO$5*AO66*MIN(1,Teams!$E$41*Params!$F$35)*Params!$F$36/60*Teams!$E$42</f>
        <v>0</v>
      </c>
      <c r="AP76" s="44">
        <f>AP$5*AP66*MIN(1,Teams!$E$41*Params!$F$35)*Params!$F$36/60*Teams!$E$42</f>
        <v>0</v>
      </c>
      <c r="AQ76" s="44">
        <f>AQ$5*AQ66*MIN(1,Teams!$E$41*Params!$F$35)*Params!$F$36/60*Teams!$E$42</f>
        <v>0</v>
      </c>
      <c r="AR76" s="44">
        <f>AR$5*AR66*MIN(1,Teams!$E$41*Params!$F$35)*Params!$F$36/60*Teams!$E$42</f>
        <v>0</v>
      </c>
      <c r="AS76" s="44">
        <f>AS$5*AS66*MIN(1,Teams!$E$41*Params!$F$35)*Params!$F$36/60*Teams!$E$42</f>
        <v>0</v>
      </c>
      <c r="AT76" s="44">
        <f>AT$5*AT66*MIN(1,Teams!$E$41*Params!$F$35)*Params!$F$36/60*Teams!$E$42</f>
        <v>0</v>
      </c>
      <c r="AU76" s="44">
        <f>AU$5*AU66*MIN(1,Teams!$E$41*Params!$F$35)*Params!$F$36/60*Teams!$E$42</f>
        <v>0</v>
      </c>
      <c r="AV76" s="44">
        <f>AV$5*AV66*MIN(1,Teams!$E$41*Params!$F$35)*Params!$F$36/60*Teams!$E$42</f>
        <v>0</v>
      </c>
      <c r="AW76" s="44">
        <f>AW$5*AW66*MIN(1,Teams!$E$41*Params!$F$35)*Params!$F$36/60*Teams!$E$42</f>
        <v>0</v>
      </c>
      <c r="AX76" s="44">
        <f>AX$5*AX66*MIN(1,Teams!$E$41*Params!$F$35)*Params!$F$36/60*Teams!$E$42</f>
        <v>0</v>
      </c>
      <c r="AY76" s="44">
        <f>AY$5*AY66*MIN(1,Teams!$E$41*Params!$F$35)*Params!$F$36/60*Teams!$E$42</f>
        <v>0</v>
      </c>
      <c r="AZ76" s="44">
        <f>AZ$5*AZ66*MIN(1,Teams!$E$41*Params!$F$35)*Params!$F$36/60*Teams!$E$42</f>
        <v>0</v>
      </c>
      <c r="BA76" s="44">
        <f>BA$5*BA66*MIN(1,Teams!$E$41*Params!$F$35)*Params!$F$36/60*Teams!$E$42</f>
        <v>0</v>
      </c>
      <c r="BB76" s="44">
        <f>BB$5*BB66*MIN(1,Teams!$E$41*Params!$F$35)*Params!$F$36/60*Teams!$E$42</f>
        <v>0</v>
      </c>
      <c r="BC76" s="44">
        <f>BC$5*BC66*MIN(1,Teams!$E$41*Params!$F$35)*Params!$F$36/60*Teams!$E$42</f>
        <v>0</v>
      </c>
      <c r="BD76" s="44">
        <f>BD$5*BD66*MIN(1,Teams!$E$41*Params!$F$35)*Params!$F$36/60*Teams!$E$42</f>
        <v>0</v>
      </c>
      <c r="BE76" s="44">
        <f>BE$5*BE66*MIN(1,Teams!$E$41*Params!$F$35)*Params!$F$36/60*Teams!$E$42</f>
        <v>0</v>
      </c>
      <c r="BF76" s="44">
        <f>BF$5*BF66*MIN(1,Teams!$E$41*Params!$F$35)*Params!$F$36/60*Teams!$E$42</f>
        <v>0</v>
      </c>
      <c r="BG76" s="44">
        <f>BG$5*BG66*MIN(1,Teams!$E$41*Params!$F$35)*Params!$F$36/60*Teams!$E$42</f>
        <v>0</v>
      </c>
      <c r="BH76" s="44">
        <f>BH$5*BH66*MIN(1,Teams!$E$41*Params!$F$35)*Params!$F$36/60*Teams!$E$42</f>
        <v>0</v>
      </c>
      <c r="BI76" s="44">
        <f>BI$5*BI66*MIN(1,Teams!$E$41*Params!$F$35)*Params!$F$36/60*Teams!$E$42</f>
        <v>0</v>
      </c>
      <c r="BJ76" s="44">
        <f>BJ$5*BJ66*MIN(1,Teams!$E$41*Params!$F$35)*Params!$F$36/60*Teams!$E$42</f>
        <v>0</v>
      </c>
      <c r="BK76" s="44">
        <f>BK$5*BK66*MIN(1,Teams!$E$41*Params!$F$35)*Params!$F$36/60*Teams!$E$42</f>
        <v>0</v>
      </c>
      <c r="BL76" s="44">
        <f>BL$5*BL66*MIN(1,Teams!$E$41*Params!$F$35)*Params!$F$36/60*Teams!$E$42</f>
        <v>0</v>
      </c>
    </row>
    <row r="77" spans="1:64" x14ac:dyDescent="0.3">
      <c r="A77" s="8" t="s">
        <v>675</v>
      </c>
      <c r="B77" s="18" t="s">
        <v>169</v>
      </c>
      <c r="C77" s="44">
        <f t="shared" si="20"/>
        <v>10384</v>
      </c>
      <c r="E77" s="44">
        <f>E$5*IF(E$4&gt;=Teams!$E$80,E64/1000*IF(E$4-Teams!$E$80&lt;6,Params!$F$37,Params!$F$38)*Org!$B$10*Org!$B$12/12,0)</f>
        <v>0</v>
      </c>
      <c r="F77" s="44">
        <f>F$5*IF(F$4&gt;=Teams!$E$80,F64/1000*IF(F$4-Teams!$E$80&lt;6,Params!$F$37,Params!$F$38)*Org!$B$10*Org!$B$12/12,0)</f>
        <v>880</v>
      </c>
      <c r="G77" s="44">
        <f>G$5*IF(G$4&gt;=Teams!$E$80,G64/1000*IF(G$4-Teams!$E$80&lt;6,Params!$F$37,Params!$F$38)*Org!$B$10*Org!$B$12/12,0)</f>
        <v>880</v>
      </c>
      <c r="H77" s="44">
        <f>H$5*IF(H$4&gt;=Teams!$E$80,H64/1000*IF(H$4-Teams!$E$80&lt;6,Params!$F$37,Params!$F$38)*Org!$B$10*Org!$B$12/12,0)</f>
        <v>880</v>
      </c>
      <c r="I77" s="44">
        <f>I$5*IF(I$4&gt;=Teams!$E$80,I64/1000*IF(I$4-Teams!$E$80&lt;6,Params!$F$37,Params!$F$38)*Org!$B$10*Org!$B$12/12,0)</f>
        <v>880</v>
      </c>
      <c r="J77" s="44">
        <f>J$5*IF(J$4&gt;=Teams!$E$80,J64/1000*IF(J$4-Teams!$E$80&lt;6,Params!$F$37,Params!$F$38)*Org!$B$10*Org!$B$12/12,0)</f>
        <v>880</v>
      </c>
      <c r="K77" s="44">
        <f>K$5*IF(K$4&gt;=Teams!$E$80,K64/1000*IF(K$4-Teams!$E$80&lt;6,Params!$F$37,Params!$F$38)*Org!$B$10*Org!$B$12/12,0)</f>
        <v>880</v>
      </c>
      <c r="L77" s="44">
        <f>L$5*IF(L$4&gt;=Teams!$E$80,L64/1000*IF(L$4-Teams!$E$80&lt;6,Params!$F$37,Params!$F$38)*Org!$B$10*Org!$B$12/12,0)</f>
        <v>176</v>
      </c>
      <c r="M77" s="44">
        <f>M$5*IF(M$4&gt;=Teams!$E$80,M64/1000*IF(M$4-Teams!$E$80&lt;6,Params!$F$37,Params!$F$38)*Org!$B$10*Org!$B$12/12,0)</f>
        <v>176</v>
      </c>
      <c r="N77" s="44">
        <f>N$5*IF(N$4&gt;=Teams!$E$80,N64/1000*IF(N$4-Teams!$E$80&lt;6,Params!$F$37,Params!$F$38)*Org!$B$10*Org!$B$12/12,0)</f>
        <v>176</v>
      </c>
      <c r="O77" s="44">
        <f>O$5*IF(O$4&gt;=Teams!$E$80,O64/1000*IF(O$4-Teams!$E$80&lt;6,Params!$F$37,Params!$F$38)*Org!$B$10*Org!$B$12/12,0)</f>
        <v>176</v>
      </c>
      <c r="P77" s="44">
        <f>P$5*IF(P$4&gt;=Teams!$E$80,P64/1000*IF(P$4-Teams!$E$80&lt;6,Params!$F$37,Params!$F$38)*Org!$B$10*Org!$B$12/12,0)</f>
        <v>176</v>
      </c>
      <c r="Q77" s="44">
        <f>Q$5*IF(Q$4&gt;=Teams!$E$80,Q64/1000*IF(Q$4-Teams!$E$80&lt;6,Params!$F$37,Params!$F$38)*Org!$B$10*Org!$B$12/12,0)</f>
        <v>176</v>
      </c>
      <c r="R77" s="44">
        <f>R$5*IF(R$4&gt;=Teams!$E$80,R64/1000*IF(R$4-Teams!$E$80&lt;6,Params!$F$37,Params!$F$38)*Org!$B$10*Org!$B$12/12,0)</f>
        <v>176</v>
      </c>
      <c r="S77" s="44">
        <f>S$5*IF(S$4&gt;=Teams!$E$80,S64/1000*IF(S$4-Teams!$E$80&lt;6,Params!$F$37,Params!$F$38)*Org!$B$10*Org!$B$12/12,0)</f>
        <v>176</v>
      </c>
      <c r="T77" s="44">
        <f>T$5*IF(T$4&gt;=Teams!$E$80,T64/1000*IF(T$4-Teams!$E$80&lt;6,Params!$F$37,Params!$F$38)*Org!$B$10*Org!$B$12/12,0)</f>
        <v>176</v>
      </c>
      <c r="U77" s="44">
        <f>U$5*IF(U$4&gt;=Teams!$E$80,U64/1000*IF(U$4-Teams!$E$80&lt;6,Params!$F$37,Params!$F$38)*Org!$B$10*Org!$B$12/12,0)</f>
        <v>176</v>
      </c>
      <c r="V77" s="44">
        <f>V$5*IF(V$4&gt;=Teams!$E$80,V64/1000*IF(V$4-Teams!$E$80&lt;6,Params!$F$37,Params!$F$38)*Org!$B$10*Org!$B$12/12,0)</f>
        <v>176</v>
      </c>
      <c r="W77" s="44">
        <f>W$5*IF(W$4&gt;=Teams!$E$80,W64/1000*IF(W$4-Teams!$E$80&lt;6,Params!$F$37,Params!$F$38)*Org!$B$10*Org!$B$12/12,0)</f>
        <v>176</v>
      </c>
      <c r="X77" s="44">
        <f>X$5*IF(X$4&gt;=Teams!$E$80,X64/1000*IF(X$4-Teams!$E$80&lt;6,Params!$F$37,Params!$F$38)*Org!$B$10*Org!$B$12/12,0)</f>
        <v>176</v>
      </c>
      <c r="Y77" s="44">
        <f>Y$5*IF(Y$4&gt;=Teams!$E$80,Y64/1000*IF(Y$4-Teams!$E$80&lt;6,Params!$F$37,Params!$F$38)*Org!$B$10*Org!$B$12/12,0)</f>
        <v>176</v>
      </c>
      <c r="Z77" s="44">
        <f>Z$5*IF(Z$4&gt;=Teams!$E$80,Z64/1000*IF(Z$4-Teams!$E$80&lt;6,Params!$F$37,Params!$F$38)*Org!$B$10*Org!$B$12/12,0)</f>
        <v>176</v>
      </c>
      <c r="AA77" s="44">
        <f>AA$5*IF(AA$4&gt;=Teams!$E$80,AA64/1000*IF(AA$4-Teams!$E$80&lt;6,Params!$F$37,Params!$F$38)*Org!$B$10*Org!$B$12/12,0)</f>
        <v>176</v>
      </c>
      <c r="AB77" s="44">
        <f>AB$5*IF(AB$4&gt;=Teams!$E$80,AB64/1000*IF(AB$4-Teams!$E$80&lt;6,Params!$F$37,Params!$F$38)*Org!$B$10*Org!$B$12/12,0)</f>
        <v>176</v>
      </c>
      <c r="AC77" s="44">
        <f>AC$5*IF(AC$4&gt;=Teams!$E$80,AC64/1000*IF(AC$4-Teams!$E$80&lt;6,Params!$F$37,Params!$F$38)*Org!$B$10*Org!$B$12/12,0)</f>
        <v>176</v>
      </c>
      <c r="AD77" s="44">
        <f>AD$5*IF(AD$4&gt;=Teams!$E$80,AD64/1000*IF(AD$4-Teams!$E$80&lt;6,Params!$F$37,Params!$F$38)*Org!$B$10*Org!$B$12/12,0)</f>
        <v>176</v>
      </c>
      <c r="AE77" s="44">
        <f>AE$5*IF(AE$4&gt;=Teams!$E$80,AE64/1000*IF(AE$4-Teams!$E$80&lt;6,Params!$F$37,Params!$F$38)*Org!$B$10*Org!$B$12/12,0)</f>
        <v>176</v>
      </c>
      <c r="AF77" s="44">
        <f>AF$5*IF(AF$4&gt;=Teams!$E$80,AF64/1000*IF(AF$4-Teams!$E$80&lt;6,Params!$F$37,Params!$F$38)*Org!$B$10*Org!$B$12/12,0)</f>
        <v>176</v>
      </c>
      <c r="AG77" s="44">
        <f>AG$5*IF(AG$4&gt;=Teams!$E$80,AG64/1000*IF(AG$4-Teams!$E$80&lt;6,Params!$F$37,Params!$F$38)*Org!$B$10*Org!$B$12/12,0)</f>
        <v>176</v>
      </c>
      <c r="AH77" s="44">
        <f>AH$5*IF(AH$4&gt;=Teams!$E$80,AH64/1000*IF(AH$4-Teams!$E$80&lt;6,Params!$F$37,Params!$F$38)*Org!$B$10*Org!$B$12/12,0)</f>
        <v>176</v>
      </c>
      <c r="AI77" s="44">
        <f>AI$5*IF(AI$4&gt;=Teams!$E$80,AI64/1000*IF(AI$4-Teams!$E$80&lt;6,Params!$F$37,Params!$F$38)*Org!$B$10*Org!$B$12/12,0)</f>
        <v>176</v>
      </c>
      <c r="AJ77" s="44">
        <f>AJ$5*IF(AJ$4&gt;=Teams!$E$80,AJ64/1000*IF(AJ$4-Teams!$E$80&lt;6,Params!$F$37,Params!$F$38)*Org!$B$10*Org!$B$12/12,0)</f>
        <v>176</v>
      </c>
      <c r="AK77" s="44">
        <f>AK$5*IF(AK$4&gt;=Teams!$E$80,AK64/1000*IF(AK$4-Teams!$E$80&lt;6,Params!$F$37,Params!$F$38)*Org!$B$10*Org!$B$12/12,0)</f>
        <v>176</v>
      </c>
      <c r="AL77" s="44">
        <f>AL$5*IF(AL$4&gt;=Teams!$E$80,AL64/1000*IF(AL$4-Teams!$E$80&lt;6,Params!$F$37,Params!$F$38)*Org!$B$10*Org!$B$12/12,0)</f>
        <v>176</v>
      </c>
      <c r="AM77" s="44">
        <f>AM$5*IF(AM$4&gt;=Teams!$E$80,AM64/1000*IF(AM$4-Teams!$E$80&lt;6,Params!$F$37,Params!$F$38)*Org!$B$10*Org!$B$12/12,0)</f>
        <v>176</v>
      </c>
      <c r="AN77" s="44">
        <f>AN$5*IF(AN$4&gt;=Teams!$E$80,AN64/1000*IF(AN$4-Teams!$E$80&lt;6,Params!$F$37,Params!$F$38)*Org!$B$10*Org!$B$12/12,0)</f>
        <v>176</v>
      </c>
      <c r="AO77" s="44">
        <f>AO$5*IF(AO$4&gt;=Teams!$E$80,AO64/1000*IF(AO$4-Teams!$E$80&lt;6,Params!$F$37,Params!$F$38)*Org!$B$10*Org!$B$12/12,0)</f>
        <v>0</v>
      </c>
      <c r="AP77" s="44">
        <f>AP$5*IF(AP$4&gt;=Teams!$E$80,AP64/1000*IF(AP$4-Teams!$E$80&lt;6,Params!$F$37,Params!$F$38)*Org!$B$10*Org!$B$12/12,0)</f>
        <v>0</v>
      </c>
      <c r="AQ77" s="44">
        <f>AQ$5*IF(AQ$4&gt;=Teams!$E$80,AQ64/1000*IF(AQ$4-Teams!$E$80&lt;6,Params!$F$37,Params!$F$38)*Org!$B$10*Org!$B$12/12,0)</f>
        <v>0</v>
      </c>
      <c r="AR77" s="44">
        <f>AR$5*IF(AR$4&gt;=Teams!$E$80,AR64/1000*IF(AR$4-Teams!$E$80&lt;6,Params!$F$37,Params!$F$38)*Org!$B$10*Org!$B$12/12,0)</f>
        <v>0</v>
      </c>
      <c r="AS77" s="44">
        <f>AS$5*IF(AS$4&gt;=Teams!$E$80,AS64/1000*IF(AS$4-Teams!$E$80&lt;6,Params!$F$37,Params!$F$38)*Org!$B$10*Org!$B$12/12,0)</f>
        <v>0</v>
      </c>
      <c r="AT77" s="44">
        <f>AT$5*IF(AT$4&gt;=Teams!$E$80,AT64/1000*IF(AT$4-Teams!$E$80&lt;6,Params!$F$37,Params!$F$38)*Org!$B$10*Org!$B$12/12,0)</f>
        <v>0</v>
      </c>
      <c r="AU77" s="44">
        <f>AU$5*IF(AU$4&gt;=Teams!$E$80,AU64/1000*IF(AU$4-Teams!$E$80&lt;6,Params!$F$37,Params!$F$38)*Org!$B$10*Org!$B$12/12,0)</f>
        <v>0</v>
      </c>
      <c r="AV77" s="44">
        <f>AV$5*IF(AV$4&gt;=Teams!$E$80,AV64/1000*IF(AV$4-Teams!$E$80&lt;6,Params!$F$37,Params!$F$38)*Org!$B$10*Org!$B$12/12,0)</f>
        <v>0</v>
      </c>
      <c r="AW77" s="44">
        <f>AW$5*IF(AW$4&gt;=Teams!$E$80,AW64/1000*IF(AW$4-Teams!$E$80&lt;6,Params!$F$37,Params!$F$38)*Org!$B$10*Org!$B$12/12,0)</f>
        <v>0</v>
      </c>
      <c r="AX77" s="44">
        <f>AX$5*IF(AX$4&gt;=Teams!$E$80,AX64/1000*IF(AX$4-Teams!$E$80&lt;6,Params!$F$37,Params!$F$38)*Org!$B$10*Org!$B$12/12,0)</f>
        <v>0</v>
      </c>
      <c r="AY77" s="44">
        <f>AY$5*IF(AY$4&gt;=Teams!$E$80,AY64/1000*IF(AY$4-Teams!$E$80&lt;6,Params!$F$37,Params!$F$38)*Org!$B$10*Org!$B$12/12,0)</f>
        <v>0</v>
      </c>
      <c r="AZ77" s="44">
        <f>AZ$5*IF(AZ$4&gt;=Teams!$E$80,AZ64/1000*IF(AZ$4-Teams!$E$80&lt;6,Params!$F$37,Params!$F$38)*Org!$B$10*Org!$B$12/12,0)</f>
        <v>0</v>
      </c>
      <c r="BA77" s="44">
        <f>BA$5*IF(BA$4&gt;=Teams!$E$80,BA64/1000*IF(BA$4-Teams!$E$80&lt;6,Params!$F$37,Params!$F$38)*Org!$B$10*Org!$B$12/12,0)</f>
        <v>0</v>
      </c>
      <c r="BB77" s="44">
        <f>BB$5*IF(BB$4&gt;=Teams!$E$80,BB64/1000*IF(BB$4-Teams!$E$80&lt;6,Params!$F$37,Params!$F$38)*Org!$B$10*Org!$B$12/12,0)</f>
        <v>0</v>
      </c>
      <c r="BC77" s="44">
        <f>BC$5*IF(BC$4&gt;=Teams!$E$80,BC64/1000*IF(BC$4-Teams!$E$80&lt;6,Params!$F$37,Params!$F$38)*Org!$B$10*Org!$B$12/12,0)</f>
        <v>0</v>
      </c>
      <c r="BD77" s="44">
        <f>BD$5*IF(BD$4&gt;=Teams!$E$80,BD64/1000*IF(BD$4-Teams!$E$80&lt;6,Params!$F$37,Params!$F$38)*Org!$B$10*Org!$B$12/12,0)</f>
        <v>0</v>
      </c>
      <c r="BE77" s="44">
        <f>BE$5*IF(BE$4&gt;=Teams!$E$80,BE64/1000*IF(BE$4-Teams!$E$80&lt;6,Params!$F$37,Params!$F$38)*Org!$B$10*Org!$B$12/12,0)</f>
        <v>0</v>
      </c>
      <c r="BF77" s="44">
        <f>BF$5*IF(BF$4&gt;=Teams!$E$80,BF64/1000*IF(BF$4-Teams!$E$80&lt;6,Params!$F$37,Params!$F$38)*Org!$B$10*Org!$B$12/12,0)</f>
        <v>0</v>
      </c>
      <c r="BG77" s="44">
        <f>BG$5*IF(BG$4&gt;=Teams!$E$80,BG64/1000*IF(BG$4-Teams!$E$80&lt;6,Params!$F$37,Params!$F$38)*Org!$B$10*Org!$B$12/12,0)</f>
        <v>0</v>
      </c>
      <c r="BH77" s="44">
        <f>BH$5*IF(BH$4&gt;=Teams!$E$80,BH64/1000*IF(BH$4-Teams!$E$80&lt;6,Params!$F$37,Params!$F$38)*Org!$B$10*Org!$B$12/12,0)</f>
        <v>0</v>
      </c>
      <c r="BI77" s="44">
        <f>BI$5*IF(BI$4&gt;=Teams!$E$80,BI64/1000*IF(BI$4-Teams!$E$80&lt;6,Params!$F$37,Params!$F$38)*Org!$B$10*Org!$B$12/12,0)</f>
        <v>0</v>
      </c>
      <c r="BJ77" s="44">
        <f>BJ$5*IF(BJ$4&gt;=Teams!$E$80,BJ64/1000*IF(BJ$4-Teams!$E$80&lt;6,Params!$F$37,Params!$F$38)*Org!$B$10*Org!$B$12/12,0)</f>
        <v>0</v>
      </c>
      <c r="BK77" s="44">
        <f>BK$5*IF(BK$4&gt;=Teams!$E$80,BK64/1000*IF(BK$4-Teams!$E$80&lt;6,Params!$F$37,Params!$F$38)*Org!$B$10*Org!$B$12/12,0)</f>
        <v>0</v>
      </c>
      <c r="BL77" s="44">
        <f>BL$5*IF(BL$4&gt;=Teams!$E$80,BL64/1000*IF(BL$4-Teams!$E$80&lt;6,Params!$F$37,Params!$F$38)*Org!$B$10*Org!$B$12/12,0)</f>
        <v>0</v>
      </c>
    </row>
    <row r="78" spans="1:64" x14ac:dyDescent="0.3">
      <c r="A78" s="8" t="s">
        <v>676</v>
      </c>
      <c r="B78" s="18" t="s">
        <v>169</v>
      </c>
      <c r="C78" s="44">
        <f t="shared" si="20"/>
        <v>83040</v>
      </c>
      <c r="D78" s="44">
        <f>Teams!$E$5*((Teams!$E$43*Params!$F$4+Teams!$E$44/100000*Params!$F$5+Teams!$E$43*Params!$F$6)*Org!$B$10)</f>
        <v>83040</v>
      </c>
    </row>
    <row r="79" spans="1:64" x14ac:dyDescent="0.3">
      <c r="A79" s="8" t="s">
        <v>677</v>
      </c>
      <c r="B79" s="18" t="s">
        <v>435</v>
      </c>
      <c r="C79" s="44">
        <f t="shared" si="20"/>
        <v>0</v>
      </c>
      <c r="D79" s="44">
        <f>Teams!$E$5*(Teams!$E$49*(Teams!$E$44*Teams!$E$45*Teams!$E$75+Teams!$E$44*Teams!$E$47*Teams!$E$76/1000000))</f>
        <v>0</v>
      </c>
    </row>
    <row r="80" spans="1:64" x14ac:dyDescent="0.3">
      <c r="A80" s="8" t="s">
        <v>678</v>
      </c>
      <c r="B80" s="18" t="s">
        <v>169</v>
      </c>
      <c r="C80" s="44">
        <f t="shared" si="20"/>
        <v>144000</v>
      </c>
      <c r="D80" s="44">
        <f>Teams!$E$5*((Params!$F$13+Params!$F$16)*Org!$B$10)</f>
        <v>144000</v>
      </c>
    </row>
    <row r="81" spans="1:64" x14ac:dyDescent="0.3">
      <c r="A81" s="8" t="s">
        <v>679</v>
      </c>
      <c r="B81" s="18" t="s">
        <v>169</v>
      </c>
      <c r="C81" s="44">
        <f t="shared" si="20"/>
        <v>61200</v>
      </c>
      <c r="D81" s="44">
        <f>Teams!$E$5*(Teams!$E$18*Teams!$E$19*Params!$F$34*(Org!$B$10/Org!$B$11))</f>
        <v>61200</v>
      </c>
    </row>
    <row r="82" spans="1:64" x14ac:dyDescent="0.3">
      <c r="A82" s="8" t="s">
        <v>11</v>
      </c>
      <c r="C82" s="44">
        <f t="shared" si="20"/>
        <v>2590672.5</v>
      </c>
      <c r="E82" s="44">
        <f>E$5*E66*Teams!$E$55/60*Teams!$E$56*INDEX(Params!$D$41:$F$41,Org!$B$17)*Teams!$E$57</f>
        <v>0</v>
      </c>
      <c r="F82" s="44">
        <f>F$5*F66*Teams!$E$55/60*Teams!$E$56*INDEX(Params!$D$41:$F$41,Org!$B$17)*Teams!$E$57</f>
        <v>5904.6666666666661</v>
      </c>
      <c r="G82" s="44">
        <f>G$5*G66*Teams!$E$55/60*Teams!$E$56*INDEX(Params!$D$41:$F$41,Org!$B$17)*Teams!$E$57</f>
        <v>20666.333333333332</v>
      </c>
      <c r="H82" s="44">
        <f>H$5*H66*Teams!$E$55/60*Teams!$E$56*INDEX(Params!$D$41:$F$41,Org!$B$17)*Teams!$E$57</f>
        <v>39856.5</v>
      </c>
      <c r="I82" s="44">
        <f>I$5*I66*Teams!$E$55/60*Teams!$E$56*INDEX(Params!$D$41:$F$41,Org!$B$17)*Teams!$E$57</f>
        <v>59046.666666666657</v>
      </c>
      <c r="J82" s="44">
        <f>J$5*J66*Teams!$E$55/60*Teams!$E$56*INDEX(Params!$D$41:$F$41,Org!$B$17)*Teams!$E$57</f>
        <v>73808.333333333343</v>
      </c>
      <c r="K82" s="44">
        <f>K$5*K66*Teams!$E$55/60*Teams!$E$56*INDEX(Params!$D$41:$F$41,Org!$B$17)*Teams!$E$57</f>
        <v>79713</v>
      </c>
      <c r="L82" s="44">
        <f>L$5*L66*Teams!$E$55/60*Teams!$E$56*INDEX(Params!$D$41:$F$41,Org!$B$17)*Teams!$E$57</f>
        <v>79713</v>
      </c>
      <c r="M82" s="44">
        <f>M$5*M66*Teams!$E$55/60*Teams!$E$56*INDEX(Params!$D$41:$F$41,Org!$B$17)*Teams!$E$57</f>
        <v>79713</v>
      </c>
      <c r="N82" s="44">
        <f>N$5*N66*Teams!$E$55/60*Teams!$E$56*INDEX(Params!$D$41:$F$41,Org!$B$17)*Teams!$E$57</f>
        <v>79713</v>
      </c>
      <c r="O82" s="44">
        <f>O$5*O66*Teams!$E$55/60*Teams!$E$56*INDEX(Params!$D$41:$F$41,Org!$B$17)*Teams!$E$57</f>
        <v>79713</v>
      </c>
      <c r="P82" s="44">
        <f>P$5*P66*Teams!$E$55/60*Teams!$E$56*INDEX(Params!$D$41:$F$41,Org!$B$17)*Teams!$E$57</f>
        <v>79713</v>
      </c>
      <c r="Q82" s="44">
        <f>Q$5*Q66*Teams!$E$55/60*Teams!$E$56*INDEX(Params!$D$41:$F$41,Org!$B$17)*Teams!$E$57</f>
        <v>79713</v>
      </c>
      <c r="R82" s="44">
        <f>R$5*R66*Teams!$E$55/60*Teams!$E$56*INDEX(Params!$D$41:$F$41,Org!$B$17)*Teams!$E$57</f>
        <v>79713</v>
      </c>
      <c r="S82" s="44">
        <f>S$5*S66*Teams!$E$55/60*Teams!$E$56*INDEX(Params!$D$41:$F$41,Org!$B$17)*Teams!$E$57</f>
        <v>79713</v>
      </c>
      <c r="T82" s="44">
        <f>T$5*T66*Teams!$E$55/60*Teams!$E$56*INDEX(Params!$D$41:$F$41,Org!$B$17)*Teams!$E$57</f>
        <v>79713</v>
      </c>
      <c r="U82" s="44">
        <f>U$5*U66*Teams!$E$55/60*Teams!$E$56*INDEX(Params!$D$41:$F$41,Org!$B$17)*Teams!$E$57</f>
        <v>79713</v>
      </c>
      <c r="V82" s="44">
        <f>V$5*V66*Teams!$E$55/60*Teams!$E$56*INDEX(Params!$D$41:$F$41,Org!$B$17)*Teams!$E$57</f>
        <v>79713</v>
      </c>
      <c r="W82" s="44">
        <f>W$5*W66*Teams!$E$55/60*Teams!$E$56*INDEX(Params!$D$41:$F$41,Org!$B$17)*Teams!$E$57</f>
        <v>79713</v>
      </c>
      <c r="X82" s="44">
        <f>X$5*X66*Teams!$E$55/60*Teams!$E$56*INDEX(Params!$D$41:$F$41,Org!$B$17)*Teams!$E$57</f>
        <v>79713</v>
      </c>
      <c r="Y82" s="44">
        <f>Y$5*Y66*Teams!$E$55/60*Teams!$E$56*INDEX(Params!$D$41:$F$41,Org!$B$17)*Teams!$E$57</f>
        <v>79713</v>
      </c>
      <c r="Z82" s="44">
        <f>Z$5*Z66*Teams!$E$55/60*Teams!$E$56*INDEX(Params!$D$41:$F$41,Org!$B$17)*Teams!$E$57</f>
        <v>79713</v>
      </c>
      <c r="AA82" s="44">
        <f>AA$5*AA66*Teams!$E$55/60*Teams!$E$56*INDEX(Params!$D$41:$F$41,Org!$B$17)*Teams!$E$57</f>
        <v>79713</v>
      </c>
      <c r="AB82" s="44">
        <f>AB$5*AB66*Teams!$E$55/60*Teams!$E$56*INDEX(Params!$D$41:$F$41,Org!$B$17)*Teams!$E$57</f>
        <v>79713</v>
      </c>
      <c r="AC82" s="44">
        <f>AC$5*AC66*Teams!$E$55/60*Teams!$E$56*INDEX(Params!$D$41:$F$41,Org!$B$17)*Teams!$E$57</f>
        <v>79713</v>
      </c>
      <c r="AD82" s="44">
        <f>AD$5*AD66*Teams!$E$55/60*Teams!$E$56*INDEX(Params!$D$41:$F$41,Org!$B$17)*Teams!$E$57</f>
        <v>79713</v>
      </c>
      <c r="AE82" s="44">
        <f>AE$5*AE66*Teams!$E$55/60*Teams!$E$56*INDEX(Params!$D$41:$F$41,Org!$B$17)*Teams!$E$57</f>
        <v>79713</v>
      </c>
      <c r="AF82" s="44">
        <f>AF$5*AF66*Teams!$E$55/60*Teams!$E$56*INDEX(Params!$D$41:$F$41,Org!$B$17)*Teams!$E$57</f>
        <v>79713</v>
      </c>
      <c r="AG82" s="44">
        <f>AG$5*AG66*Teams!$E$55/60*Teams!$E$56*INDEX(Params!$D$41:$F$41,Org!$B$17)*Teams!$E$57</f>
        <v>79713</v>
      </c>
      <c r="AH82" s="44">
        <f>AH$5*AH66*Teams!$E$55/60*Teams!$E$56*INDEX(Params!$D$41:$F$41,Org!$B$17)*Teams!$E$57</f>
        <v>79713</v>
      </c>
      <c r="AI82" s="44">
        <f>AI$5*AI66*Teams!$E$55/60*Teams!$E$56*INDEX(Params!$D$41:$F$41,Org!$B$17)*Teams!$E$57</f>
        <v>79713</v>
      </c>
      <c r="AJ82" s="44">
        <f>AJ$5*AJ66*Teams!$E$55/60*Teams!$E$56*INDEX(Params!$D$41:$F$41,Org!$B$17)*Teams!$E$57</f>
        <v>79713</v>
      </c>
      <c r="AK82" s="44">
        <f>AK$5*AK66*Teams!$E$55/60*Teams!$E$56*INDEX(Params!$D$41:$F$41,Org!$B$17)*Teams!$E$57</f>
        <v>79713</v>
      </c>
      <c r="AL82" s="44">
        <f>AL$5*AL66*Teams!$E$55/60*Teams!$E$56*INDEX(Params!$D$41:$F$41,Org!$B$17)*Teams!$E$57</f>
        <v>79713</v>
      </c>
      <c r="AM82" s="44">
        <f>AM$5*AM66*Teams!$E$55/60*Teams!$E$56*INDEX(Params!$D$41:$F$41,Org!$B$17)*Teams!$E$57</f>
        <v>79713</v>
      </c>
      <c r="AN82" s="44">
        <f>AN$5*AN66*Teams!$E$55/60*Teams!$E$56*INDEX(Params!$D$41:$F$41,Org!$B$17)*Teams!$E$57</f>
        <v>79713</v>
      </c>
      <c r="AO82" s="44">
        <f>AO$5*AO66*Teams!$E$55/60*Teams!$E$56*INDEX(Params!$D$41:$F$41,Org!$B$17)*Teams!$E$57</f>
        <v>0</v>
      </c>
      <c r="AP82" s="44">
        <f>AP$5*AP66*Teams!$E$55/60*Teams!$E$56*INDEX(Params!$D$41:$F$41,Org!$B$17)*Teams!$E$57</f>
        <v>0</v>
      </c>
      <c r="AQ82" s="44">
        <f>AQ$5*AQ66*Teams!$E$55/60*Teams!$E$56*INDEX(Params!$D$41:$F$41,Org!$B$17)*Teams!$E$57</f>
        <v>0</v>
      </c>
      <c r="AR82" s="44">
        <f>AR$5*AR66*Teams!$E$55/60*Teams!$E$56*INDEX(Params!$D$41:$F$41,Org!$B$17)*Teams!$E$57</f>
        <v>0</v>
      </c>
      <c r="AS82" s="44">
        <f>AS$5*AS66*Teams!$E$55/60*Teams!$E$56*INDEX(Params!$D$41:$F$41,Org!$B$17)*Teams!$E$57</f>
        <v>0</v>
      </c>
      <c r="AT82" s="44">
        <f>AT$5*AT66*Teams!$E$55/60*Teams!$E$56*INDEX(Params!$D$41:$F$41,Org!$B$17)*Teams!$E$57</f>
        <v>0</v>
      </c>
      <c r="AU82" s="44">
        <f>AU$5*AU66*Teams!$E$55/60*Teams!$E$56*INDEX(Params!$D$41:$F$41,Org!$B$17)*Teams!$E$57</f>
        <v>0</v>
      </c>
      <c r="AV82" s="44">
        <f>AV$5*AV66*Teams!$E$55/60*Teams!$E$56*INDEX(Params!$D$41:$F$41,Org!$B$17)*Teams!$E$57</f>
        <v>0</v>
      </c>
      <c r="AW82" s="44">
        <f>AW$5*AW66*Teams!$E$55/60*Teams!$E$56*INDEX(Params!$D$41:$F$41,Org!$B$17)*Teams!$E$57</f>
        <v>0</v>
      </c>
      <c r="AX82" s="44">
        <f>AX$5*AX66*Teams!$E$55/60*Teams!$E$56*INDEX(Params!$D$41:$F$41,Org!$B$17)*Teams!$E$57</f>
        <v>0</v>
      </c>
      <c r="AY82" s="44">
        <f>AY$5*AY66*Teams!$E$55/60*Teams!$E$56*INDEX(Params!$D$41:$F$41,Org!$B$17)*Teams!$E$57</f>
        <v>0</v>
      </c>
      <c r="AZ82" s="44">
        <f>AZ$5*AZ66*Teams!$E$55/60*Teams!$E$56*INDEX(Params!$D$41:$F$41,Org!$B$17)*Teams!$E$57</f>
        <v>0</v>
      </c>
      <c r="BA82" s="44">
        <f>BA$5*BA66*Teams!$E$55/60*Teams!$E$56*INDEX(Params!$D$41:$F$41,Org!$B$17)*Teams!$E$57</f>
        <v>0</v>
      </c>
      <c r="BB82" s="44">
        <f>BB$5*BB66*Teams!$E$55/60*Teams!$E$56*INDEX(Params!$D$41:$F$41,Org!$B$17)*Teams!$E$57</f>
        <v>0</v>
      </c>
      <c r="BC82" s="44">
        <f>BC$5*BC66*Teams!$E$55/60*Teams!$E$56*INDEX(Params!$D$41:$F$41,Org!$B$17)*Teams!$E$57</f>
        <v>0</v>
      </c>
      <c r="BD82" s="44">
        <f>BD$5*BD66*Teams!$E$55/60*Teams!$E$56*INDEX(Params!$D$41:$F$41,Org!$B$17)*Teams!$E$57</f>
        <v>0</v>
      </c>
      <c r="BE82" s="44">
        <f>BE$5*BE66*Teams!$E$55/60*Teams!$E$56*INDEX(Params!$D$41:$F$41,Org!$B$17)*Teams!$E$57</f>
        <v>0</v>
      </c>
      <c r="BF82" s="44">
        <f>BF$5*BF66*Teams!$E$55/60*Teams!$E$56*INDEX(Params!$D$41:$F$41,Org!$B$17)*Teams!$E$57</f>
        <v>0</v>
      </c>
      <c r="BG82" s="44">
        <f>BG$5*BG66*Teams!$E$55/60*Teams!$E$56*INDEX(Params!$D$41:$F$41,Org!$B$17)*Teams!$E$57</f>
        <v>0</v>
      </c>
      <c r="BH82" s="44">
        <f>BH$5*BH66*Teams!$E$55/60*Teams!$E$56*INDEX(Params!$D$41:$F$41,Org!$B$17)*Teams!$E$57</f>
        <v>0</v>
      </c>
      <c r="BI82" s="44">
        <f>BI$5*BI66*Teams!$E$55/60*Teams!$E$56*INDEX(Params!$D$41:$F$41,Org!$B$17)*Teams!$E$57</f>
        <v>0</v>
      </c>
      <c r="BJ82" s="44">
        <f>BJ$5*BJ66*Teams!$E$55/60*Teams!$E$56*INDEX(Params!$D$41:$F$41,Org!$B$17)*Teams!$E$57</f>
        <v>0</v>
      </c>
      <c r="BK82" s="44">
        <f>BK$5*BK66*Teams!$E$55/60*Teams!$E$56*INDEX(Params!$D$41:$F$41,Org!$B$17)*Teams!$E$57</f>
        <v>0</v>
      </c>
      <c r="BL82" s="44">
        <f>BL$5*BL66*Teams!$E$55/60*Teams!$E$56*INDEX(Params!$D$41:$F$41,Org!$B$17)*Teams!$E$57</f>
        <v>0</v>
      </c>
    </row>
    <row r="83" spans="1:64" x14ac:dyDescent="0.3">
      <c r="A83" s="8" t="s">
        <v>701</v>
      </c>
      <c r="C83" s="44">
        <f t="shared" si="20"/>
        <v>4159470.6666666688</v>
      </c>
      <c r="D83" s="44">
        <f t="shared" ref="D83:AI83" si="21">SUM(D67:D81)</f>
        <v>288240</v>
      </c>
      <c r="E83" s="44">
        <f t="shared" si="21"/>
        <v>0</v>
      </c>
      <c r="F83" s="44">
        <f t="shared" si="21"/>
        <v>43220.666666666664</v>
      </c>
      <c r="G83" s="44">
        <f t="shared" si="21"/>
        <v>57613.999999999993</v>
      </c>
      <c r="H83" s="44">
        <f t="shared" si="21"/>
        <v>76325.333333333328</v>
      </c>
      <c r="I83" s="44">
        <f t="shared" si="21"/>
        <v>95036.666666666672</v>
      </c>
      <c r="J83" s="44">
        <f t="shared" si="21"/>
        <v>109430</v>
      </c>
      <c r="K83" s="44">
        <f t="shared" si="21"/>
        <v>115187.33333333333</v>
      </c>
      <c r="L83" s="44">
        <f t="shared" si="21"/>
        <v>114483.33333333333</v>
      </c>
      <c r="M83" s="44">
        <f t="shared" si="21"/>
        <v>114483.33333333333</v>
      </c>
      <c r="N83" s="44">
        <f t="shared" si="21"/>
        <v>114483.33333333333</v>
      </c>
      <c r="O83" s="44">
        <f t="shared" si="21"/>
        <v>114483.33333333333</v>
      </c>
      <c r="P83" s="44">
        <f t="shared" si="21"/>
        <v>114483.33333333333</v>
      </c>
      <c r="Q83" s="44">
        <f t="shared" si="21"/>
        <v>114483.33333333333</v>
      </c>
      <c r="R83" s="44">
        <f t="shared" si="21"/>
        <v>141683.33333333331</v>
      </c>
      <c r="S83" s="44">
        <f t="shared" si="21"/>
        <v>114483.33333333333</v>
      </c>
      <c r="T83" s="44">
        <f t="shared" si="21"/>
        <v>114483.33333333333</v>
      </c>
      <c r="U83" s="44">
        <f t="shared" si="21"/>
        <v>114483.33333333333</v>
      </c>
      <c r="V83" s="44">
        <f t="shared" si="21"/>
        <v>114483.33333333333</v>
      </c>
      <c r="W83" s="44">
        <f t="shared" si="21"/>
        <v>114483.33333333333</v>
      </c>
      <c r="X83" s="44">
        <f t="shared" si="21"/>
        <v>114483.33333333333</v>
      </c>
      <c r="Y83" s="44">
        <f t="shared" si="21"/>
        <v>114483.33333333333</v>
      </c>
      <c r="Z83" s="44">
        <f t="shared" si="21"/>
        <v>114483.33333333333</v>
      </c>
      <c r="AA83" s="44">
        <f t="shared" si="21"/>
        <v>114483.33333333333</v>
      </c>
      <c r="AB83" s="44">
        <f t="shared" si="21"/>
        <v>114483.33333333333</v>
      </c>
      <c r="AC83" s="44">
        <f t="shared" si="21"/>
        <v>114483.33333333333</v>
      </c>
      <c r="AD83" s="44">
        <f t="shared" si="21"/>
        <v>141683.33333333331</v>
      </c>
      <c r="AE83" s="44">
        <f t="shared" si="21"/>
        <v>114483.33333333333</v>
      </c>
      <c r="AF83" s="44">
        <f t="shared" si="21"/>
        <v>114483.33333333333</v>
      </c>
      <c r="AG83" s="44">
        <f t="shared" si="21"/>
        <v>114483.33333333333</v>
      </c>
      <c r="AH83" s="44">
        <f t="shared" si="21"/>
        <v>114483.33333333333</v>
      </c>
      <c r="AI83" s="44">
        <f t="shared" si="21"/>
        <v>114483.33333333333</v>
      </c>
      <c r="AJ83" s="44">
        <f t="shared" ref="AJ83:BL83" si="22">SUM(AJ67:AJ81)</f>
        <v>114483.33333333333</v>
      </c>
      <c r="AK83" s="44">
        <f t="shared" si="22"/>
        <v>114483.33333333333</v>
      </c>
      <c r="AL83" s="44">
        <f t="shared" si="22"/>
        <v>114483.33333333333</v>
      </c>
      <c r="AM83" s="44">
        <f t="shared" si="22"/>
        <v>114483.33333333333</v>
      </c>
      <c r="AN83" s="44">
        <f t="shared" si="22"/>
        <v>114483.33333333333</v>
      </c>
      <c r="AO83" s="44">
        <f t="shared" si="22"/>
        <v>0</v>
      </c>
      <c r="AP83" s="44">
        <f t="shared" si="22"/>
        <v>0</v>
      </c>
      <c r="AQ83" s="44">
        <f t="shared" si="22"/>
        <v>0</v>
      </c>
      <c r="AR83" s="44">
        <f t="shared" si="22"/>
        <v>0</v>
      </c>
      <c r="AS83" s="44">
        <f t="shared" si="22"/>
        <v>0</v>
      </c>
      <c r="AT83" s="44">
        <f t="shared" si="22"/>
        <v>0</v>
      </c>
      <c r="AU83" s="44">
        <f t="shared" si="22"/>
        <v>0</v>
      </c>
      <c r="AV83" s="44">
        <f t="shared" si="22"/>
        <v>0</v>
      </c>
      <c r="AW83" s="44">
        <f t="shared" si="22"/>
        <v>0</v>
      </c>
      <c r="AX83" s="44">
        <f t="shared" si="22"/>
        <v>0</v>
      </c>
      <c r="AY83" s="44">
        <f t="shared" si="22"/>
        <v>0</v>
      </c>
      <c r="AZ83" s="44">
        <f t="shared" si="22"/>
        <v>0</v>
      </c>
      <c r="BA83" s="44">
        <f t="shared" si="22"/>
        <v>0</v>
      </c>
      <c r="BB83" s="44">
        <f t="shared" si="22"/>
        <v>0</v>
      </c>
      <c r="BC83" s="44">
        <f t="shared" si="22"/>
        <v>0</v>
      </c>
      <c r="BD83" s="44">
        <f t="shared" si="22"/>
        <v>0</v>
      </c>
      <c r="BE83" s="44">
        <f t="shared" si="22"/>
        <v>0</v>
      </c>
      <c r="BF83" s="44">
        <f t="shared" si="22"/>
        <v>0</v>
      </c>
      <c r="BG83" s="44">
        <f t="shared" si="22"/>
        <v>0</v>
      </c>
      <c r="BH83" s="44">
        <f t="shared" si="22"/>
        <v>0</v>
      </c>
      <c r="BI83" s="44">
        <f t="shared" si="22"/>
        <v>0</v>
      </c>
      <c r="BJ83" s="44">
        <f t="shared" si="22"/>
        <v>0</v>
      </c>
      <c r="BK83" s="44">
        <f t="shared" si="22"/>
        <v>0</v>
      </c>
      <c r="BL83" s="44">
        <f t="shared" si="22"/>
        <v>0</v>
      </c>
    </row>
    <row r="84" spans="1:64" x14ac:dyDescent="0.3">
      <c r="A84" s="8" t="s">
        <v>702</v>
      </c>
      <c r="C84" s="44">
        <f t="shared" si="20"/>
        <v>977464.88525993528</v>
      </c>
      <c r="D84" s="44">
        <f t="shared" ref="D84:AI84" si="23">$D$169*D158</f>
        <v>66341.816745135482</v>
      </c>
      <c r="E84" s="44">
        <f t="shared" si="23"/>
        <v>25296.470000768226</v>
      </c>
      <c r="F84" s="44">
        <f t="shared" si="23"/>
        <v>25299.393162299366</v>
      </c>
      <c r="G84" s="44">
        <f t="shared" si="23"/>
        <v>25302.990649638872</v>
      </c>
      <c r="H84" s="44">
        <f t="shared" si="23"/>
        <v>25306.760909140794</v>
      </c>
      <c r="I84" s="44">
        <f t="shared" si="23"/>
        <v>25308.759405563665</v>
      </c>
      <c r="J84" s="44">
        <f t="shared" si="23"/>
        <v>25309.78087868002</v>
      </c>
      <c r="K84" s="44">
        <f t="shared" si="23"/>
        <v>25309.963783623614</v>
      </c>
      <c r="L84" s="44">
        <f t="shared" si="23"/>
        <v>25309.963783623614</v>
      </c>
      <c r="M84" s="44">
        <f t="shared" si="23"/>
        <v>25309.963783623614</v>
      </c>
      <c r="N84" s="44">
        <f t="shared" si="23"/>
        <v>25309.963783623614</v>
      </c>
      <c r="O84" s="44">
        <f t="shared" si="23"/>
        <v>25309.963783623614</v>
      </c>
      <c r="P84" s="44">
        <f t="shared" si="23"/>
        <v>25309.963783623614</v>
      </c>
      <c r="Q84" s="44">
        <f t="shared" si="23"/>
        <v>25309.963783623614</v>
      </c>
      <c r="R84" s="44">
        <f t="shared" si="23"/>
        <v>25309.963783623614</v>
      </c>
      <c r="S84" s="44">
        <f t="shared" si="23"/>
        <v>25309.963783623614</v>
      </c>
      <c r="T84" s="44">
        <f t="shared" si="23"/>
        <v>25309.963783623614</v>
      </c>
      <c r="U84" s="44">
        <f t="shared" si="23"/>
        <v>25309.963783623614</v>
      </c>
      <c r="V84" s="44">
        <f t="shared" si="23"/>
        <v>25309.963783623614</v>
      </c>
      <c r="W84" s="44">
        <f t="shared" si="23"/>
        <v>25309.963783623614</v>
      </c>
      <c r="X84" s="44">
        <f t="shared" si="23"/>
        <v>25309.963783623614</v>
      </c>
      <c r="Y84" s="44">
        <f t="shared" si="23"/>
        <v>25309.963783623614</v>
      </c>
      <c r="Z84" s="44">
        <f t="shared" si="23"/>
        <v>25309.963783623614</v>
      </c>
      <c r="AA84" s="44">
        <f t="shared" si="23"/>
        <v>25309.963783623614</v>
      </c>
      <c r="AB84" s="44">
        <f t="shared" si="23"/>
        <v>25309.963783623614</v>
      </c>
      <c r="AC84" s="44">
        <f t="shared" si="23"/>
        <v>25309.963783623614</v>
      </c>
      <c r="AD84" s="44">
        <f t="shared" si="23"/>
        <v>25309.963783623614</v>
      </c>
      <c r="AE84" s="44">
        <f t="shared" si="23"/>
        <v>25309.963783623614</v>
      </c>
      <c r="AF84" s="44">
        <f t="shared" si="23"/>
        <v>25309.963783623614</v>
      </c>
      <c r="AG84" s="44">
        <f t="shared" si="23"/>
        <v>25309.963783623614</v>
      </c>
      <c r="AH84" s="44">
        <f t="shared" si="23"/>
        <v>25309.963783623614</v>
      </c>
      <c r="AI84" s="44">
        <f t="shared" si="23"/>
        <v>25309.963783623614</v>
      </c>
      <c r="AJ84" s="44">
        <f t="shared" ref="AJ84:BL84" si="24">$D$169*AJ158</f>
        <v>25309.963783623614</v>
      </c>
      <c r="AK84" s="44">
        <f t="shared" si="24"/>
        <v>25309.963783623614</v>
      </c>
      <c r="AL84" s="44">
        <f t="shared" si="24"/>
        <v>25309.963783623614</v>
      </c>
      <c r="AM84" s="44">
        <f t="shared" si="24"/>
        <v>25309.963783623614</v>
      </c>
      <c r="AN84" s="44">
        <f t="shared" si="24"/>
        <v>25309.963783623614</v>
      </c>
      <c r="AO84" s="44">
        <f t="shared" si="24"/>
        <v>0</v>
      </c>
      <c r="AP84" s="44">
        <f t="shared" si="24"/>
        <v>0</v>
      </c>
      <c r="AQ84" s="44">
        <f t="shared" si="24"/>
        <v>0</v>
      </c>
      <c r="AR84" s="44">
        <f t="shared" si="24"/>
        <v>0</v>
      </c>
      <c r="AS84" s="44">
        <f t="shared" si="24"/>
        <v>0</v>
      </c>
      <c r="AT84" s="44">
        <f t="shared" si="24"/>
        <v>0</v>
      </c>
      <c r="AU84" s="44">
        <f t="shared" si="24"/>
        <v>0</v>
      </c>
      <c r="AV84" s="44">
        <f t="shared" si="24"/>
        <v>0</v>
      </c>
      <c r="AW84" s="44">
        <f t="shared" si="24"/>
        <v>0</v>
      </c>
      <c r="AX84" s="44">
        <f t="shared" si="24"/>
        <v>0</v>
      </c>
      <c r="AY84" s="44">
        <f t="shared" si="24"/>
        <v>0</v>
      </c>
      <c r="AZ84" s="44">
        <f t="shared" si="24"/>
        <v>0</v>
      </c>
      <c r="BA84" s="44">
        <f t="shared" si="24"/>
        <v>0</v>
      </c>
      <c r="BB84" s="44">
        <f t="shared" si="24"/>
        <v>0</v>
      </c>
      <c r="BC84" s="44">
        <f t="shared" si="24"/>
        <v>0</v>
      </c>
      <c r="BD84" s="44">
        <f t="shared" si="24"/>
        <v>0</v>
      </c>
      <c r="BE84" s="44">
        <f t="shared" si="24"/>
        <v>0</v>
      </c>
      <c r="BF84" s="44">
        <f t="shared" si="24"/>
        <v>0</v>
      </c>
      <c r="BG84" s="44">
        <f t="shared" si="24"/>
        <v>0</v>
      </c>
      <c r="BH84" s="44">
        <f t="shared" si="24"/>
        <v>0</v>
      </c>
      <c r="BI84" s="44">
        <f t="shared" si="24"/>
        <v>0</v>
      </c>
      <c r="BJ84" s="44">
        <f t="shared" si="24"/>
        <v>0</v>
      </c>
      <c r="BK84" s="44">
        <f t="shared" si="24"/>
        <v>0</v>
      </c>
      <c r="BL84" s="44">
        <f t="shared" si="24"/>
        <v>0</v>
      </c>
    </row>
    <row r="85" spans="1:64" x14ac:dyDescent="0.3">
      <c r="A85" s="8" t="s">
        <v>1012</v>
      </c>
      <c r="C85" s="44">
        <f t="shared" si="20"/>
        <v>-2546263.0519266021</v>
      </c>
      <c r="D85" s="44">
        <f t="shared" ref="D85:AI85" si="25">D82-D83-D84</f>
        <v>-354581.81674513547</v>
      </c>
      <c r="E85" s="44">
        <f t="shared" si="25"/>
        <v>-25296.470000768226</v>
      </c>
      <c r="F85" s="44">
        <f t="shared" si="25"/>
        <v>-62615.39316229937</v>
      </c>
      <c r="G85" s="44">
        <f t="shared" si="25"/>
        <v>-62250.657316305529</v>
      </c>
      <c r="H85" s="44">
        <f t="shared" si="25"/>
        <v>-61775.594242474122</v>
      </c>
      <c r="I85" s="44">
        <f t="shared" si="25"/>
        <v>-61298.75940556368</v>
      </c>
      <c r="J85" s="44">
        <f t="shared" si="25"/>
        <v>-60931.447545346673</v>
      </c>
      <c r="K85" s="44">
        <f t="shared" si="25"/>
        <v>-60784.297116956943</v>
      </c>
      <c r="L85" s="44">
        <f t="shared" si="25"/>
        <v>-60080.297116956943</v>
      </c>
      <c r="M85" s="44">
        <f t="shared" si="25"/>
        <v>-60080.297116956943</v>
      </c>
      <c r="N85" s="44">
        <f t="shared" si="25"/>
        <v>-60080.297116956943</v>
      </c>
      <c r="O85" s="44">
        <f t="shared" si="25"/>
        <v>-60080.297116956943</v>
      </c>
      <c r="P85" s="44">
        <f t="shared" si="25"/>
        <v>-60080.297116956943</v>
      </c>
      <c r="Q85" s="44">
        <f t="shared" si="25"/>
        <v>-60080.297116956943</v>
      </c>
      <c r="R85" s="44">
        <f t="shared" si="25"/>
        <v>-87280.297116956935</v>
      </c>
      <c r="S85" s="44">
        <f t="shared" si="25"/>
        <v>-60080.297116956943</v>
      </c>
      <c r="T85" s="44">
        <f t="shared" si="25"/>
        <v>-60080.297116956943</v>
      </c>
      <c r="U85" s="44">
        <f t="shared" si="25"/>
        <v>-60080.297116956943</v>
      </c>
      <c r="V85" s="44">
        <f t="shared" si="25"/>
        <v>-60080.297116956943</v>
      </c>
      <c r="W85" s="44">
        <f t="shared" si="25"/>
        <v>-60080.297116956943</v>
      </c>
      <c r="X85" s="44">
        <f t="shared" si="25"/>
        <v>-60080.297116956943</v>
      </c>
      <c r="Y85" s="44">
        <f t="shared" si="25"/>
        <v>-60080.297116956943</v>
      </c>
      <c r="Z85" s="44">
        <f t="shared" si="25"/>
        <v>-60080.297116956943</v>
      </c>
      <c r="AA85" s="44">
        <f t="shared" si="25"/>
        <v>-60080.297116956943</v>
      </c>
      <c r="AB85" s="44">
        <f t="shared" si="25"/>
        <v>-60080.297116956943</v>
      </c>
      <c r="AC85" s="44">
        <f t="shared" si="25"/>
        <v>-60080.297116956943</v>
      </c>
      <c r="AD85" s="44">
        <f t="shared" si="25"/>
        <v>-87280.297116956935</v>
      </c>
      <c r="AE85" s="44">
        <f t="shared" si="25"/>
        <v>-60080.297116956943</v>
      </c>
      <c r="AF85" s="44">
        <f t="shared" si="25"/>
        <v>-60080.297116956943</v>
      </c>
      <c r="AG85" s="44">
        <f t="shared" si="25"/>
        <v>-60080.297116956943</v>
      </c>
      <c r="AH85" s="44">
        <f t="shared" si="25"/>
        <v>-60080.297116956943</v>
      </c>
      <c r="AI85" s="44">
        <f t="shared" si="25"/>
        <v>-60080.297116956943</v>
      </c>
      <c r="AJ85" s="44">
        <f t="shared" ref="AJ85:BO85" si="26">AJ82-AJ83-AJ84</f>
        <v>-60080.297116956943</v>
      </c>
      <c r="AK85" s="44">
        <f t="shared" si="26"/>
        <v>-60080.297116956943</v>
      </c>
      <c r="AL85" s="44">
        <f t="shared" si="26"/>
        <v>-60080.297116956943</v>
      </c>
      <c r="AM85" s="44">
        <f t="shared" si="26"/>
        <v>-60080.297116956943</v>
      </c>
      <c r="AN85" s="44">
        <f t="shared" si="26"/>
        <v>-60080.297116956943</v>
      </c>
      <c r="AO85" s="44">
        <f t="shared" si="26"/>
        <v>0</v>
      </c>
      <c r="AP85" s="44">
        <f t="shared" si="26"/>
        <v>0</v>
      </c>
      <c r="AQ85" s="44">
        <f t="shared" si="26"/>
        <v>0</v>
      </c>
      <c r="AR85" s="44">
        <f t="shared" si="26"/>
        <v>0</v>
      </c>
      <c r="AS85" s="44">
        <f t="shared" si="26"/>
        <v>0</v>
      </c>
      <c r="AT85" s="44">
        <f t="shared" si="26"/>
        <v>0</v>
      </c>
      <c r="AU85" s="44">
        <f t="shared" si="26"/>
        <v>0</v>
      </c>
      <c r="AV85" s="44">
        <f t="shared" si="26"/>
        <v>0</v>
      </c>
      <c r="AW85" s="44">
        <f t="shared" si="26"/>
        <v>0</v>
      </c>
      <c r="AX85" s="44">
        <f t="shared" si="26"/>
        <v>0</v>
      </c>
      <c r="AY85" s="44">
        <f t="shared" si="26"/>
        <v>0</v>
      </c>
      <c r="AZ85" s="44">
        <f t="shared" si="26"/>
        <v>0</v>
      </c>
      <c r="BA85" s="44">
        <f t="shared" si="26"/>
        <v>0</v>
      </c>
      <c r="BB85" s="44">
        <f t="shared" si="26"/>
        <v>0</v>
      </c>
      <c r="BC85" s="44">
        <f t="shared" si="26"/>
        <v>0</v>
      </c>
      <c r="BD85" s="44">
        <f t="shared" si="26"/>
        <v>0</v>
      </c>
      <c r="BE85" s="44">
        <f t="shared" si="26"/>
        <v>0</v>
      </c>
      <c r="BF85" s="44">
        <f t="shared" si="26"/>
        <v>0</v>
      </c>
      <c r="BG85" s="44">
        <f t="shared" si="26"/>
        <v>0</v>
      </c>
      <c r="BH85" s="44">
        <f t="shared" si="26"/>
        <v>0</v>
      </c>
      <c r="BI85" s="44">
        <f t="shared" si="26"/>
        <v>0</v>
      </c>
      <c r="BJ85" s="44">
        <f t="shared" si="26"/>
        <v>0</v>
      </c>
      <c r="BK85" s="44">
        <f t="shared" si="26"/>
        <v>0</v>
      </c>
      <c r="BL85" s="44">
        <f t="shared" si="26"/>
        <v>0</v>
      </c>
    </row>
    <row r="86" spans="1:64" x14ac:dyDescent="0.3">
      <c r="A86" s="8" t="s">
        <v>1013</v>
      </c>
      <c r="D86" s="44">
        <f>D85</f>
        <v>-354581.81674513547</v>
      </c>
      <c r="E86" s="44">
        <f t="shared" ref="E86:AJ86" si="27">D86+E85</f>
        <v>-379878.28674590366</v>
      </c>
      <c r="F86" s="44">
        <f t="shared" si="27"/>
        <v>-442493.67990820302</v>
      </c>
      <c r="G86" s="44">
        <f t="shared" si="27"/>
        <v>-504744.33722450852</v>
      </c>
      <c r="H86" s="44">
        <f t="shared" si="27"/>
        <v>-566519.9314669827</v>
      </c>
      <c r="I86" s="44">
        <f t="shared" si="27"/>
        <v>-627818.6908725464</v>
      </c>
      <c r="J86" s="44">
        <f t="shared" si="27"/>
        <v>-688750.13841789309</v>
      </c>
      <c r="K86" s="44">
        <f t="shared" si="27"/>
        <v>-749534.43553485</v>
      </c>
      <c r="L86" s="44">
        <f t="shared" si="27"/>
        <v>-809614.7326518069</v>
      </c>
      <c r="M86" s="44">
        <f t="shared" si="27"/>
        <v>-869695.02976876381</v>
      </c>
      <c r="N86" s="44">
        <f t="shared" si="27"/>
        <v>-929775.32688572071</v>
      </c>
      <c r="O86" s="44">
        <f t="shared" si="27"/>
        <v>-989855.62400267762</v>
      </c>
      <c r="P86" s="44">
        <f t="shared" si="27"/>
        <v>-1049935.9211196345</v>
      </c>
      <c r="Q86" s="44">
        <f t="shared" si="27"/>
        <v>-1110016.2182365914</v>
      </c>
      <c r="R86" s="44">
        <f t="shared" si="27"/>
        <v>-1197296.5153535483</v>
      </c>
      <c r="S86" s="44">
        <f t="shared" si="27"/>
        <v>-1257376.8124705052</v>
      </c>
      <c r="T86" s="44">
        <f t="shared" si="27"/>
        <v>-1317457.1095874622</v>
      </c>
      <c r="U86" s="44">
        <f t="shared" si="27"/>
        <v>-1377537.4067044191</v>
      </c>
      <c r="V86" s="44">
        <f t="shared" si="27"/>
        <v>-1437617.703821376</v>
      </c>
      <c r="W86" s="44">
        <f t="shared" si="27"/>
        <v>-1497698.0009383329</v>
      </c>
      <c r="X86" s="44">
        <f t="shared" si="27"/>
        <v>-1557778.2980552898</v>
      </c>
      <c r="Y86" s="44">
        <f t="shared" si="27"/>
        <v>-1617858.5951722467</v>
      </c>
      <c r="Z86" s="44">
        <f t="shared" si="27"/>
        <v>-1677938.8922892036</v>
      </c>
      <c r="AA86" s="44">
        <f t="shared" si="27"/>
        <v>-1738019.1894061605</v>
      </c>
      <c r="AB86" s="44">
        <f t="shared" si="27"/>
        <v>-1798099.4865231174</v>
      </c>
      <c r="AC86" s="44">
        <f t="shared" si="27"/>
        <v>-1858179.7836400743</v>
      </c>
      <c r="AD86" s="44">
        <f t="shared" si="27"/>
        <v>-1945460.0807570312</v>
      </c>
      <c r="AE86" s="44">
        <f t="shared" si="27"/>
        <v>-2005540.3778739881</v>
      </c>
      <c r="AF86" s="44">
        <f t="shared" si="27"/>
        <v>-2065620.674990945</v>
      </c>
      <c r="AG86" s="44">
        <f t="shared" si="27"/>
        <v>-2125700.9721079022</v>
      </c>
      <c r="AH86" s="44">
        <f t="shared" si="27"/>
        <v>-2185781.2692248593</v>
      </c>
      <c r="AI86" s="44">
        <f t="shared" si="27"/>
        <v>-2245861.5663418164</v>
      </c>
      <c r="AJ86" s="44">
        <f t="shared" si="27"/>
        <v>-2305941.8634587736</v>
      </c>
      <c r="AK86" s="44">
        <f t="shared" ref="AK86:BP86" si="28">AJ86+AK85</f>
        <v>-2366022.1605757307</v>
      </c>
      <c r="AL86" s="44">
        <f t="shared" si="28"/>
        <v>-2426102.4576926879</v>
      </c>
      <c r="AM86" s="44">
        <f t="shared" si="28"/>
        <v>-2486182.754809645</v>
      </c>
      <c r="AN86" s="44">
        <f t="shared" si="28"/>
        <v>-2546263.0519266021</v>
      </c>
      <c r="AO86" s="44">
        <f t="shared" si="28"/>
        <v>-2546263.0519266021</v>
      </c>
      <c r="AP86" s="44">
        <f t="shared" si="28"/>
        <v>-2546263.0519266021</v>
      </c>
      <c r="AQ86" s="44">
        <f t="shared" si="28"/>
        <v>-2546263.0519266021</v>
      </c>
      <c r="AR86" s="44">
        <f t="shared" si="28"/>
        <v>-2546263.0519266021</v>
      </c>
      <c r="AS86" s="44">
        <f t="shared" si="28"/>
        <v>-2546263.0519266021</v>
      </c>
      <c r="AT86" s="44">
        <f t="shared" si="28"/>
        <v>-2546263.0519266021</v>
      </c>
      <c r="AU86" s="44">
        <f t="shared" si="28"/>
        <v>-2546263.0519266021</v>
      </c>
      <c r="AV86" s="44">
        <f t="shared" si="28"/>
        <v>-2546263.0519266021</v>
      </c>
      <c r="AW86" s="44">
        <f t="shared" si="28"/>
        <v>-2546263.0519266021</v>
      </c>
      <c r="AX86" s="44">
        <f t="shared" si="28"/>
        <v>-2546263.0519266021</v>
      </c>
      <c r="AY86" s="44">
        <f t="shared" si="28"/>
        <v>-2546263.0519266021</v>
      </c>
      <c r="AZ86" s="44">
        <f t="shared" si="28"/>
        <v>-2546263.0519266021</v>
      </c>
      <c r="BA86" s="44">
        <f t="shared" si="28"/>
        <v>-2546263.0519266021</v>
      </c>
      <c r="BB86" s="44">
        <f t="shared" si="28"/>
        <v>-2546263.0519266021</v>
      </c>
      <c r="BC86" s="44">
        <f t="shared" si="28"/>
        <v>-2546263.0519266021</v>
      </c>
      <c r="BD86" s="44">
        <f t="shared" si="28"/>
        <v>-2546263.0519266021</v>
      </c>
      <c r="BE86" s="44">
        <f t="shared" si="28"/>
        <v>-2546263.0519266021</v>
      </c>
      <c r="BF86" s="44">
        <f t="shared" si="28"/>
        <v>-2546263.0519266021</v>
      </c>
      <c r="BG86" s="44">
        <f t="shared" si="28"/>
        <v>-2546263.0519266021</v>
      </c>
      <c r="BH86" s="44">
        <f t="shared" si="28"/>
        <v>-2546263.0519266021</v>
      </c>
      <c r="BI86" s="44">
        <f t="shared" si="28"/>
        <v>-2546263.0519266021</v>
      </c>
      <c r="BJ86" s="44">
        <f t="shared" si="28"/>
        <v>-2546263.0519266021</v>
      </c>
      <c r="BK86" s="44">
        <f t="shared" si="28"/>
        <v>-2546263.0519266021</v>
      </c>
      <c r="BL86" s="44">
        <f t="shared" si="28"/>
        <v>-2546263.0519266021</v>
      </c>
    </row>
    <row r="87" spans="1:64" x14ac:dyDescent="0.3">
      <c r="A87" s="8" t="s">
        <v>1014</v>
      </c>
      <c r="C87" s="22" t="str">
        <f>IF(COUNT(E87:BL87)=0,"None",MIN(E87:BL87))</f>
        <v>None</v>
      </c>
      <c r="E87" s="22" t="str">
        <f>IF(AND(E$4&lt;=Org!$B$5,E86&gt;=0),E$4,"")</f>
        <v/>
      </c>
      <c r="F87" s="22" t="str">
        <f>IF(AND(F$4&lt;=Org!$B$5,F86&gt;=0),F$4,"")</f>
        <v/>
      </c>
      <c r="G87" s="22" t="str">
        <f>IF(AND(G$4&lt;=Org!$B$5,G86&gt;=0),G$4,"")</f>
        <v/>
      </c>
      <c r="H87" s="22" t="str">
        <f>IF(AND(H$4&lt;=Org!$B$5,H86&gt;=0),H$4,"")</f>
        <v/>
      </c>
      <c r="I87" s="22" t="str">
        <f>IF(AND(I$4&lt;=Org!$B$5,I86&gt;=0),I$4,"")</f>
        <v/>
      </c>
      <c r="J87" s="22" t="str">
        <f>IF(AND(J$4&lt;=Org!$B$5,J86&gt;=0),J$4,"")</f>
        <v/>
      </c>
      <c r="K87" s="22" t="str">
        <f>IF(AND(K$4&lt;=Org!$B$5,K86&gt;=0),K$4,"")</f>
        <v/>
      </c>
      <c r="L87" s="22" t="str">
        <f>IF(AND(L$4&lt;=Org!$B$5,L86&gt;=0),L$4,"")</f>
        <v/>
      </c>
      <c r="M87" s="22" t="str">
        <f>IF(AND(M$4&lt;=Org!$B$5,M86&gt;=0),M$4,"")</f>
        <v/>
      </c>
      <c r="N87" s="22" t="str">
        <f>IF(AND(N$4&lt;=Org!$B$5,N86&gt;=0),N$4,"")</f>
        <v/>
      </c>
      <c r="O87" s="22" t="str">
        <f>IF(AND(O$4&lt;=Org!$B$5,O86&gt;=0),O$4,"")</f>
        <v/>
      </c>
      <c r="P87" s="22" t="str">
        <f>IF(AND(P$4&lt;=Org!$B$5,P86&gt;=0),P$4,"")</f>
        <v/>
      </c>
      <c r="Q87" s="22" t="str">
        <f>IF(AND(Q$4&lt;=Org!$B$5,Q86&gt;=0),Q$4,"")</f>
        <v/>
      </c>
      <c r="R87" s="22" t="str">
        <f>IF(AND(R$4&lt;=Org!$B$5,R86&gt;=0),R$4,"")</f>
        <v/>
      </c>
      <c r="S87" s="22" t="str">
        <f>IF(AND(S$4&lt;=Org!$B$5,S86&gt;=0),S$4,"")</f>
        <v/>
      </c>
      <c r="T87" s="22" t="str">
        <f>IF(AND(T$4&lt;=Org!$B$5,T86&gt;=0),T$4,"")</f>
        <v/>
      </c>
      <c r="U87" s="22" t="str">
        <f>IF(AND(U$4&lt;=Org!$B$5,U86&gt;=0),U$4,"")</f>
        <v/>
      </c>
      <c r="V87" s="22" t="str">
        <f>IF(AND(V$4&lt;=Org!$B$5,V86&gt;=0),V$4,"")</f>
        <v/>
      </c>
      <c r="W87" s="22" t="str">
        <f>IF(AND(W$4&lt;=Org!$B$5,W86&gt;=0),W$4,"")</f>
        <v/>
      </c>
      <c r="X87" s="22" t="str">
        <f>IF(AND(X$4&lt;=Org!$B$5,X86&gt;=0),X$4,"")</f>
        <v/>
      </c>
      <c r="Y87" s="22" t="str">
        <f>IF(AND(Y$4&lt;=Org!$B$5,Y86&gt;=0),Y$4,"")</f>
        <v/>
      </c>
      <c r="Z87" s="22" t="str">
        <f>IF(AND(Z$4&lt;=Org!$B$5,Z86&gt;=0),Z$4,"")</f>
        <v/>
      </c>
      <c r="AA87" s="22" t="str">
        <f>IF(AND(AA$4&lt;=Org!$B$5,AA86&gt;=0),AA$4,"")</f>
        <v/>
      </c>
      <c r="AB87" s="22" t="str">
        <f>IF(AND(AB$4&lt;=Org!$B$5,AB86&gt;=0),AB$4,"")</f>
        <v/>
      </c>
      <c r="AC87" s="22" t="str">
        <f>IF(AND(AC$4&lt;=Org!$B$5,AC86&gt;=0),AC$4,"")</f>
        <v/>
      </c>
      <c r="AD87" s="22" t="str">
        <f>IF(AND(AD$4&lt;=Org!$B$5,AD86&gt;=0),AD$4,"")</f>
        <v/>
      </c>
      <c r="AE87" s="22" t="str">
        <f>IF(AND(AE$4&lt;=Org!$B$5,AE86&gt;=0),AE$4,"")</f>
        <v/>
      </c>
      <c r="AF87" s="22" t="str">
        <f>IF(AND(AF$4&lt;=Org!$B$5,AF86&gt;=0),AF$4,"")</f>
        <v/>
      </c>
      <c r="AG87" s="22" t="str">
        <f>IF(AND(AG$4&lt;=Org!$B$5,AG86&gt;=0),AG$4,"")</f>
        <v/>
      </c>
      <c r="AH87" s="22" t="str">
        <f>IF(AND(AH$4&lt;=Org!$B$5,AH86&gt;=0),AH$4,"")</f>
        <v/>
      </c>
      <c r="AI87" s="22" t="str">
        <f>IF(AND(AI$4&lt;=Org!$B$5,AI86&gt;=0),AI$4,"")</f>
        <v/>
      </c>
      <c r="AJ87" s="22" t="str">
        <f>IF(AND(AJ$4&lt;=Org!$B$5,AJ86&gt;=0),AJ$4,"")</f>
        <v/>
      </c>
      <c r="AK87" s="22" t="str">
        <f>IF(AND(AK$4&lt;=Org!$B$5,AK86&gt;=0),AK$4,"")</f>
        <v/>
      </c>
      <c r="AL87" s="22" t="str">
        <f>IF(AND(AL$4&lt;=Org!$B$5,AL86&gt;=0),AL$4,"")</f>
        <v/>
      </c>
      <c r="AM87" s="22" t="str">
        <f>IF(AND(AM$4&lt;=Org!$B$5,AM86&gt;=0),AM$4,"")</f>
        <v/>
      </c>
      <c r="AN87" s="22" t="str">
        <f>IF(AND(AN$4&lt;=Org!$B$5,AN86&gt;=0),AN$4,"")</f>
        <v/>
      </c>
      <c r="AO87" s="22" t="str">
        <f>IF(AND(AO$4&lt;=Org!$B$5,AO86&gt;=0),AO$4,"")</f>
        <v/>
      </c>
      <c r="AP87" s="22" t="str">
        <f>IF(AND(AP$4&lt;=Org!$B$5,AP86&gt;=0),AP$4,"")</f>
        <v/>
      </c>
      <c r="AQ87" s="22" t="str">
        <f>IF(AND(AQ$4&lt;=Org!$B$5,AQ86&gt;=0),AQ$4,"")</f>
        <v/>
      </c>
      <c r="AR87" s="22" t="str">
        <f>IF(AND(AR$4&lt;=Org!$B$5,AR86&gt;=0),AR$4,"")</f>
        <v/>
      </c>
      <c r="AS87" s="22" t="str">
        <f>IF(AND(AS$4&lt;=Org!$B$5,AS86&gt;=0),AS$4,"")</f>
        <v/>
      </c>
      <c r="AT87" s="22" t="str">
        <f>IF(AND(AT$4&lt;=Org!$B$5,AT86&gt;=0),AT$4,"")</f>
        <v/>
      </c>
      <c r="AU87" s="22" t="str">
        <f>IF(AND(AU$4&lt;=Org!$B$5,AU86&gt;=0),AU$4,"")</f>
        <v/>
      </c>
      <c r="AV87" s="22" t="str">
        <f>IF(AND(AV$4&lt;=Org!$B$5,AV86&gt;=0),AV$4,"")</f>
        <v/>
      </c>
      <c r="AW87" s="22" t="str">
        <f>IF(AND(AW$4&lt;=Org!$B$5,AW86&gt;=0),AW$4,"")</f>
        <v/>
      </c>
      <c r="AX87" s="22" t="str">
        <f>IF(AND(AX$4&lt;=Org!$B$5,AX86&gt;=0),AX$4,"")</f>
        <v/>
      </c>
      <c r="AY87" s="22" t="str">
        <f>IF(AND(AY$4&lt;=Org!$B$5,AY86&gt;=0),AY$4,"")</f>
        <v/>
      </c>
      <c r="AZ87" s="22" t="str">
        <f>IF(AND(AZ$4&lt;=Org!$B$5,AZ86&gt;=0),AZ$4,"")</f>
        <v/>
      </c>
      <c r="BA87" s="22" t="str">
        <f>IF(AND(BA$4&lt;=Org!$B$5,BA86&gt;=0),BA$4,"")</f>
        <v/>
      </c>
      <c r="BB87" s="22" t="str">
        <f>IF(AND(BB$4&lt;=Org!$B$5,BB86&gt;=0),BB$4,"")</f>
        <v/>
      </c>
      <c r="BC87" s="22" t="str">
        <f>IF(AND(BC$4&lt;=Org!$B$5,BC86&gt;=0),BC$4,"")</f>
        <v/>
      </c>
      <c r="BD87" s="22" t="str">
        <f>IF(AND(BD$4&lt;=Org!$B$5,BD86&gt;=0),BD$4,"")</f>
        <v/>
      </c>
      <c r="BE87" s="22" t="str">
        <f>IF(AND(BE$4&lt;=Org!$B$5,BE86&gt;=0),BE$4,"")</f>
        <v/>
      </c>
      <c r="BF87" s="22" t="str">
        <f>IF(AND(BF$4&lt;=Org!$B$5,BF86&gt;=0),BF$4,"")</f>
        <v/>
      </c>
      <c r="BG87" s="22" t="str">
        <f>IF(AND(BG$4&lt;=Org!$B$5,BG86&gt;=0),BG$4,"")</f>
        <v/>
      </c>
      <c r="BH87" s="22" t="str">
        <f>IF(AND(BH$4&lt;=Org!$B$5,BH86&gt;=0),BH$4,"")</f>
        <v/>
      </c>
      <c r="BI87" s="22" t="str">
        <f>IF(AND(BI$4&lt;=Org!$B$5,BI86&gt;=0),BI$4,"")</f>
        <v/>
      </c>
      <c r="BJ87" s="22" t="str">
        <f>IF(AND(BJ$4&lt;=Org!$B$5,BJ86&gt;=0),BJ$4,"")</f>
        <v/>
      </c>
      <c r="BK87" s="22" t="str">
        <f>IF(AND(BK$4&lt;=Org!$B$5,BK86&gt;=0),BK$4,"")</f>
        <v/>
      </c>
      <c r="BL87" s="22" t="str">
        <f>IF(AND(BL$4&lt;=Org!$B$5,BL86&gt;=0),BL$4,"")</f>
        <v/>
      </c>
    </row>
    <row r="89" spans="1:64" x14ac:dyDescent="0.3">
      <c r="A89" s="17" t="str">
        <f>Teams!$F$4</f>
        <v>Regulated document review</v>
      </c>
      <c r="B89" s="18" t="s">
        <v>1009</v>
      </c>
      <c r="C89" s="50">
        <f>(Teams!$F$29*(1-Teams!$F$31)*Params!$F$39*Params!$F$21*IF(Teams!$F$36="Yes",Params!$F$22,1)*Teams!$F$68*Teams!$F$70+Teams!$F$30*(1-Teams!$F$31)*Params!$F$39*Params!$F$21*IF(Teams!$F$36="Yes",Params!$F$22,1)*Teams!$F$69)/1000000*Teams!$F$71*Teams!$F$35</f>
        <v>0.20634074999999999</v>
      </c>
    </row>
    <row r="90" spans="1:64" x14ac:dyDescent="0.3">
      <c r="A90" s="8" t="s">
        <v>1010</v>
      </c>
      <c r="E90" s="26">
        <f>IF(E$4&lt;Teams!$F$80,0,IF(Teams!$F$22="S",MIN(1,(E$4-Teams!$F$80+1)/Teams!$F$21)^2*(3-2*MIN(1,(E$4-Teams!$F$80+1)/Teams!$F$21)),MIN(1,(E$4-Teams!$F$80+1)/Teams!$F$21)))</f>
        <v>0</v>
      </c>
      <c r="F90" s="26">
        <f>IF(F$4&lt;Teams!$F$80,0,IF(Teams!$F$22="S",MIN(1,(F$4-Teams!$F$80+1)/Teams!$F$21)^2*(3-2*MIN(1,(F$4-Teams!$F$80+1)/Teams!$F$21)),MIN(1,(F$4-Teams!$F$80+1)/Teams!$F$21)))</f>
        <v>0</v>
      </c>
      <c r="G90" s="26">
        <f>IF(G$4&lt;Teams!$F$80,0,IF(Teams!$F$22="S",MIN(1,(G$4-Teams!$F$80+1)/Teams!$F$21)^2*(3-2*MIN(1,(G$4-Teams!$F$80+1)/Teams!$F$21)),MIN(1,(G$4-Teams!$F$80+1)/Teams!$F$21)))</f>
        <v>0.10400000000000002</v>
      </c>
      <c r="H90" s="26">
        <f>IF(H$4&lt;Teams!$F$80,0,IF(Teams!$F$22="S",MIN(1,(H$4-Teams!$F$80+1)/Teams!$F$21)^2*(3-2*MIN(1,(H$4-Teams!$F$80+1)/Teams!$F$21)),MIN(1,(H$4-Teams!$F$80+1)/Teams!$F$21)))</f>
        <v>0.35200000000000009</v>
      </c>
      <c r="I90" s="26">
        <f>IF(I$4&lt;Teams!$F$80,0,IF(Teams!$F$22="S",MIN(1,(I$4-Teams!$F$80+1)/Teams!$F$21)^2*(3-2*MIN(1,(I$4-Teams!$F$80+1)/Teams!$F$21)),MIN(1,(I$4-Teams!$F$80+1)/Teams!$F$21)))</f>
        <v>0.64800000000000002</v>
      </c>
      <c r="J90" s="26">
        <f>IF(J$4&lt;Teams!$F$80,0,IF(Teams!$F$22="S",MIN(1,(J$4-Teams!$F$80+1)/Teams!$F$21)^2*(3-2*MIN(1,(J$4-Teams!$F$80+1)/Teams!$F$21)),MIN(1,(J$4-Teams!$F$80+1)/Teams!$F$21)))</f>
        <v>0.89600000000000013</v>
      </c>
      <c r="K90" s="26">
        <f>IF(K$4&lt;Teams!$F$80,0,IF(Teams!$F$22="S",MIN(1,(K$4-Teams!$F$80+1)/Teams!$F$21)^2*(3-2*MIN(1,(K$4-Teams!$F$80+1)/Teams!$F$21)),MIN(1,(K$4-Teams!$F$80+1)/Teams!$F$21)))</f>
        <v>1</v>
      </c>
      <c r="L90" s="26">
        <f>IF(L$4&lt;Teams!$F$80,0,IF(Teams!$F$22="S",MIN(1,(L$4-Teams!$F$80+1)/Teams!$F$21)^2*(3-2*MIN(1,(L$4-Teams!$F$80+1)/Teams!$F$21)),MIN(1,(L$4-Teams!$F$80+1)/Teams!$F$21)))</f>
        <v>1</v>
      </c>
      <c r="M90" s="26">
        <f>IF(M$4&lt;Teams!$F$80,0,IF(Teams!$F$22="S",MIN(1,(M$4-Teams!$F$80+1)/Teams!$F$21)^2*(3-2*MIN(1,(M$4-Teams!$F$80+1)/Teams!$F$21)),MIN(1,(M$4-Teams!$F$80+1)/Teams!$F$21)))</f>
        <v>1</v>
      </c>
      <c r="N90" s="26">
        <f>IF(N$4&lt;Teams!$F$80,0,IF(Teams!$F$22="S",MIN(1,(N$4-Teams!$F$80+1)/Teams!$F$21)^2*(3-2*MIN(1,(N$4-Teams!$F$80+1)/Teams!$F$21)),MIN(1,(N$4-Teams!$F$80+1)/Teams!$F$21)))</f>
        <v>1</v>
      </c>
      <c r="O90" s="26">
        <f>IF(O$4&lt;Teams!$F$80,0,IF(Teams!$F$22="S",MIN(1,(O$4-Teams!$F$80+1)/Teams!$F$21)^2*(3-2*MIN(1,(O$4-Teams!$F$80+1)/Teams!$F$21)),MIN(1,(O$4-Teams!$F$80+1)/Teams!$F$21)))</f>
        <v>1</v>
      </c>
      <c r="P90" s="26">
        <f>IF(P$4&lt;Teams!$F$80,0,IF(Teams!$F$22="S",MIN(1,(P$4-Teams!$F$80+1)/Teams!$F$21)^2*(3-2*MIN(1,(P$4-Teams!$F$80+1)/Teams!$F$21)),MIN(1,(P$4-Teams!$F$80+1)/Teams!$F$21)))</f>
        <v>1</v>
      </c>
      <c r="Q90" s="26">
        <f>IF(Q$4&lt;Teams!$F$80,0,IF(Teams!$F$22="S",MIN(1,(Q$4-Teams!$F$80+1)/Teams!$F$21)^2*(3-2*MIN(1,(Q$4-Teams!$F$80+1)/Teams!$F$21)),MIN(1,(Q$4-Teams!$F$80+1)/Teams!$F$21)))</f>
        <v>1</v>
      </c>
      <c r="R90" s="26">
        <f>IF(R$4&lt;Teams!$F$80,0,IF(Teams!$F$22="S",MIN(1,(R$4-Teams!$F$80+1)/Teams!$F$21)^2*(3-2*MIN(1,(R$4-Teams!$F$80+1)/Teams!$F$21)),MIN(1,(R$4-Teams!$F$80+1)/Teams!$F$21)))</f>
        <v>1</v>
      </c>
      <c r="S90" s="26">
        <f>IF(S$4&lt;Teams!$F$80,0,IF(Teams!$F$22="S",MIN(1,(S$4-Teams!$F$80+1)/Teams!$F$21)^2*(3-2*MIN(1,(S$4-Teams!$F$80+1)/Teams!$F$21)),MIN(1,(S$4-Teams!$F$80+1)/Teams!$F$21)))</f>
        <v>1</v>
      </c>
      <c r="T90" s="26">
        <f>IF(T$4&lt;Teams!$F$80,0,IF(Teams!$F$22="S",MIN(1,(T$4-Teams!$F$80+1)/Teams!$F$21)^2*(3-2*MIN(1,(T$4-Teams!$F$80+1)/Teams!$F$21)),MIN(1,(T$4-Teams!$F$80+1)/Teams!$F$21)))</f>
        <v>1</v>
      </c>
      <c r="U90" s="26">
        <f>IF(U$4&lt;Teams!$F$80,0,IF(Teams!$F$22="S",MIN(1,(U$4-Teams!$F$80+1)/Teams!$F$21)^2*(3-2*MIN(1,(U$4-Teams!$F$80+1)/Teams!$F$21)),MIN(1,(U$4-Teams!$F$80+1)/Teams!$F$21)))</f>
        <v>1</v>
      </c>
      <c r="V90" s="26">
        <f>IF(V$4&lt;Teams!$F$80,0,IF(Teams!$F$22="S",MIN(1,(V$4-Teams!$F$80+1)/Teams!$F$21)^2*(3-2*MIN(1,(V$4-Teams!$F$80+1)/Teams!$F$21)),MIN(1,(V$4-Teams!$F$80+1)/Teams!$F$21)))</f>
        <v>1</v>
      </c>
      <c r="W90" s="26">
        <f>IF(W$4&lt;Teams!$F$80,0,IF(Teams!$F$22="S",MIN(1,(W$4-Teams!$F$80+1)/Teams!$F$21)^2*(3-2*MIN(1,(W$4-Teams!$F$80+1)/Teams!$F$21)),MIN(1,(W$4-Teams!$F$80+1)/Teams!$F$21)))</f>
        <v>1</v>
      </c>
      <c r="X90" s="26">
        <f>IF(X$4&lt;Teams!$F$80,0,IF(Teams!$F$22="S",MIN(1,(X$4-Teams!$F$80+1)/Teams!$F$21)^2*(3-2*MIN(1,(X$4-Teams!$F$80+1)/Teams!$F$21)),MIN(1,(X$4-Teams!$F$80+1)/Teams!$F$21)))</f>
        <v>1</v>
      </c>
      <c r="Y90" s="26">
        <f>IF(Y$4&lt;Teams!$F$80,0,IF(Teams!$F$22="S",MIN(1,(Y$4-Teams!$F$80+1)/Teams!$F$21)^2*(3-2*MIN(1,(Y$4-Teams!$F$80+1)/Teams!$F$21)),MIN(1,(Y$4-Teams!$F$80+1)/Teams!$F$21)))</f>
        <v>1</v>
      </c>
      <c r="Z90" s="26">
        <f>IF(Z$4&lt;Teams!$F$80,0,IF(Teams!$F$22="S",MIN(1,(Z$4-Teams!$F$80+1)/Teams!$F$21)^2*(3-2*MIN(1,(Z$4-Teams!$F$80+1)/Teams!$F$21)),MIN(1,(Z$4-Teams!$F$80+1)/Teams!$F$21)))</f>
        <v>1</v>
      </c>
      <c r="AA90" s="26">
        <f>IF(AA$4&lt;Teams!$F$80,0,IF(Teams!$F$22="S",MIN(1,(AA$4-Teams!$F$80+1)/Teams!$F$21)^2*(3-2*MIN(1,(AA$4-Teams!$F$80+1)/Teams!$F$21)),MIN(1,(AA$4-Teams!$F$80+1)/Teams!$F$21)))</f>
        <v>1</v>
      </c>
      <c r="AB90" s="26">
        <f>IF(AB$4&lt;Teams!$F$80,0,IF(Teams!$F$22="S",MIN(1,(AB$4-Teams!$F$80+1)/Teams!$F$21)^2*(3-2*MIN(1,(AB$4-Teams!$F$80+1)/Teams!$F$21)),MIN(1,(AB$4-Teams!$F$80+1)/Teams!$F$21)))</f>
        <v>1</v>
      </c>
      <c r="AC90" s="26">
        <f>IF(AC$4&lt;Teams!$F$80,0,IF(Teams!$F$22="S",MIN(1,(AC$4-Teams!$F$80+1)/Teams!$F$21)^2*(3-2*MIN(1,(AC$4-Teams!$F$80+1)/Teams!$F$21)),MIN(1,(AC$4-Teams!$F$80+1)/Teams!$F$21)))</f>
        <v>1</v>
      </c>
      <c r="AD90" s="26">
        <f>IF(AD$4&lt;Teams!$F$80,0,IF(Teams!$F$22="S",MIN(1,(AD$4-Teams!$F$80+1)/Teams!$F$21)^2*(3-2*MIN(1,(AD$4-Teams!$F$80+1)/Teams!$F$21)),MIN(1,(AD$4-Teams!$F$80+1)/Teams!$F$21)))</f>
        <v>1</v>
      </c>
      <c r="AE90" s="26">
        <f>IF(AE$4&lt;Teams!$F$80,0,IF(Teams!$F$22="S",MIN(1,(AE$4-Teams!$F$80+1)/Teams!$F$21)^2*(3-2*MIN(1,(AE$4-Teams!$F$80+1)/Teams!$F$21)),MIN(1,(AE$4-Teams!$F$80+1)/Teams!$F$21)))</f>
        <v>1</v>
      </c>
      <c r="AF90" s="26">
        <f>IF(AF$4&lt;Teams!$F$80,0,IF(Teams!$F$22="S",MIN(1,(AF$4-Teams!$F$80+1)/Teams!$F$21)^2*(3-2*MIN(1,(AF$4-Teams!$F$80+1)/Teams!$F$21)),MIN(1,(AF$4-Teams!$F$80+1)/Teams!$F$21)))</f>
        <v>1</v>
      </c>
      <c r="AG90" s="26">
        <f>IF(AG$4&lt;Teams!$F$80,0,IF(Teams!$F$22="S",MIN(1,(AG$4-Teams!$F$80+1)/Teams!$F$21)^2*(3-2*MIN(1,(AG$4-Teams!$F$80+1)/Teams!$F$21)),MIN(1,(AG$4-Teams!$F$80+1)/Teams!$F$21)))</f>
        <v>1</v>
      </c>
      <c r="AH90" s="26">
        <f>IF(AH$4&lt;Teams!$F$80,0,IF(Teams!$F$22="S",MIN(1,(AH$4-Teams!$F$80+1)/Teams!$F$21)^2*(3-2*MIN(1,(AH$4-Teams!$F$80+1)/Teams!$F$21)),MIN(1,(AH$4-Teams!$F$80+1)/Teams!$F$21)))</f>
        <v>1</v>
      </c>
      <c r="AI90" s="26">
        <f>IF(AI$4&lt;Teams!$F$80,0,IF(Teams!$F$22="S",MIN(1,(AI$4-Teams!$F$80+1)/Teams!$F$21)^2*(3-2*MIN(1,(AI$4-Teams!$F$80+1)/Teams!$F$21)),MIN(1,(AI$4-Teams!$F$80+1)/Teams!$F$21)))</f>
        <v>1</v>
      </c>
      <c r="AJ90" s="26">
        <f>IF(AJ$4&lt;Teams!$F$80,0,IF(Teams!$F$22="S",MIN(1,(AJ$4-Teams!$F$80+1)/Teams!$F$21)^2*(3-2*MIN(1,(AJ$4-Teams!$F$80+1)/Teams!$F$21)),MIN(1,(AJ$4-Teams!$F$80+1)/Teams!$F$21)))</f>
        <v>1</v>
      </c>
      <c r="AK90" s="26">
        <f>IF(AK$4&lt;Teams!$F$80,0,IF(Teams!$F$22="S",MIN(1,(AK$4-Teams!$F$80+1)/Teams!$F$21)^2*(3-2*MIN(1,(AK$4-Teams!$F$80+1)/Teams!$F$21)),MIN(1,(AK$4-Teams!$F$80+1)/Teams!$F$21)))</f>
        <v>1</v>
      </c>
      <c r="AL90" s="26">
        <f>IF(AL$4&lt;Teams!$F$80,0,IF(Teams!$F$22="S",MIN(1,(AL$4-Teams!$F$80+1)/Teams!$F$21)^2*(3-2*MIN(1,(AL$4-Teams!$F$80+1)/Teams!$F$21)),MIN(1,(AL$4-Teams!$F$80+1)/Teams!$F$21)))</f>
        <v>1</v>
      </c>
      <c r="AM90" s="26">
        <f>IF(AM$4&lt;Teams!$F$80,0,IF(Teams!$F$22="S",MIN(1,(AM$4-Teams!$F$80+1)/Teams!$F$21)^2*(3-2*MIN(1,(AM$4-Teams!$F$80+1)/Teams!$F$21)),MIN(1,(AM$4-Teams!$F$80+1)/Teams!$F$21)))</f>
        <v>1</v>
      </c>
      <c r="AN90" s="26">
        <f>IF(AN$4&lt;Teams!$F$80,0,IF(Teams!$F$22="S",MIN(1,(AN$4-Teams!$F$80+1)/Teams!$F$21)^2*(3-2*MIN(1,(AN$4-Teams!$F$80+1)/Teams!$F$21)),MIN(1,(AN$4-Teams!$F$80+1)/Teams!$F$21)))</f>
        <v>1</v>
      </c>
      <c r="AO90" s="26">
        <f>IF(AO$4&lt;Teams!$F$80,0,IF(Teams!$F$22="S",MIN(1,(AO$4-Teams!$F$80+1)/Teams!$F$21)^2*(3-2*MIN(1,(AO$4-Teams!$F$80+1)/Teams!$F$21)),MIN(1,(AO$4-Teams!$F$80+1)/Teams!$F$21)))</f>
        <v>1</v>
      </c>
      <c r="AP90" s="26">
        <f>IF(AP$4&lt;Teams!$F$80,0,IF(Teams!$F$22="S",MIN(1,(AP$4-Teams!$F$80+1)/Teams!$F$21)^2*(3-2*MIN(1,(AP$4-Teams!$F$80+1)/Teams!$F$21)),MIN(1,(AP$4-Teams!$F$80+1)/Teams!$F$21)))</f>
        <v>1</v>
      </c>
      <c r="AQ90" s="26">
        <f>IF(AQ$4&lt;Teams!$F$80,0,IF(Teams!$F$22="S",MIN(1,(AQ$4-Teams!$F$80+1)/Teams!$F$21)^2*(3-2*MIN(1,(AQ$4-Teams!$F$80+1)/Teams!$F$21)),MIN(1,(AQ$4-Teams!$F$80+1)/Teams!$F$21)))</f>
        <v>1</v>
      </c>
      <c r="AR90" s="26">
        <f>IF(AR$4&lt;Teams!$F$80,0,IF(Teams!$F$22="S",MIN(1,(AR$4-Teams!$F$80+1)/Teams!$F$21)^2*(3-2*MIN(1,(AR$4-Teams!$F$80+1)/Teams!$F$21)),MIN(1,(AR$4-Teams!$F$80+1)/Teams!$F$21)))</f>
        <v>1</v>
      </c>
      <c r="AS90" s="26">
        <f>IF(AS$4&lt;Teams!$F$80,0,IF(Teams!$F$22="S",MIN(1,(AS$4-Teams!$F$80+1)/Teams!$F$21)^2*(3-2*MIN(1,(AS$4-Teams!$F$80+1)/Teams!$F$21)),MIN(1,(AS$4-Teams!$F$80+1)/Teams!$F$21)))</f>
        <v>1</v>
      </c>
      <c r="AT90" s="26">
        <f>IF(AT$4&lt;Teams!$F$80,0,IF(Teams!$F$22="S",MIN(1,(AT$4-Teams!$F$80+1)/Teams!$F$21)^2*(3-2*MIN(1,(AT$4-Teams!$F$80+1)/Teams!$F$21)),MIN(1,(AT$4-Teams!$F$80+1)/Teams!$F$21)))</f>
        <v>1</v>
      </c>
      <c r="AU90" s="26">
        <f>IF(AU$4&lt;Teams!$F$80,0,IF(Teams!$F$22="S",MIN(1,(AU$4-Teams!$F$80+1)/Teams!$F$21)^2*(3-2*MIN(1,(AU$4-Teams!$F$80+1)/Teams!$F$21)),MIN(1,(AU$4-Teams!$F$80+1)/Teams!$F$21)))</f>
        <v>1</v>
      </c>
      <c r="AV90" s="26">
        <f>IF(AV$4&lt;Teams!$F$80,0,IF(Teams!$F$22="S",MIN(1,(AV$4-Teams!$F$80+1)/Teams!$F$21)^2*(3-2*MIN(1,(AV$4-Teams!$F$80+1)/Teams!$F$21)),MIN(1,(AV$4-Teams!$F$80+1)/Teams!$F$21)))</f>
        <v>1</v>
      </c>
      <c r="AW90" s="26">
        <f>IF(AW$4&lt;Teams!$F$80,0,IF(Teams!$F$22="S",MIN(1,(AW$4-Teams!$F$80+1)/Teams!$F$21)^2*(3-2*MIN(1,(AW$4-Teams!$F$80+1)/Teams!$F$21)),MIN(1,(AW$4-Teams!$F$80+1)/Teams!$F$21)))</f>
        <v>1</v>
      </c>
      <c r="AX90" s="26">
        <f>IF(AX$4&lt;Teams!$F$80,0,IF(Teams!$F$22="S",MIN(1,(AX$4-Teams!$F$80+1)/Teams!$F$21)^2*(3-2*MIN(1,(AX$4-Teams!$F$80+1)/Teams!$F$21)),MIN(1,(AX$4-Teams!$F$80+1)/Teams!$F$21)))</f>
        <v>1</v>
      </c>
      <c r="AY90" s="26">
        <f>IF(AY$4&lt;Teams!$F$80,0,IF(Teams!$F$22="S",MIN(1,(AY$4-Teams!$F$80+1)/Teams!$F$21)^2*(3-2*MIN(1,(AY$4-Teams!$F$80+1)/Teams!$F$21)),MIN(1,(AY$4-Teams!$F$80+1)/Teams!$F$21)))</f>
        <v>1</v>
      </c>
      <c r="AZ90" s="26">
        <f>IF(AZ$4&lt;Teams!$F$80,0,IF(Teams!$F$22="S",MIN(1,(AZ$4-Teams!$F$80+1)/Teams!$F$21)^2*(3-2*MIN(1,(AZ$4-Teams!$F$80+1)/Teams!$F$21)),MIN(1,(AZ$4-Teams!$F$80+1)/Teams!$F$21)))</f>
        <v>1</v>
      </c>
      <c r="BA90" s="26">
        <f>IF(BA$4&lt;Teams!$F$80,0,IF(Teams!$F$22="S",MIN(1,(BA$4-Teams!$F$80+1)/Teams!$F$21)^2*(3-2*MIN(1,(BA$4-Teams!$F$80+1)/Teams!$F$21)),MIN(1,(BA$4-Teams!$F$80+1)/Teams!$F$21)))</f>
        <v>1</v>
      </c>
      <c r="BB90" s="26">
        <f>IF(BB$4&lt;Teams!$F$80,0,IF(Teams!$F$22="S",MIN(1,(BB$4-Teams!$F$80+1)/Teams!$F$21)^2*(3-2*MIN(1,(BB$4-Teams!$F$80+1)/Teams!$F$21)),MIN(1,(BB$4-Teams!$F$80+1)/Teams!$F$21)))</f>
        <v>1</v>
      </c>
      <c r="BC90" s="26">
        <f>IF(BC$4&lt;Teams!$F$80,0,IF(Teams!$F$22="S",MIN(1,(BC$4-Teams!$F$80+1)/Teams!$F$21)^2*(3-2*MIN(1,(BC$4-Teams!$F$80+1)/Teams!$F$21)),MIN(1,(BC$4-Teams!$F$80+1)/Teams!$F$21)))</f>
        <v>1</v>
      </c>
      <c r="BD90" s="26">
        <f>IF(BD$4&lt;Teams!$F$80,0,IF(Teams!$F$22="S",MIN(1,(BD$4-Teams!$F$80+1)/Teams!$F$21)^2*(3-2*MIN(1,(BD$4-Teams!$F$80+1)/Teams!$F$21)),MIN(1,(BD$4-Teams!$F$80+1)/Teams!$F$21)))</f>
        <v>1</v>
      </c>
      <c r="BE90" s="26">
        <f>IF(BE$4&lt;Teams!$F$80,0,IF(Teams!$F$22="S",MIN(1,(BE$4-Teams!$F$80+1)/Teams!$F$21)^2*(3-2*MIN(1,(BE$4-Teams!$F$80+1)/Teams!$F$21)),MIN(1,(BE$4-Teams!$F$80+1)/Teams!$F$21)))</f>
        <v>1</v>
      </c>
      <c r="BF90" s="26">
        <f>IF(BF$4&lt;Teams!$F$80,0,IF(Teams!$F$22="S",MIN(1,(BF$4-Teams!$F$80+1)/Teams!$F$21)^2*(3-2*MIN(1,(BF$4-Teams!$F$80+1)/Teams!$F$21)),MIN(1,(BF$4-Teams!$F$80+1)/Teams!$F$21)))</f>
        <v>1</v>
      </c>
      <c r="BG90" s="26">
        <f>IF(BG$4&lt;Teams!$F$80,0,IF(Teams!$F$22="S",MIN(1,(BG$4-Teams!$F$80+1)/Teams!$F$21)^2*(3-2*MIN(1,(BG$4-Teams!$F$80+1)/Teams!$F$21)),MIN(1,(BG$4-Teams!$F$80+1)/Teams!$F$21)))</f>
        <v>1</v>
      </c>
      <c r="BH90" s="26">
        <f>IF(BH$4&lt;Teams!$F$80,0,IF(Teams!$F$22="S",MIN(1,(BH$4-Teams!$F$80+1)/Teams!$F$21)^2*(3-2*MIN(1,(BH$4-Teams!$F$80+1)/Teams!$F$21)),MIN(1,(BH$4-Teams!$F$80+1)/Teams!$F$21)))</f>
        <v>1</v>
      </c>
      <c r="BI90" s="26">
        <f>IF(BI$4&lt;Teams!$F$80,0,IF(Teams!$F$22="S",MIN(1,(BI$4-Teams!$F$80+1)/Teams!$F$21)^2*(3-2*MIN(1,(BI$4-Teams!$F$80+1)/Teams!$F$21)),MIN(1,(BI$4-Teams!$F$80+1)/Teams!$F$21)))</f>
        <v>1</v>
      </c>
      <c r="BJ90" s="26">
        <f>IF(BJ$4&lt;Teams!$F$80,0,IF(Teams!$F$22="S",MIN(1,(BJ$4-Teams!$F$80+1)/Teams!$F$21)^2*(3-2*MIN(1,(BJ$4-Teams!$F$80+1)/Teams!$F$21)),MIN(1,(BJ$4-Teams!$F$80+1)/Teams!$F$21)))</f>
        <v>1</v>
      </c>
      <c r="BK90" s="26">
        <f>IF(BK$4&lt;Teams!$F$80,0,IF(Teams!$F$22="S",MIN(1,(BK$4-Teams!$F$80+1)/Teams!$F$21)^2*(3-2*MIN(1,(BK$4-Teams!$F$80+1)/Teams!$F$21)),MIN(1,(BK$4-Teams!$F$80+1)/Teams!$F$21)))</f>
        <v>1</v>
      </c>
      <c r="BL90" s="26">
        <f>IF(BL$4&lt;Teams!$F$80,0,IF(Teams!$F$22="S",MIN(1,(BL$4-Teams!$F$80+1)/Teams!$F$21)^2*(3-2*MIN(1,(BL$4-Teams!$F$80+1)/Teams!$F$21)),MIN(1,(BL$4-Teams!$F$80+1)/Teams!$F$21)))</f>
        <v>1</v>
      </c>
    </row>
    <row r="91" spans="1:64" x14ac:dyDescent="0.3">
      <c r="A91" s="8" t="s">
        <v>160</v>
      </c>
      <c r="E91" s="22">
        <f>IF(E$4&gt;=Teams!$F$80,Teams!$F$18,0)</f>
        <v>0</v>
      </c>
      <c r="F91" s="22">
        <f>IF(F$4&gt;=Teams!$F$80,Teams!$F$18,0)</f>
        <v>0</v>
      </c>
      <c r="G91" s="22">
        <f>IF(G$4&gt;=Teams!$F$80,Teams!$F$18,0)</f>
        <v>150</v>
      </c>
      <c r="H91" s="22">
        <f>IF(H$4&gt;=Teams!$F$80,Teams!$F$18,0)</f>
        <v>150</v>
      </c>
      <c r="I91" s="22">
        <f>IF(I$4&gt;=Teams!$F$80,Teams!$F$18,0)</f>
        <v>150</v>
      </c>
      <c r="J91" s="22">
        <f>IF(J$4&gt;=Teams!$F$80,Teams!$F$18,0)</f>
        <v>150</v>
      </c>
      <c r="K91" s="22">
        <f>IF(K$4&gt;=Teams!$F$80,Teams!$F$18,0)</f>
        <v>150</v>
      </c>
      <c r="L91" s="22">
        <f>IF(L$4&gt;=Teams!$F$80,Teams!$F$18,0)</f>
        <v>150</v>
      </c>
      <c r="M91" s="22">
        <f>IF(M$4&gt;=Teams!$F$80,Teams!$F$18,0)</f>
        <v>150</v>
      </c>
      <c r="N91" s="22">
        <f>IF(N$4&gt;=Teams!$F$80,Teams!$F$18,0)</f>
        <v>150</v>
      </c>
      <c r="O91" s="22">
        <f>IF(O$4&gt;=Teams!$F$80,Teams!$F$18,0)</f>
        <v>150</v>
      </c>
      <c r="P91" s="22">
        <f>IF(P$4&gt;=Teams!$F$80,Teams!$F$18,0)</f>
        <v>150</v>
      </c>
      <c r="Q91" s="22">
        <f>IF(Q$4&gt;=Teams!$F$80,Teams!$F$18,0)</f>
        <v>150</v>
      </c>
      <c r="R91" s="22">
        <f>IF(R$4&gt;=Teams!$F$80,Teams!$F$18,0)</f>
        <v>150</v>
      </c>
      <c r="S91" s="22">
        <f>IF(S$4&gt;=Teams!$F$80,Teams!$F$18,0)</f>
        <v>150</v>
      </c>
      <c r="T91" s="22">
        <f>IF(T$4&gt;=Teams!$F$80,Teams!$F$18,0)</f>
        <v>150</v>
      </c>
      <c r="U91" s="22">
        <f>IF(U$4&gt;=Teams!$F$80,Teams!$F$18,0)</f>
        <v>150</v>
      </c>
      <c r="V91" s="22">
        <f>IF(V$4&gt;=Teams!$F$80,Teams!$F$18,0)</f>
        <v>150</v>
      </c>
      <c r="W91" s="22">
        <f>IF(W$4&gt;=Teams!$F$80,Teams!$F$18,0)</f>
        <v>150</v>
      </c>
      <c r="X91" s="22">
        <f>IF(X$4&gt;=Teams!$F$80,Teams!$F$18,0)</f>
        <v>150</v>
      </c>
      <c r="Y91" s="22">
        <f>IF(Y$4&gt;=Teams!$F$80,Teams!$F$18,0)</f>
        <v>150</v>
      </c>
      <c r="Z91" s="22">
        <f>IF(Z$4&gt;=Teams!$F$80,Teams!$F$18,0)</f>
        <v>150</v>
      </c>
      <c r="AA91" s="22">
        <f>IF(AA$4&gt;=Teams!$F$80,Teams!$F$18,0)</f>
        <v>150</v>
      </c>
      <c r="AB91" s="22">
        <f>IF(AB$4&gt;=Teams!$F$80,Teams!$F$18,0)</f>
        <v>150</v>
      </c>
      <c r="AC91" s="22">
        <f>IF(AC$4&gt;=Teams!$F$80,Teams!$F$18,0)</f>
        <v>150</v>
      </c>
      <c r="AD91" s="22">
        <f>IF(AD$4&gt;=Teams!$F$80,Teams!$F$18,0)</f>
        <v>150</v>
      </c>
      <c r="AE91" s="22">
        <f>IF(AE$4&gt;=Teams!$F$80,Teams!$F$18,0)</f>
        <v>150</v>
      </c>
      <c r="AF91" s="22">
        <f>IF(AF$4&gt;=Teams!$F$80,Teams!$F$18,0)</f>
        <v>150</v>
      </c>
      <c r="AG91" s="22">
        <f>IF(AG$4&gt;=Teams!$F$80,Teams!$F$18,0)</f>
        <v>150</v>
      </c>
      <c r="AH91" s="22">
        <f>IF(AH$4&gt;=Teams!$F$80,Teams!$F$18,0)</f>
        <v>150</v>
      </c>
      <c r="AI91" s="22">
        <f>IF(AI$4&gt;=Teams!$F$80,Teams!$F$18,0)</f>
        <v>150</v>
      </c>
      <c r="AJ91" s="22">
        <f>IF(AJ$4&gt;=Teams!$F$80,Teams!$F$18,0)</f>
        <v>150</v>
      </c>
      <c r="AK91" s="22">
        <f>IF(AK$4&gt;=Teams!$F$80,Teams!$F$18,0)</f>
        <v>150</v>
      </c>
      <c r="AL91" s="22">
        <f>IF(AL$4&gt;=Teams!$F$80,Teams!$F$18,0)</f>
        <v>150</v>
      </c>
      <c r="AM91" s="22">
        <f>IF(AM$4&gt;=Teams!$F$80,Teams!$F$18,0)</f>
        <v>150</v>
      </c>
      <c r="AN91" s="22">
        <f>IF(AN$4&gt;=Teams!$F$80,Teams!$F$18,0)</f>
        <v>150</v>
      </c>
      <c r="AO91" s="22">
        <f>IF(AO$4&gt;=Teams!$F$80,Teams!$F$18,0)</f>
        <v>150</v>
      </c>
      <c r="AP91" s="22">
        <f>IF(AP$4&gt;=Teams!$F$80,Teams!$F$18,0)</f>
        <v>150</v>
      </c>
      <c r="AQ91" s="22">
        <f>IF(AQ$4&gt;=Teams!$F$80,Teams!$F$18,0)</f>
        <v>150</v>
      </c>
      <c r="AR91" s="22">
        <f>IF(AR$4&gt;=Teams!$F$80,Teams!$F$18,0)</f>
        <v>150</v>
      </c>
      <c r="AS91" s="22">
        <f>IF(AS$4&gt;=Teams!$F$80,Teams!$F$18,0)</f>
        <v>150</v>
      </c>
      <c r="AT91" s="22">
        <f>IF(AT$4&gt;=Teams!$F$80,Teams!$F$18,0)</f>
        <v>150</v>
      </c>
      <c r="AU91" s="22">
        <f>IF(AU$4&gt;=Teams!$F$80,Teams!$F$18,0)</f>
        <v>150</v>
      </c>
      <c r="AV91" s="22">
        <f>IF(AV$4&gt;=Teams!$F$80,Teams!$F$18,0)</f>
        <v>150</v>
      </c>
      <c r="AW91" s="22">
        <f>IF(AW$4&gt;=Teams!$F$80,Teams!$F$18,0)</f>
        <v>150</v>
      </c>
      <c r="AX91" s="22">
        <f>IF(AX$4&gt;=Teams!$F$80,Teams!$F$18,0)</f>
        <v>150</v>
      </c>
      <c r="AY91" s="22">
        <f>IF(AY$4&gt;=Teams!$F$80,Teams!$F$18,0)</f>
        <v>150</v>
      </c>
      <c r="AZ91" s="22">
        <f>IF(AZ$4&gt;=Teams!$F$80,Teams!$F$18,0)</f>
        <v>150</v>
      </c>
      <c r="BA91" s="22">
        <f>IF(BA$4&gt;=Teams!$F$80,Teams!$F$18,0)</f>
        <v>150</v>
      </c>
      <c r="BB91" s="22">
        <f>IF(BB$4&gt;=Teams!$F$80,Teams!$F$18,0)</f>
        <v>150</v>
      </c>
      <c r="BC91" s="22">
        <f>IF(BC$4&gt;=Teams!$F$80,Teams!$F$18,0)</f>
        <v>150</v>
      </c>
      <c r="BD91" s="22">
        <f>IF(BD$4&gt;=Teams!$F$80,Teams!$F$18,0)</f>
        <v>150</v>
      </c>
      <c r="BE91" s="22">
        <f>IF(BE$4&gt;=Teams!$F$80,Teams!$F$18,0)</f>
        <v>150</v>
      </c>
      <c r="BF91" s="22">
        <f>IF(BF$4&gt;=Teams!$F$80,Teams!$F$18,0)</f>
        <v>150</v>
      </c>
      <c r="BG91" s="22">
        <f>IF(BG$4&gt;=Teams!$F$80,Teams!$F$18,0)</f>
        <v>150</v>
      </c>
      <c r="BH91" s="22">
        <f>IF(BH$4&gt;=Teams!$F$80,Teams!$F$18,0)</f>
        <v>150</v>
      </c>
      <c r="BI91" s="22">
        <f>IF(BI$4&gt;=Teams!$F$80,Teams!$F$18,0)</f>
        <v>150</v>
      </c>
      <c r="BJ91" s="22">
        <f>IF(BJ$4&gt;=Teams!$F$80,Teams!$F$18,0)</f>
        <v>150</v>
      </c>
      <c r="BK91" s="22">
        <f>IF(BK$4&gt;=Teams!$F$80,Teams!$F$18,0)</f>
        <v>150</v>
      </c>
      <c r="BL91" s="22">
        <f>IF(BL$4&gt;=Teams!$F$80,Teams!$F$18,0)</f>
        <v>150</v>
      </c>
    </row>
    <row r="92" spans="1:64" x14ac:dyDescent="0.3">
      <c r="A92" s="8" t="s">
        <v>1011</v>
      </c>
      <c r="C92" s="22">
        <f>SUMPRODUCT(E92:BL92,E$5:BL$5)</f>
        <v>3360</v>
      </c>
      <c r="E92" s="22">
        <f>E91*Teams!$F$19*E90</f>
        <v>0</v>
      </c>
      <c r="F92" s="22">
        <f>F91*Teams!$F$19*F90</f>
        <v>0</v>
      </c>
      <c r="G92" s="22">
        <f>G91*Teams!$F$19*G90</f>
        <v>10.920000000000002</v>
      </c>
      <c r="H92" s="22">
        <f>H91*Teams!$F$19*H90</f>
        <v>36.960000000000008</v>
      </c>
      <c r="I92" s="22">
        <f>I91*Teams!$F$19*I90</f>
        <v>68.040000000000006</v>
      </c>
      <c r="J92" s="22">
        <f>J91*Teams!$F$19*J90</f>
        <v>94.080000000000013</v>
      </c>
      <c r="K92" s="22">
        <f>K91*Teams!$F$19*K90</f>
        <v>105</v>
      </c>
      <c r="L92" s="22">
        <f>L91*Teams!$F$19*L90</f>
        <v>105</v>
      </c>
      <c r="M92" s="22">
        <f>M91*Teams!$F$19*M90</f>
        <v>105</v>
      </c>
      <c r="N92" s="22">
        <f>N91*Teams!$F$19*N90</f>
        <v>105</v>
      </c>
      <c r="O92" s="22">
        <f>O91*Teams!$F$19*O90</f>
        <v>105</v>
      </c>
      <c r="P92" s="22">
        <f>P91*Teams!$F$19*P90</f>
        <v>105</v>
      </c>
      <c r="Q92" s="22">
        <f>Q91*Teams!$F$19*Q90</f>
        <v>105</v>
      </c>
      <c r="R92" s="22">
        <f>R91*Teams!$F$19*R90</f>
        <v>105</v>
      </c>
      <c r="S92" s="22">
        <f>S91*Teams!$F$19*S90</f>
        <v>105</v>
      </c>
      <c r="T92" s="22">
        <f>T91*Teams!$F$19*T90</f>
        <v>105</v>
      </c>
      <c r="U92" s="22">
        <f>U91*Teams!$F$19*U90</f>
        <v>105</v>
      </c>
      <c r="V92" s="22">
        <f>V91*Teams!$F$19*V90</f>
        <v>105</v>
      </c>
      <c r="W92" s="22">
        <f>W91*Teams!$F$19*W90</f>
        <v>105</v>
      </c>
      <c r="X92" s="22">
        <f>X91*Teams!$F$19*X90</f>
        <v>105</v>
      </c>
      <c r="Y92" s="22">
        <f>Y91*Teams!$F$19*Y90</f>
        <v>105</v>
      </c>
      <c r="Z92" s="22">
        <f>Z91*Teams!$F$19*Z90</f>
        <v>105</v>
      </c>
      <c r="AA92" s="22">
        <f>AA91*Teams!$F$19*AA90</f>
        <v>105</v>
      </c>
      <c r="AB92" s="22">
        <f>AB91*Teams!$F$19*AB90</f>
        <v>105</v>
      </c>
      <c r="AC92" s="22">
        <f>AC91*Teams!$F$19*AC90</f>
        <v>105</v>
      </c>
      <c r="AD92" s="22">
        <f>AD91*Teams!$F$19*AD90</f>
        <v>105</v>
      </c>
      <c r="AE92" s="22">
        <f>AE91*Teams!$F$19*AE90</f>
        <v>105</v>
      </c>
      <c r="AF92" s="22">
        <f>AF91*Teams!$F$19*AF90</f>
        <v>105</v>
      </c>
      <c r="AG92" s="22">
        <f>AG91*Teams!$F$19*AG90</f>
        <v>105</v>
      </c>
      <c r="AH92" s="22">
        <f>AH91*Teams!$F$19*AH90</f>
        <v>105</v>
      </c>
      <c r="AI92" s="22">
        <f>AI91*Teams!$F$19*AI90</f>
        <v>105</v>
      </c>
      <c r="AJ92" s="22">
        <f>AJ91*Teams!$F$19*AJ90</f>
        <v>105</v>
      </c>
      <c r="AK92" s="22">
        <f>AK91*Teams!$F$19*AK90</f>
        <v>105</v>
      </c>
      <c r="AL92" s="22">
        <f>AL91*Teams!$F$19*AL90</f>
        <v>105</v>
      </c>
      <c r="AM92" s="22">
        <f>AM91*Teams!$F$19*AM90</f>
        <v>105</v>
      </c>
      <c r="AN92" s="22">
        <f>AN91*Teams!$F$19*AN90</f>
        <v>105</v>
      </c>
      <c r="AO92" s="22">
        <f>AO91*Teams!$F$19*AO90</f>
        <v>105</v>
      </c>
      <c r="AP92" s="22">
        <f>AP91*Teams!$F$19*AP90</f>
        <v>105</v>
      </c>
      <c r="AQ92" s="22">
        <f>AQ91*Teams!$F$19*AQ90</f>
        <v>105</v>
      </c>
      <c r="AR92" s="22">
        <f>AR91*Teams!$F$19*AR90</f>
        <v>105</v>
      </c>
      <c r="AS92" s="22">
        <f>AS91*Teams!$F$19*AS90</f>
        <v>105</v>
      </c>
      <c r="AT92" s="22">
        <f>AT91*Teams!$F$19*AT90</f>
        <v>105</v>
      </c>
      <c r="AU92" s="22">
        <f>AU91*Teams!$F$19*AU90</f>
        <v>105</v>
      </c>
      <c r="AV92" s="22">
        <f>AV91*Teams!$F$19*AV90</f>
        <v>105</v>
      </c>
      <c r="AW92" s="22">
        <f>AW91*Teams!$F$19*AW90</f>
        <v>105</v>
      </c>
      <c r="AX92" s="22">
        <f>AX91*Teams!$F$19*AX90</f>
        <v>105</v>
      </c>
      <c r="AY92" s="22">
        <f>AY91*Teams!$F$19*AY90</f>
        <v>105</v>
      </c>
      <c r="AZ92" s="22">
        <f>AZ91*Teams!$F$19*AZ90</f>
        <v>105</v>
      </c>
      <c r="BA92" s="22">
        <f>BA91*Teams!$F$19*BA90</f>
        <v>105</v>
      </c>
      <c r="BB92" s="22">
        <f>BB91*Teams!$F$19*BB90</f>
        <v>105</v>
      </c>
      <c r="BC92" s="22">
        <f>BC91*Teams!$F$19*BC90</f>
        <v>105</v>
      </c>
      <c r="BD92" s="22">
        <f>BD91*Teams!$F$19*BD90</f>
        <v>105</v>
      </c>
      <c r="BE92" s="22">
        <f>BE91*Teams!$F$19*BE90</f>
        <v>105</v>
      </c>
      <c r="BF92" s="22">
        <f>BF91*Teams!$F$19*BF90</f>
        <v>105</v>
      </c>
      <c r="BG92" s="22">
        <f>BG91*Teams!$F$19*BG90</f>
        <v>105</v>
      </c>
      <c r="BH92" s="22">
        <f>BH91*Teams!$F$19*BH90</f>
        <v>105</v>
      </c>
      <c r="BI92" s="22">
        <f>BI91*Teams!$F$19*BI90</f>
        <v>105</v>
      </c>
      <c r="BJ92" s="22">
        <f>BJ91*Teams!$F$19*BJ90</f>
        <v>105</v>
      </c>
      <c r="BK92" s="22">
        <f>BK91*Teams!$F$19*BK90</f>
        <v>105</v>
      </c>
      <c r="BL92" s="22">
        <f>BL91*Teams!$F$19*BL90</f>
        <v>105</v>
      </c>
    </row>
    <row r="93" spans="1:64" x14ac:dyDescent="0.3">
      <c r="A93" s="8" t="s">
        <v>28</v>
      </c>
      <c r="C93" s="22">
        <f>SUMPRODUCT(E93:BL93,E$5:BL$5)</f>
        <v>403200</v>
      </c>
      <c r="E93" s="22">
        <f>IF(Teams!$F$23="per user",E92*Teams!$F$24,Teams!$F$25*E90)</f>
        <v>0</v>
      </c>
      <c r="F93" s="22">
        <f>IF(Teams!$F$23="per user",F92*Teams!$F$24,Teams!$F$25*F90)</f>
        <v>0</v>
      </c>
      <c r="G93" s="22">
        <f>IF(Teams!$F$23="per user",G92*Teams!$F$24,Teams!$F$25*G90)</f>
        <v>1310.4000000000001</v>
      </c>
      <c r="H93" s="22">
        <f>IF(Teams!$F$23="per user",H92*Teams!$F$24,Teams!$F$25*H90)</f>
        <v>4435.2000000000007</v>
      </c>
      <c r="I93" s="22">
        <f>IF(Teams!$F$23="per user",I92*Teams!$F$24,Teams!$F$25*I90)</f>
        <v>8164.8000000000011</v>
      </c>
      <c r="J93" s="22">
        <f>IF(Teams!$F$23="per user",J92*Teams!$F$24,Teams!$F$25*J90)</f>
        <v>11289.600000000002</v>
      </c>
      <c r="K93" s="22">
        <f>IF(Teams!$F$23="per user",K92*Teams!$F$24,Teams!$F$25*K90)</f>
        <v>12600</v>
      </c>
      <c r="L93" s="22">
        <f>IF(Teams!$F$23="per user",L92*Teams!$F$24,Teams!$F$25*L90)</f>
        <v>12600</v>
      </c>
      <c r="M93" s="22">
        <f>IF(Teams!$F$23="per user",M92*Teams!$F$24,Teams!$F$25*M90)</f>
        <v>12600</v>
      </c>
      <c r="N93" s="22">
        <f>IF(Teams!$F$23="per user",N92*Teams!$F$24,Teams!$F$25*N90)</f>
        <v>12600</v>
      </c>
      <c r="O93" s="22">
        <f>IF(Teams!$F$23="per user",O92*Teams!$F$24,Teams!$F$25*O90)</f>
        <v>12600</v>
      </c>
      <c r="P93" s="22">
        <f>IF(Teams!$F$23="per user",P92*Teams!$F$24,Teams!$F$25*P90)</f>
        <v>12600</v>
      </c>
      <c r="Q93" s="22">
        <f>IF(Teams!$F$23="per user",Q92*Teams!$F$24,Teams!$F$25*Q90)</f>
        <v>12600</v>
      </c>
      <c r="R93" s="22">
        <f>IF(Teams!$F$23="per user",R92*Teams!$F$24,Teams!$F$25*R90)</f>
        <v>12600</v>
      </c>
      <c r="S93" s="22">
        <f>IF(Teams!$F$23="per user",S92*Teams!$F$24,Teams!$F$25*S90)</f>
        <v>12600</v>
      </c>
      <c r="T93" s="22">
        <f>IF(Teams!$F$23="per user",T92*Teams!$F$24,Teams!$F$25*T90)</f>
        <v>12600</v>
      </c>
      <c r="U93" s="22">
        <f>IF(Teams!$F$23="per user",U92*Teams!$F$24,Teams!$F$25*U90)</f>
        <v>12600</v>
      </c>
      <c r="V93" s="22">
        <f>IF(Teams!$F$23="per user",V92*Teams!$F$24,Teams!$F$25*V90)</f>
        <v>12600</v>
      </c>
      <c r="W93" s="22">
        <f>IF(Teams!$F$23="per user",W92*Teams!$F$24,Teams!$F$25*W90)</f>
        <v>12600</v>
      </c>
      <c r="X93" s="22">
        <f>IF(Teams!$F$23="per user",X92*Teams!$F$24,Teams!$F$25*X90)</f>
        <v>12600</v>
      </c>
      <c r="Y93" s="22">
        <f>IF(Teams!$F$23="per user",Y92*Teams!$F$24,Teams!$F$25*Y90)</f>
        <v>12600</v>
      </c>
      <c r="Z93" s="22">
        <f>IF(Teams!$F$23="per user",Z92*Teams!$F$24,Teams!$F$25*Z90)</f>
        <v>12600</v>
      </c>
      <c r="AA93" s="22">
        <f>IF(Teams!$F$23="per user",AA92*Teams!$F$24,Teams!$F$25*AA90)</f>
        <v>12600</v>
      </c>
      <c r="AB93" s="22">
        <f>IF(Teams!$F$23="per user",AB92*Teams!$F$24,Teams!$F$25*AB90)</f>
        <v>12600</v>
      </c>
      <c r="AC93" s="22">
        <f>IF(Teams!$F$23="per user",AC92*Teams!$F$24,Teams!$F$25*AC90)</f>
        <v>12600</v>
      </c>
      <c r="AD93" s="22">
        <f>IF(Teams!$F$23="per user",AD92*Teams!$F$24,Teams!$F$25*AD90)</f>
        <v>12600</v>
      </c>
      <c r="AE93" s="22">
        <f>IF(Teams!$F$23="per user",AE92*Teams!$F$24,Teams!$F$25*AE90)</f>
        <v>12600</v>
      </c>
      <c r="AF93" s="22">
        <f>IF(Teams!$F$23="per user",AF92*Teams!$F$24,Teams!$F$25*AF90)</f>
        <v>12600</v>
      </c>
      <c r="AG93" s="22">
        <f>IF(Teams!$F$23="per user",AG92*Teams!$F$24,Teams!$F$25*AG90)</f>
        <v>12600</v>
      </c>
      <c r="AH93" s="22">
        <f>IF(Teams!$F$23="per user",AH92*Teams!$F$24,Teams!$F$25*AH90)</f>
        <v>12600</v>
      </c>
      <c r="AI93" s="22">
        <f>IF(Teams!$F$23="per user",AI92*Teams!$F$24,Teams!$F$25*AI90)</f>
        <v>12600</v>
      </c>
      <c r="AJ93" s="22">
        <f>IF(Teams!$F$23="per user",AJ92*Teams!$F$24,Teams!$F$25*AJ90)</f>
        <v>12600</v>
      </c>
      <c r="AK93" s="22">
        <f>IF(Teams!$F$23="per user",AK92*Teams!$F$24,Teams!$F$25*AK90)</f>
        <v>12600</v>
      </c>
      <c r="AL93" s="22">
        <f>IF(Teams!$F$23="per user",AL92*Teams!$F$24,Teams!$F$25*AL90)</f>
        <v>12600</v>
      </c>
      <c r="AM93" s="22">
        <f>IF(Teams!$F$23="per user",AM92*Teams!$F$24,Teams!$F$25*AM90)</f>
        <v>12600</v>
      </c>
      <c r="AN93" s="22">
        <f>IF(Teams!$F$23="per user",AN92*Teams!$F$24,Teams!$F$25*AN90)</f>
        <v>12600</v>
      </c>
      <c r="AO93" s="22">
        <f>IF(Teams!$F$23="per user",AO92*Teams!$F$24,Teams!$F$25*AO90)</f>
        <v>12600</v>
      </c>
      <c r="AP93" s="22">
        <f>IF(Teams!$F$23="per user",AP92*Teams!$F$24,Teams!$F$25*AP90)</f>
        <v>12600</v>
      </c>
      <c r="AQ93" s="22">
        <f>IF(Teams!$F$23="per user",AQ92*Teams!$F$24,Teams!$F$25*AQ90)</f>
        <v>12600</v>
      </c>
      <c r="AR93" s="22">
        <f>IF(Teams!$F$23="per user",AR92*Teams!$F$24,Teams!$F$25*AR90)</f>
        <v>12600</v>
      </c>
      <c r="AS93" s="22">
        <f>IF(Teams!$F$23="per user",AS92*Teams!$F$24,Teams!$F$25*AS90)</f>
        <v>12600</v>
      </c>
      <c r="AT93" s="22">
        <f>IF(Teams!$F$23="per user",AT92*Teams!$F$24,Teams!$F$25*AT90)</f>
        <v>12600</v>
      </c>
      <c r="AU93" s="22">
        <f>IF(Teams!$F$23="per user",AU92*Teams!$F$24,Teams!$F$25*AU90)</f>
        <v>12600</v>
      </c>
      <c r="AV93" s="22">
        <f>IF(Teams!$F$23="per user",AV92*Teams!$F$24,Teams!$F$25*AV90)</f>
        <v>12600</v>
      </c>
      <c r="AW93" s="22">
        <f>IF(Teams!$F$23="per user",AW92*Teams!$F$24,Teams!$F$25*AW90)</f>
        <v>12600</v>
      </c>
      <c r="AX93" s="22">
        <f>IF(Teams!$F$23="per user",AX92*Teams!$F$24,Teams!$F$25*AX90)</f>
        <v>12600</v>
      </c>
      <c r="AY93" s="22">
        <f>IF(Teams!$F$23="per user",AY92*Teams!$F$24,Teams!$F$25*AY90)</f>
        <v>12600</v>
      </c>
      <c r="AZ93" s="22">
        <f>IF(Teams!$F$23="per user",AZ92*Teams!$F$24,Teams!$F$25*AZ90)</f>
        <v>12600</v>
      </c>
      <c r="BA93" s="22">
        <f>IF(Teams!$F$23="per user",BA92*Teams!$F$24,Teams!$F$25*BA90)</f>
        <v>12600</v>
      </c>
      <c r="BB93" s="22">
        <f>IF(Teams!$F$23="per user",BB92*Teams!$F$24,Teams!$F$25*BB90)</f>
        <v>12600</v>
      </c>
      <c r="BC93" s="22">
        <f>IF(Teams!$F$23="per user",BC92*Teams!$F$24,Teams!$F$25*BC90)</f>
        <v>12600</v>
      </c>
      <c r="BD93" s="22">
        <f>IF(Teams!$F$23="per user",BD92*Teams!$F$24,Teams!$F$25*BD90)</f>
        <v>12600</v>
      </c>
      <c r="BE93" s="22">
        <f>IF(Teams!$F$23="per user",BE92*Teams!$F$24,Teams!$F$25*BE90)</f>
        <v>12600</v>
      </c>
      <c r="BF93" s="22">
        <f>IF(Teams!$F$23="per user",BF92*Teams!$F$24,Teams!$F$25*BF90)</f>
        <v>12600</v>
      </c>
      <c r="BG93" s="22">
        <f>IF(Teams!$F$23="per user",BG92*Teams!$F$24,Teams!$F$25*BG90)</f>
        <v>12600</v>
      </c>
      <c r="BH93" s="22">
        <f>IF(Teams!$F$23="per user",BH92*Teams!$F$24,Teams!$F$25*BH90)</f>
        <v>12600</v>
      </c>
      <c r="BI93" s="22">
        <f>IF(Teams!$F$23="per user",BI92*Teams!$F$24,Teams!$F$25*BI90)</f>
        <v>12600</v>
      </c>
      <c r="BJ93" s="22">
        <f>IF(Teams!$F$23="per user",BJ92*Teams!$F$24,Teams!$F$25*BJ90)</f>
        <v>12600</v>
      </c>
      <c r="BK93" s="22">
        <f>IF(Teams!$F$23="per user",BK92*Teams!$F$24,Teams!$F$25*BK90)</f>
        <v>12600</v>
      </c>
      <c r="BL93" s="22">
        <f>IF(Teams!$F$23="per user",BL92*Teams!$F$24,Teams!$F$25*BL90)</f>
        <v>12600</v>
      </c>
    </row>
    <row r="94" spans="1:64" x14ac:dyDescent="0.3">
      <c r="A94" s="8" t="s">
        <v>665</v>
      </c>
      <c r="B94" s="18" t="s">
        <v>435</v>
      </c>
      <c r="C94" s="44">
        <f t="shared" ref="C94:C112" si="29">SUM(D94:BL94)</f>
        <v>0</v>
      </c>
      <c r="E94" s="44">
        <f>E$5*Teams!$F$60*E91*Teams!$F$66</f>
        <v>0</v>
      </c>
      <c r="F94" s="44">
        <f>F$5*Teams!$F$60*F91*Teams!$F$66</f>
        <v>0</v>
      </c>
      <c r="G94" s="44">
        <f>G$5*Teams!$F$60*G91*Teams!$F$66</f>
        <v>0</v>
      </c>
      <c r="H94" s="44">
        <f>H$5*Teams!$F$60*H91*Teams!$F$66</f>
        <v>0</v>
      </c>
      <c r="I94" s="44">
        <f>I$5*Teams!$F$60*I91*Teams!$F$66</f>
        <v>0</v>
      </c>
      <c r="J94" s="44">
        <f>J$5*Teams!$F$60*J91*Teams!$F$66</f>
        <v>0</v>
      </c>
      <c r="K94" s="44">
        <f>K$5*Teams!$F$60*K91*Teams!$F$66</f>
        <v>0</v>
      </c>
      <c r="L94" s="44">
        <f>L$5*Teams!$F$60*L91*Teams!$F$66</f>
        <v>0</v>
      </c>
      <c r="M94" s="44">
        <f>M$5*Teams!$F$60*M91*Teams!$F$66</f>
        <v>0</v>
      </c>
      <c r="N94" s="44">
        <f>N$5*Teams!$F$60*N91*Teams!$F$66</f>
        <v>0</v>
      </c>
      <c r="O94" s="44">
        <f>O$5*Teams!$F$60*O91*Teams!$F$66</f>
        <v>0</v>
      </c>
      <c r="P94" s="44">
        <f>P$5*Teams!$F$60*P91*Teams!$F$66</f>
        <v>0</v>
      </c>
      <c r="Q94" s="44">
        <f>Q$5*Teams!$F$60*Q91*Teams!$F$66</f>
        <v>0</v>
      </c>
      <c r="R94" s="44">
        <f>R$5*Teams!$F$60*R91*Teams!$F$66</f>
        <v>0</v>
      </c>
      <c r="S94" s="44">
        <f>S$5*Teams!$F$60*S91*Teams!$F$66</f>
        <v>0</v>
      </c>
      <c r="T94" s="44">
        <f>T$5*Teams!$F$60*T91*Teams!$F$66</f>
        <v>0</v>
      </c>
      <c r="U94" s="44">
        <f>U$5*Teams!$F$60*U91*Teams!$F$66</f>
        <v>0</v>
      </c>
      <c r="V94" s="44">
        <f>V$5*Teams!$F$60*V91*Teams!$F$66</f>
        <v>0</v>
      </c>
      <c r="W94" s="44">
        <f>W$5*Teams!$F$60*W91*Teams!$F$66</f>
        <v>0</v>
      </c>
      <c r="X94" s="44">
        <f>X$5*Teams!$F$60*X91*Teams!$F$66</f>
        <v>0</v>
      </c>
      <c r="Y94" s="44">
        <f>Y$5*Teams!$F$60*Y91*Teams!$F$66</f>
        <v>0</v>
      </c>
      <c r="Z94" s="44">
        <f>Z$5*Teams!$F$60*Z91*Teams!$F$66</f>
        <v>0</v>
      </c>
      <c r="AA94" s="44">
        <f>AA$5*Teams!$F$60*AA91*Teams!$F$66</f>
        <v>0</v>
      </c>
      <c r="AB94" s="44">
        <f>AB$5*Teams!$F$60*AB91*Teams!$F$66</f>
        <v>0</v>
      </c>
      <c r="AC94" s="44">
        <f>AC$5*Teams!$F$60*AC91*Teams!$F$66</f>
        <v>0</v>
      </c>
      <c r="AD94" s="44">
        <f>AD$5*Teams!$F$60*AD91*Teams!$F$66</f>
        <v>0</v>
      </c>
      <c r="AE94" s="44">
        <f>AE$5*Teams!$F$60*AE91*Teams!$F$66</f>
        <v>0</v>
      </c>
      <c r="AF94" s="44">
        <f>AF$5*Teams!$F$60*AF91*Teams!$F$66</f>
        <v>0</v>
      </c>
      <c r="AG94" s="44">
        <f>AG$5*Teams!$F$60*AG91*Teams!$F$66</f>
        <v>0</v>
      </c>
      <c r="AH94" s="44">
        <f>AH$5*Teams!$F$60*AH91*Teams!$F$66</f>
        <v>0</v>
      </c>
      <c r="AI94" s="44">
        <f>AI$5*Teams!$F$60*AI91*Teams!$F$66</f>
        <v>0</v>
      </c>
      <c r="AJ94" s="44">
        <f>AJ$5*Teams!$F$60*AJ91*Teams!$F$66</f>
        <v>0</v>
      </c>
      <c r="AK94" s="44">
        <f>AK$5*Teams!$F$60*AK91*Teams!$F$66</f>
        <v>0</v>
      </c>
      <c r="AL94" s="44">
        <f>AL$5*Teams!$F$60*AL91*Teams!$F$66</f>
        <v>0</v>
      </c>
      <c r="AM94" s="44">
        <f>AM$5*Teams!$F$60*AM91*Teams!$F$66</f>
        <v>0</v>
      </c>
      <c r="AN94" s="44">
        <f>AN$5*Teams!$F$60*AN91*Teams!$F$66</f>
        <v>0</v>
      </c>
      <c r="AO94" s="44">
        <f>AO$5*Teams!$F$60*AO91*Teams!$F$66</f>
        <v>0</v>
      </c>
      <c r="AP94" s="44">
        <f>AP$5*Teams!$F$60*AP91*Teams!$F$66</f>
        <v>0</v>
      </c>
      <c r="AQ94" s="44">
        <f>AQ$5*Teams!$F$60*AQ91*Teams!$F$66</f>
        <v>0</v>
      </c>
      <c r="AR94" s="44">
        <f>AR$5*Teams!$F$60*AR91*Teams!$F$66</f>
        <v>0</v>
      </c>
      <c r="AS94" s="44">
        <f>AS$5*Teams!$F$60*AS91*Teams!$F$66</f>
        <v>0</v>
      </c>
      <c r="AT94" s="44">
        <f>AT$5*Teams!$F$60*AT91*Teams!$F$66</f>
        <v>0</v>
      </c>
      <c r="AU94" s="44">
        <f>AU$5*Teams!$F$60*AU91*Teams!$F$66</f>
        <v>0</v>
      </c>
      <c r="AV94" s="44">
        <f>AV$5*Teams!$F$60*AV91*Teams!$F$66</f>
        <v>0</v>
      </c>
      <c r="AW94" s="44">
        <f>AW$5*Teams!$F$60*AW91*Teams!$F$66</f>
        <v>0</v>
      </c>
      <c r="AX94" s="44">
        <f>AX$5*Teams!$F$60*AX91*Teams!$F$66</f>
        <v>0</v>
      </c>
      <c r="AY94" s="44">
        <f>AY$5*Teams!$F$60*AY91*Teams!$F$66</f>
        <v>0</v>
      </c>
      <c r="AZ94" s="44">
        <f>AZ$5*Teams!$F$60*AZ91*Teams!$F$66</f>
        <v>0</v>
      </c>
      <c r="BA94" s="44">
        <f>BA$5*Teams!$F$60*BA91*Teams!$F$66</f>
        <v>0</v>
      </c>
      <c r="BB94" s="44">
        <f>BB$5*Teams!$F$60*BB91*Teams!$F$66</f>
        <v>0</v>
      </c>
      <c r="BC94" s="44">
        <f>BC$5*Teams!$F$60*BC91*Teams!$F$66</f>
        <v>0</v>
      </c>
      <c r="BD94" s="44">
        <f>BD$5*Teams!$F$60*BD91*Teams!$F$66</f>
        <v>0</v>
      </c>
      <c r="BE94" s="44">
        <f>BE$5*Teams!$F$60*BE91*Teams!$F$66</f>
        <v>0</v>
      </c>
      <c r="BF94" s="44">
        <f>BF$5*Teams!$F$60*BF91*Teams!$F$66</f>
        <v>0</v>
      </c>
      <c r="BG94" s="44">
        <f>BG$5*Teams!$F$60*BG91*Teams!$F$66</f>
        <v>0</v>
      </c>
      <c r="BH94" s="44">
        <f>BH$5*Teams!$F$60*BH91*Teams!$F$66</f>
        <v>0</v>
      </c>
      <c r="BI94" s="44">
        <f>BI$5*Teams!$F$60*BI91*Teams!$F$66</f>
        <v>0</v>
      </c>
      <c r="BJ94" s="44">
        <f>BJ$5*Teams!$F$60*BJ91*Teams!$F$66</f>
        <v>0</v>
      </c>
      <c r="BK94" s="44">
        <f>BK$5*Teams!$F$60*BK91*Teams!$F$66</f>
        <v>0</v>
      </c>
      <c r="BL94" s="44">
        <f>BL$5*Teams!$F$60*BL91*Teams!$F$66</f>
        <v>0</v>
      </c>
    </row>
    <row r="95" spans="1:64" x14ac:dyDescent="0.3">
      <c r="A95" s="8" t="s">
        <v>666</v>
      </c>
      <c r="B95" s="18" t="s">
        <v>435</v>
      </c>
      <c r="C95" s="44">
        <f t="shared" si="29"/>
        <v>83196.590400000059</v>
      </c>
      <c r="E95" s="44">
        <f>E$5*IF(Teams!$F$61=1,E92*((1-Teams!$F$13)*MAX(0,Teams!$F$72*$C$89-Teams!$F$12)+Teams!$F$13*MAX(0,Teams!$F$73*$C$89-Teams!$F$12)),IF(Teams!$F$62=1,E93*$C$89,0))</f>
        <v>0</v>
      </c>
      <c r="F95" s="44">
        <f>F$5*IF(Teams!$F$61=1,F92*((1-Teams!$F$13)*MAX(0,Teams!$F$72*$C$89-Teams!$F$12)+Teams!$F$13*MAX(0,Teams!$F$73*$C$89-Teams!$F$12)),IF(Teams!$F$62=1,F93*$C$89,0))</f>
        <v>0</v>
      </c>
      <c r="G95" s="44">
        <f>G$5*IF(Teams!$F$61=1,G92*((1-Teams!$F$13)*MAX(0,Teams!$F$72*$C$89-Teams!$F$12)+Teams!$F$13*MAX(0,Teams!$F$73*$C$89-Teams!$F$12)),IF(Teams!$F$62=1,G93*$C$89,0))</f>
        <v>270.3889188</v>
      </c>
      <c r="H95" s="44">
        <f>H$5*IF(Teams!$F$61=1,H92*((1-Teams!$F$13)*MAX(0,Teams!$F$72*$C$89-Teams!$F$12)+Teams!$F$13*MAX(0,Teams!$F$73*$C$89-Teams!$F$12)),IF(Teams!$F$62=1,H93*$C$89,0))</f>
        <v>915.16249440000013</v>
      </c>
      <c r="I95" s="44">
        <f>I$5*IF(Teams!$F$61=1,I92*((1-Teams!$F$13)*MAX(0,Teams!$F$72*$C$89-Teams!$F$12)+Teams!$F$13*MAX(0,Teams!$F$73*$C$89-Teams!$F$12)),IF(Teams!$F$62=1,I93*$C$89,0))</f>
        <v>1684.7309556000002</v>
      </c>
      <c r="J95" s="44">
        <f>J$5*IF(Teams!$F$61=1,J92*((1-Teams!$F$13)*MAX(0,Teams!$F$72*$C$89-Teams!$F$12)+Teams!$F$13*MAX(0,Teams!$F$73*$C$89-Teams!$F$12)),IF(Teams!$F$62=1,J93*$C$89,0))</f>
        <v>2329.5045312000002</v>
      </c>
      <c r="K95" s="44">
        <f>K$5*IF(Teams!$F$61=1,K92*((1-Teams!$F$13)*MAX(0,Teams!$F$72*$C$89-Teams!$F$12)+Teams!$F$13*MAX(0,Teams!$F$73*$C$89-Teams!$F$12)),IF(Teams!$F$62=1,K93*$C$89,0))</f>
        <v>2599.89345</v>
      </c>
      <c r="L95" s="44">
        <f>L$5*IF(Teams!$F$61=1,L92*((1-Teams!$F$13)*MAX(0,Teams!$F$72*$C$89-Teams!$F$12)+Teams!$F$13*MAX(0,Teams!$F$73*$C$89-Teams!$F$12)),IF(Teams!$F$62=1,L93*$C$89,0))</f>
        <v>2599.89345</v>
      </c>
      <c r="M95" s="44">
        <f>M$5*IF(Teams!$F$61=1,M92*((1-Teams!$F$13)*MAX(0,Teams!$F$72*$C$89-Teams!$F$12)+Teams!$F$13*MAX(0,Teams!$F$73*$C$89-Teams!$F$12)),IF(Teams!$F$62=1,M93*$C$89,0))</f>
        <v>2599.89345</v>
      </c>
      <c r="N95" s="44">
        <f>N$5*IF(Teams!$F$61=1,N92*((1-Teams!$F$13)*MAX(0,Teams!$F$72*$C$89-Teams!$F$12)+Teams!$F$13*MAX(0,Teams!$F$73*$C$89-Teams!$F$12)),IF(Teams!$F$62=1,N93*$C$89,0))</f>
        <v>2599.89345</v>
      </c>
      <c r="O95" s="44">
        <f>O$5*IF(Teams!$F$61=1,O92*((1-Teams!$F$13)*MAX(0,Teams!$F$72*$C$89-Teams!$F$12)+Teams!$F$13*MAX(0,Teams!$F$73*$C$89-Teams!$F$12)),IF(Teams!$F$62=1,O93*$C$89,0))</f>
        <v>2599.89345</v>
      </c>
      <c r="P95" s="44">
        <f>P$5*IF(Teams!$F$61=1,P92*((1-Teams!$F$13)*MAX(0,Teams!$F$72*$C$89-Teams!$F$12)+Teams!$F$13*MAX(0,Teams!$F$73*$C$89-Teams!$F$12)),IF(Teams!$F$62=1,P93*$C$89,0))</f>
        <v>2599.89345</v>
      </c>
      <c r="Q95" s="44">
        <f>Q$5*IF(Teams!$F$61=1,Q92*((1-Teams!$F$13)*MAX(0,Teams!$F$72*$C$89-Teams!$F$12)+Teams!$F$13*MAX(0,Teams!$F$73*$C$89-Teams!$F$12)),IF(Teams!$F$62=1,Q93*$C$89,0))</f>
        <v>2599.89345</v>
      </c>
      <c r="R95" s="44">
        <f>R$5*IF(Teams!$F$61=1,R92*((1-Teams!$F$13)*MAX(0,Teams!$F$72*$C$89-Teams!$F$12)+Teams!$F$13*MAX(0,Teams!$F$73*$C$89-Teams!$F$12)),IF(Teams!$F$62=1,R93*$C$89,0))</f>
        <v>2599.89345</v>
      </c>
      <c r="S95" s="44">
        <f>S$5*IF(Teams!$F$61=1,S92*((1-Teams!$F$13)*MAX(0,Teams!$F$72*$C$89-Teams!$F$12)+Teams!$F$13*MAX(0,Teams!$F$73*$C$89-Teams!$F$12)),IF(Teams!$F$62=1,S93*$C$89,0))</f>
        <v>2599.89345</v>
      </c>
      <c r="T95" s="44">
        <f>T$5*IF(Teams!$F$61=1,T92*((1-Teams!$F$13)*MAX(0,Teams!$F$72*$C$89-Teams!$F$12)+Teams!$F$13*MAX(0,Teams!$F$73*$C$89-Teams!$F$12)),IF(Teams!$F$62=1,T93*$C$89,0))</f>
        <v>2599.89345</v>
      </c>
      <c r="U95" s="44">
        <f>U$5*IF(Teams!$F$61=1,U92*((1-Teams!$F$13)*MAX(0,Teams!$F$72*$C$89-Teams!$F$12)+Teams!$F$13*MAX(0,Teams!$F$73*$C$89-Teams!$F$12)),IF(Teams!$F$62=1,U93*$C$89,0))</f>
        <v>2599.89345</v>
      </c>
      <c r="V95" s="44">
        <f>V$5*IF(Teams!$F$61=1,V92*((1-Teams!$F$13)*MAX(0,Teams!$F$72*$C$89-Teams!$F$12)+Teams!$F$13*MAX(0,Teams!$F$73*$C$89-Teams!$F$12)),IF(Teams!$F$62=1,V93*$C$89,0))</f>
        <v>2599.89345</v>
      </c>
      <c r="W95" s="44">
        <f>W$5*IF(Teams!$F$61=1,W92*((1-Teams!$F$13)*MAX(0,Teams!$F$72*$C$89-Teams!$F$12)+Teams!$F$13*MAX(0,Teams!$F$73*$C$89-Teams!$F$12)),IF(Teams!$F$62=1,W93*$C$89,0))</f>
        <v>2599.89345</v>
      </c>
      <c r="X95" s="44">
        <f>X$5*IF(Teams!$F$61=1,X92*((1-Teams!$F$13)*MAX(0,Teams!$F$72*$C$89-Teams!$F$12)+Teams!$F$13*MAX(0,Teams!$F$73*$C$89-Teams!$F$12)),IF(Teams!$F$62=1,X93*$C$89,0))</f>
        <v>2599.89345</v>
      </c>
      <c r="Y95" s="44">
        <f>Y$5*IF(Teams!$F$61=1,Y92*((1-Teams!$F$13)*MAX(0,Teams!$F$72*$C$89-Teams!$F$12)+Teams!$F$13*MAX(0,Teams!$F$73*$C$89-Teams!$F$12)),IF(Teams!$F$62=1,Y93*$C$89,0))</f>
        <v>2599.89345</v>
      </c>
      <c r="Z95" s="44">
        <f>Z$5*IF(Teams!$F$61=1,Z92*((1-Teams!$F$13)*MAX(0,Teams!$F$72*$C$89-Teams!$F$12)+Teams!$F$13*MAX(0,Teams!$F$73*$C$89-Teams!$F$12)),IF(Teams!$F$62=1,Z93*$C$89,0))</f>
        <v>2599.89345</v>
      </c>
      <c r="AA95" s="44">
        <f>AA$5*IF(Teams!$F$61=1,AA92*((1-Teams!$F$13)*MAX(0,Teams!$F$72*$C$89-Teams!$F$12)+Teams!$F$13*MAX(0,Teams!$F$73*$C$89-Teams!$F$12)),IF(Teams!$F$62=1,AA93*$C$89,0))</f>
        <v>2599.89345</v>
      </c>
      <c r="AB95" s="44">
        <f>AB$5*IF(Teams!$F$61=1,AB92*((1-Teams!$F$13)*MAX(0,Teams!$F$72*$C$89-Teams!$F$12)+Teams!$F$13*MAX(0,Teams!$F$73*$C$89-Teams!$F$12)),IF(Teams!$F$62=1,AB93*$C$89,0))</f>
        <v>2599.89345</v>
      </c>
      <c r="AC95" s="44">
        <f>AC$5*IF(Teams!$F$61=1,AC92*((1-Teams!$F$13)*MAX(0,Teams!$F$72*$C$89-Teams!$F$12)+Teams!$F$13*MAX(0,Teams!$F$73*$C$89-Teams!$F$12)),IF(Teams!$F$62=1,AC93*$C$89,0))</f>
        <v>2599.89345</v>
      </c>
      <c r="AD95" s="44">
        <f>AD$5*IF(Teams!$F$61=1,AD92*((1-Teams!$F$13)*MAX(0,Teams!$F$72*$C$89-Teams!$F$12)+Teams!$F$13*MAX(0,Teams!$F$73*$C$89-Teams!$F$12)),IF(Teams!$F$62=1,AD93*$C$89,0))</f>
        <v>2599.89345</v>
      </c>
      <c r="AE95" s="44">
        <f>AE$5*IF(Teams!$F$61=1,AE92*((1-Teams!$F$13)*MAX(0,Teams!$F$72*$C$89-Teams!$F$12)+Teams!$F$13*MAX(0,Teams!$F$73*$C$89-Teams!$F$12)),IF(Teams!$F$62=1,AE93*$C$89,0))</f>
        <v>2599.89345</v>
      </c>
      <c r="AF95" s="44">
        <f>AF$5*IF(Teams!$F$61=1,AF92*((1-Teams!$F$13)*MAX(0,Teams!$F$72*$C$89-Teams!$F$12)+Teams!$F$13*MAX(0,Teams!$F$73*$C$89-Teams!$F$12)),IF(Teams!$F$62=1,AF93*$C$89,0))</f>
        <v>2599.89345</v>
      </c>
      <c r="AG95" s="44">
        <f>AG$5*IF(Teams!$F$61=1,AG92*((1-Teams!$F$13)*MAX(0,Teams!$F$72*$C$89-Teams!$F$12)+Teams!$F$13*MAX(0,Teams!$F$73*$C$89-Teams!$F$12)),IF(Teams!$F$62=1,AG93*$C$89,0))</f>
        <v>2599.89345</v>
      </c>
      <c r="AH95" s="44">
        <f>AH$5*IF(Teams!$F$61=1,AH92*((1-Teams!$F$13)*MAX(0,Teams!$F$72*$C$89-Teams!$F$12)+Teams!$F$13*MAX(0,Teams!$F$73*$C$89-Teams!$F$12)),IF(Teams!$F$62=1,AH93*$C$89,0))</f>
        <v>2599.89345</v>
      </c>
      <c r="AI95" s="44">
        <f>AI$5*IF(Teams!$F$61=1,AI92*((1-Teams!$F$13)*MAX(0,Teams!$F$72*$C$89-Teams!$F$12)+Teams!$F$13*MAX(0,Teams!$F$73*$C$89-Teams!$F$12)),IF(Teams!$F$62=1,AI93*$C$89,0))</f>
        <v>2599.89345</v>
      </c>
      <c r="AJ95" s="44">
        <f>AJ$5*IF(Teams!$F$61=1,AJ92*((1-Teams!$F$13)*MAX(0,Teams!$F$72*$C$89-Teams!$F$12)+Teams!$F$13*MAX(0,Teams!$F$73*$C$89-Teams!$F$12)),IF(Teams!$F$62=1,AJ93*$C$89,0))</f>
        <v>2599.89345</v>
      </c>
      <c r="AK95" s="44">
        <f>AK$5*IF(Teams!$F$61=1,AK92*((1-Teams!$F$13)*MAX(0,Teams!$F$72*$C$89-Teams!$F$12)+Teams!$F$13*MAX(0,Teams!$F$73*$C$89-Teams!$F$12)),IF(Teams!$F$62=1,AK93*$C$89,0))</f>
        <v>2599.89345</v>
      </c>
      <c r="AL95" s="44">
        <f>AL$5*IF(Teams!$F$61=1,AL92*((1-Teams!$F$13)*MAX(0,Teams!$F$72*$C$89-Teams!$F$12)+Teams!$F$13*MAX(0,Teams!$F$73*$C$89-Teams!$F$12)),IF(Teams!$F$62=1,AL93*$C$89,0))</f>
        <v>2599.89345</v>
      </c>
      <c r="AM95" s="44">
        <f>AM$5*IF(Teams!$F$61=1,AM92*((1-Teams!$F$13)*MAX(0,Teams!$F$72*$C$89-Teams!$F$12)+Teams!$F$13*MAX(0,Teams!$F$73*$C$89-Teams!$F$12)),IF(Teams!$F$62=1,AM93*$C$89,0))</f>
        <v>2599.89345</v>
      </c>
      <c r="AN95" s="44">
        <f>AN$5*IF(Teams!$F$61=1,AN92*((1-Teams!$F$13)*MAX(0,Teams!$F$72*$C$89-Teams!$F$12)+Teams!$F$13*MAX(0,Teams!$F$73*$C$89-Teams!$F$12)),IF(Teams!$F$62=1,AN93*$C$89,0))</f>
        <v>2599.89345</v>
      </c>
      <c r="AO95" s="44">
        <f>AO$5*IF(Teams!$F$61=1,AO92*((1-Teams!$F$13)*MAX(0,Teams!$F$72*$C$89-Teams!$F$12)+Teams!$F$13*MAX(0,Teams!$F$73*$C$89-Teams!$F$12)),IF(Teams!$F$62=1,AO93*$C$89,0))</f>
        <v>0</v>
      </c>
      <c r="AP95" s="44">
        <f>AP$5*IF(Teams!$F$61=1,AP92*((1-Teams!$F$13)*MAX(0,Teams!$F$72*$C$89-Teams!$F$12)+Teams!$F$13*MAX(0,Teams!$F$73*$C$89-Teams!$F$12)),IF(Teams!$F$62=1,AP93*$C$89,0))</f>
        <v>0</v>
      </c>
      <c r="AQ95" s="44">
        <f>AQ$5*IF(Teams!$F$61=1,AQ92*((1-Teams!$F$13)*MAX(0,Teams!$F$72*$C$89-Teams!$F$12)+Teams!$F$13*MAX(0,Teams!$F$73*$C$89-Teams!$F$12)),IF(Teams!$F$62=1,AQ93*$C$89,0))</f>
        <v>0</v>
      </c>
      <c r="AR95" s="44">
        <f>AR$5*IF(Teams!$F$61=1,AR92*((1-Teams!$F$13)*MAX(0,Teams!$F$72*$C$89-Teams!$F$12)+Teams!$F$13*MAX(0,Teams!$F$73*$C$89-Teams!$F$12)),IF(Teams!$F$62=1,AR93*$C$89,0))</f>
        <v>0</v>
      </c>
      <c r="AS95" s="44">
        <f>AS$5*IF(Teams!$F$61=1,AS92*((1-Teams!$F$13)*MAX(0,Teams!$F$72*$C$89-Teams!$F$12)+Teams!$F$13*MAX(0,Teams!$F$73*$C$89-Teams!$F$12)),IF(Teams!$F$62=1,AS93*$C$89,0))</f>
        <v>0</v>
      </c>
      <c r="AT95" s="44">
        <f>AT$5*IF(Teams!$F$61=1,AT92*((1-Teams!$F$13)*MAX(0,Teams!$F$72*$C$89-Teams!$F$12)+Teams!$F$13*MAX(0,Teams!$F$73*$C$89-Teams!$F$12)),IF(Teams!$F$62=1,AT93*$C$89,0))</f>
        <v>0</v>
      </c>
      <c r="AU95" s="44">
        <f>AU$5*IF(Teams!$F$61=1,AU92*((1-Teams!$F$13)*MAX(0,Teams!$F$72*$C$89-Teams!$F$12)+Teams!$F$13*MAX(0,Teams!$F$73*$C$89-Teams!$F$12)),IF(Teams!$F$62=1,AU93*$C$89,0))</f>
        <v>0</v>
      </c>
      <c r="AV95" s="44">
        <f>AV$5*IF(Teams!$F$61=1,AV92*((1-Teams!$F$13)*MAX(0,Teams!$F$72*$C$89-Teams!$F$12)+Teams!$F$13*MAX(0,Teams!$F$73*$C$89-Teams!$F$12)),IF(Teams!$F$62=1,AV93*$C$89,0))</f>
        <v>0</v>
      </c>
      <c r="AW95" s="44">
        <f>AW$5*IF(Teams!$F$61=1,AW92*((1-Teams!$F$13)*MAX(0,Teams!$F$72*$C$89-Teams!$F$12)+Teams!$F$13*MAX(0,Teams!$F$73*$C$89-Teams!$F$12)),IF(Teams!$F$62=1,AW93*$C$89,0))</f>
        <v>0</v>
      </c>
      <c r="AX95" s="44">
        <f>AX$5*IF(Teams!$F$61=1,AX92*((1-Teams!$F$13)*MAX(0,Teams!$F$72*$C$89-Teams!$F$12)+Teams!$F$13*MAX(0,Teams!$F$73*$C$89-Teams!$F$12)),IF(Teams!$F$62=1,AX93*$C$89,0))</f>
        <v>0</v>
      </c>
      <c r="AY95" s="44">
        <f>AY$5*IF(Teams!$F$61=1,AY92*((1-Teams!$F$13)*MAX(0,Teams!$F$72*$C$89-Teams!$F$12)+Teams!$F$13*MAX(0,Teams!$F$73*$C$89-Teams!$F$12)),IF(Teams!$F$62=1,AY93*$C$89,0))</f>
        <v>0</v>
      </c>
      <c r="AZ95" s="44">
        <f>AZ$5*IF(Teams!$F$61=1,AZ92*((1-Teams!$F$13)*MAX(0,Teams!$F$72*$C$89-Teams!$F$12)+Teams!$F$13*MAX(0,Teams!$F$73*$C$89-Teams!$F$12)),IF(Teams!$F$62=1,AZ93*$C$89,0))</f>
        <v>0</v>
      </c>
      <c r="BA95" s="44">
        <f>BA$5*IF(Teams!$F$61=1,BA92*((1-Teams!$F$13)*MAX(0,Teams!$F$72*$C$89-Teams!$F$12)+Teams!$F$13*MAX(0,Teams!$F$73*$C$89-Teams!$F$12)),IF(Teams!$F$62=1,BA93*$C$89,0))</f>
        <v>0</v>
      </c>
      <c r="BB95" s="44">
        <f>BB$5*IF(Teams!$F$61=1,BB92*((1-Teams!$F$13)*MAX(0,Teams!$F$72*$C$89-Teams!$F$12)+Teams!$F$13*MAX(0,Teams!$F$73*$C$89-Teams!$F$12)),IF(Teams!$F$62=1,BB93*$C$89,0))</f>
        <v>0</v>
      </c>
      <c r="BC95" s="44">
        <f>BC$5*IF(Teams!$F$61=1,BC92*((1-Teams!$F$13)*MAX(0,Teams!$F$72*$C$89-Teams!$F$12)+Teams!$F$13*MAX(0,Teams!$F$73*$C$89-Teams!$F$12)),IF(Teams!$F$62=1,BC93*$C$89,0))</f>
        <v>0</v>
      </c>
      <c r="BD95" s="44">
        <f>BD$5*IF(Teams!$F$61=1,BD92*((1-Teams!$F$13)*MAX(0,Teams!$F$72*$C$89-Teams!$F$12)+Teams!$F$13*MAX(0,Teams!$F$73*$C$89-Teams!$F$12)),IF(Teams!$F$62=1,BD93*$C$89,0))</f>
        <v>0</v>
      </c>
      <c r="BE95" s="44">
        <f>BE$5*IF(Teams!$F$61=1,BE92*((1-Teams!$F$13)*MAX(0,Teams!$F$72*$C$89-Teams!$F$12)+Teams!$F$13*MAX(0,Teams!$F$73*$C$89-Teams!$F$12)),IF(Teams!$F$62=1,BE93*$C$89,0))</f>
        <v>0</v>
      </c>
      <c r="BF95" s="44">
        <f>BF$5*IF(Teams!$F$61=1,BF92*((1-Teams!$F$13)*MAX(0,Teams!$F$72*$C$89-Teams!$F$12)+Teams!$F$13*MAX(0,Teams!$F$73*$C$89-Teams!$F$12)),IF(Teams!$F$62=1,BF93*$C$89,0))</f>
        <v>0</v>
      </c>
      <c r="BG95" s="44">
        <f>BG$5*IF(Teams!$F$61=1,BG92*((1-Teams!$F$13)*MAX(0,Teams!$F$72*$C$89-Teams!$F$12)+Teams!$F$13*MAX(0,Teams!$F$73*$C$89-Teams!$F$12)),IF(Teams!$F$62=1,BG93*$C$89,0))</f>
        <v>0</v>
      </c>
      <c r="BH95" s="44">
        <f>BH$5*IF(Teams!$F$61=1,BH92*((1-Teams!$F$13)*MAX(0,Teams!$F$72*$C$89-Teams!$F$12)+Teams!$F$13*MAX(0,Teams!$F$73*$C$89-Teams!$F$12)),IF(Teams!$F$62=1,BH93*$C$89,0))</f>
        <v>0</v>
      </c>
      <c r="BI95" s="44">
        <f>BI$5*IF(Teams!$F$61=1,BI92*((1-Teams!$F$13)*MAX(0,Teams!$F$72*$C$89-Teams!$F$12)+Teams!$F$13*MAX(0,Teams!$F$73*$C$89-Teams!$F$12)),IF(Teams!$F$62=1,BI93*$C$89,0))</f>
        <v>0</v>
      </c>
      <c r="BJ95" s="44">
        <f>BJ$5*IF(Teams!$F$61=1,BJ92*((1-Teams!$F$13)*MAX(0,Teams!$F$72*$C$89-Teams!$F$12)+Teams!$F$13*MAX(0,Teams!$F$73*$C$89-Teams!$F$12)),IF(Teams!$F$62=1,BJ93*$C$89,0))</f>
        <v>0</v>
      </c>
      <c r="BK95" s="44">
        <f>BK$5*IF(Teams!$F$61=1,BK92*((1-Teams!$F$13)*MAX(0,Teams!$F$72*$C$89-Teams!$F$12)+Teams!$F$13*MAX(0,Teams!$F$73*$C$89-Teams!$F$12)),IF(Teams!$F$62=1,BK93*$C$89,0))</f>
        <v>0</v>
      </c>
      <c r="BL95" s="44">
        <f>BL$5*IF(Teams!$F$61=1,BL92*((1-Teams!$F$13)*MAX(0,Teams!$F$72*$C$89-Teams!$F$12)+Teams!$F$13*MAX(0,Teams!$F$73*$C$89-Teams!$F$12)),IF(Teams!$F$62=1,BL93*$C$89,0))</f>
        <v>0</v>
      </c>
    </row>
    <row r="96" spans="1:64" x14ac:dyDescent="0.3">
      <c r="A96" s="8" t="s">
        <v>667</v>
      </c>
      <c r="B96" s="18" t="s">
        <v>435</v>
      </c>
      <c r="C96" s="44">
        <f t="shared" si="29"/>
        <v>0</v>
      </c>
      <c r="E96" s="44">
        <f>E$5*Teams!$F$63*E93*Teams!$F$67</f>
        <v>0</v>
      </c>
      <c r="F96" s="44">
        <f>F$5*Teams!$F$63*F93*Teams!$F$67</f>
        <v>0</v>
      </c>
      <c r="G96" s="44">
        <f>G$5*Teams!$F$63*G93*Teams!$F$67</f>
        <v>0</v>
      </c>
      <c r="H96" s="44">
        <f>H$5*Teams!$F$63*H93*Teams!$F$67</f>
        <v>0</v>
      </c>
      <c r="I96" s="44">
        <f>I$5*Teams!$F$63*I93*Teams!$F$67</f>
        <v>0</v>
      </c>
      <c r="J96" s="44">
        <f>J$5*Teams!$F$63*J93*Teams!$F$67</f>
        <v>0</v>
      </c>
      <c r="K96" s="44">
        <f>K$5*Teams!$F$63*K93*Teams!$F$67</f>
        <v>0</v>
      </c>
      <c r="L96" s="44">
        <f>L$5*Teams!$F$63*L93*Teams!$F$67</f>
        <v>0</v>
      </c>
      <c r="M96" s="44">
        <f>M$5*Teams!$F$63*M93*Teams!$F$67</f>
        <v>0</v>
      </c>
      <c r="N96" s="44">
        <f>N$5*Teams!$F$63*N93*Teams!$F$67</f>
        <v>0</v>
      </c>
      <c r="O96" s="44">
        <f>O$5*Teams!$F$63*O93*Teams!$F$67</f>
        <v>0</v>
      </c>
      <c r="P96" s="44">
        <f>P$5*Teams!$F$63*P93*Teams!$F$67</f>
        <v>0</v>
      </c>
      <c r="Q96" s="44">
        <f>Q$5*Teams!$F$63*Q93*Teams!$F$67</f>
        <v>0</v>
      </c>
      <c r="R96" s="44">
        <f>R$5*Teams!$F$63*R93*Teams!$F$67</f>
        <v>0</v>
      </c>
      <c r="S96" s="44">
        <f>S$5*Teams!$F$63*S93*Teams!$F$67</f>
        <v>0</v>
      </c>
      <c r="T96" s="44">
        <f>T$5*Teams!$F$63*T93*Teams!$F$67</f>
        <v>0</v>
      </c>
      <c r="U96" s="44">
        <f>U$5*Teams!$F$63*U93*Teams!$F$67</f>
        <v>0</v>
      </c>
      <c r="V96" s="44">
        <f>V$5*Teams!$F$63*V93*Teams!$F$67</f>
        <v>0</v>
      </c>
      <c r="W96" s="44">
        <f>W$5*Teams!$F$63*W93*Teams!$F$67</f>
        <v>0</v>
      </c>
      <c r="X96" s="44">
        <f>X$5*Teams!$F$63*X93*Teams!$F$67</f>
        <v>0</v>
      </c>
      <c r="Y96" s="44">
        <f>Y$5*Teams!$F$63*Y93*Teams!$F$67</f>
        <v>0</v>
      </c>
      <c r="Z96" s="44">
        <f>Z$5*Teams!$F$63*Z93*Teams!$F$67</f>
        <v>0</v>
      </c>
      <c r="AA96" s="44">
        <f>AA$5*Teams!$F$63*AA93*Teams!$F$67</f>
        <v>0</v>
      </c>
      <c r="AB96" s="44">
        <f>AB$5*Teams!$F$63*AB93*Teams!$F$67</f>
        <v>0</v>
      </c>
      <c r="AC96" s="44">
        <f>AC$5*Teams!$F$63*AC93*Teams!$F$67</f>
        <v>0</v>
      </c>
      <c r="AD96" s="44">
        <f>AD$5*Teams!$F$63*AD93*Teams!$F$67</f>
        <v>0</v>
      </c>
      <c r="AE96" s="44">
        <f>AE$5*Teams!$F$63*AE93*Teams!$F$67</f>
        <v>0</v>
      </c>
      <c r="AF96" s="44">
        <f>AF$5*Teams!$F$63*AF93*Teams!$F$67</f>
        <v>0</v>
      </c>
      <c r="AG96" s="44">
        <f>AG$5*Teams!$F$63*AG93*Teams!$F$67</f>
        <v>0</v>
      </c>
      <c r="AH96" s="44">
        <f>AH$5*Teams!$F$63*AH93*Teams!$F$67</f>
        <v>0</v>
      </c>
      <c r="AI96" s="44">
        <f>AI$5*Teams!$F$63*AI93*Teams!$F$67</f>
        <v>0</v>
      </c>
      <c r="AJ96" s="44">
        <f>AJ$5*Teams!$F$63*AJ93*Teams!$F$67</f>
        <v>0</v>
      </c>
      <c r="AK96" s="44">
        <f>AK$5*Teams!$F$63*AK93*Teams!$F$67</f>
        <v>0</v>
      </c>
      <c r="AL96" s="44">
        <f>AL$5*Teams!$F$63*AL93*Teams!$F$67</f>
        <v>0</v>
      </c>
      <c r="AM96" s="44">
        <f>AM$5*Teams!$F$63*AM93*Teams!$F$67</f>
        <v>0</v>
      </c>
      <c r="AN96" s="44">
        <f>AN$5*Teams!$F$63*AN93*Teams!$F$67</f>
        <v>0</v>
      </c>
      <c r="AO96" s="44">
        <f>AO$5*Teams!$F$63*AO93*Teams!$F$67</f>
        <v>0</v>
      </c>
      <c r="AP96" s="44">
        <f>AP$5*Teams!$F$63*AP93*Teams!$F$67</f>
        <v>0</v>
      </c>
      <c r="AQ96" s="44">
        <f>AQ$5*Teams!$F$63*AQ93*Teams!$F$67</f>
        <v>0</v>
      </c>
      <c r="AR96" s="44">
        <f>AR$5*Teams!$F$63*AR93*Teams!$F$67</f>
        <v>0</v>
      </c>
      <c r="AS96" s="44">
        <f>AS$5*Teams!$F$63*AS93*Teams!$F$67</f>
        <v>0</v>
      </c>
      <c r="AT96" s="44">
        <f>AT$5*Teams!$F$63*AT93*Teams!$F$67</f>
        <v>0</v>
      </c>
      <c r="AU96" s="44">
        <f>AU$5*Teams!$F$63*AU93*Teams!$F$67</f>
        <v>0</v>
      </c>
      <c r="AV96" s="44">
        <f>AV$5*Teams!$F$63*AV93*Teams!$F$67</f>
        <v>0</v>
      </c>
      <c r="AW96" s="44">
        <f>AW$5*Teams!$F$63*AW93*Teams!$F$67</f>
        <v>0</v>
      </c>
      <c r="AX96" s="44">
        <f>AX$5*Teams!$F$63*AX93*Teams!$F$67</f>
        <v>0</v>
      </c>
      <c r="AY96" s="44">
        <f>AY$5*Teams!$F$63*AY93*Teams!$F$67</f>
        <v>0</v>
      </c>
      <c r="AZ96" s="44">
        <f>AZ$5*Teams!$F$63*AZ93*Teams!$F$67</f>
        <v>0</v>
      </c>
      <c r="BA96" s="44">
        <f>BA$5*Teams!$F$63*BA93*Teams!$F$67</f>
        <v>0</v>
      </c>
      <c r="BB96" s="44">
        <f>BB$5*Teams!$F$63*BB93*Teams!$F$67</f>
        <v>0</v>
      </c>
      <c r="BC96" s="44">
        <f>BC$5*Teams!$F$63*BC93*Teams!$F$67</f>
        <v>0</v>
      </c>
      <c r="BD96" s="44">
        <f>BD$5*Teams!$F$63*BD93*Teams!$F$67</f>
        <v>0</v>
      </c>
      <c r="BE96" s="44">
        <f>BE$5*Teams!$F$63*BE93*Teams!$F$67</f>
        <v>0</v>
      </c>
      <c r="BF96" s="44">
        <f>BF$5*Teams!$F$63*BF93*Teams!$F$67</f>
        <v>0</v>
      </c>
      <c r="BG96" s="44">
        <f>BG$5*Teams!$F$63*BG93*Teams!$F$67</f>
        <v>0</v>
      </c>
      <c r="BH96" s="44">
        <f>BH$5*Teams!$F$63*BH93*Teams!$F$67</f>
        <v>0</v>
      </c>
      <c r="BI96" s="44">
        <f>BI$5*Teams!$F$63*BI93*Teams!$F$67</f>
        <v>0</v>
      </c>
      <c r="BJ96" s="44">
        <f>BJ$5*Teams!$F$63*BJ93*Teams!$F$67</f>
        <v>0</v>
      </c>
      <c r="BK96" s="44">
        <f>BK$5*Teams!$F$63*BK93*Teams!$F$67</f>
        <v>0</v>
      </c>
      <c r="BL96" s="44">
        <f>BL$5*Teams!$F$63*BL93*Teams!$F$67</f>
        <v>0</v>
      </c>
    </row>
    <row r="97" spans="1:64" x14ac:dyDescent="0.3">
      <c r="A97" s="8" t="s">
        <v>668</v>
      </c>
      <c r="B97" s="18" t="s">
        <v>435</v>
      </c>
      <c r="C97" s="44">
        <f t="shared" si="29"/>
        <v>7620.4800000000041</v>
      </c>
      <c r="E97" s="44">
        <f>E$5*Teams!$F$65*E93*Teams!$F$74</f>
        <v>0</v>
      </c>
      <c r="F97" s="44">
        <f>F$5*Teams!$F$65*F93*Teams!$F$74</f>
        <v>0</v>
      </c>
      <c r="G97" s="44">
        <f>G$5*Teams!$F$65*G93*Teams!$F$74</f>
        <v>24.766560000000002</v>
      </c>
      <c r="H97" s="44">
        <f>H$5*Teams!$F$65*H93*Teams!$F$74</f>
        <v>83.825280000000021</v>
      </c>
      <c r="I97" s="44">
        <f>I$5*Teams!$F$65*I93*Teams!$F$74</f>
        <v>154.31472000000002</v>
      </c>
      <c r="J97" s="44">
        <f>J$5*Teams!$F$65*J93*Teams!$F$74</f>
        <v>213.37344000000004</v>
      </c>
      <c r="K97" s="44">
        <f>K$5*Teams!$F$65*K93*Teams!$F$74</f>
        <v>238.14000000000001</v>
      </c>
      <c r="L97" s="44">
        <f>L$5*Teams!$F$65*L93*Teams!$F$74</f>
        <v>238.14000000000001</v>
      </c>
      <c r="M97" s="44">
        <f>M$5*Teams!$F$65*M93*Teams!$F$74</f>
        <v>238.14000000000001</v>
      </c>
      <c r="N97" s="44">
        <f>N$5*Teams!$F$65*N93*Teams!$F$74</f>
        <v>238.14000000000001</v>
      </c>
      <c r="O97" s="44">
        <f>O$5*Teams!$F$65*O93*Teams!$F$74</f>
        <v>238.14000000000001</v>
      </c>
      <c r="P97" s="44">
        <f>P$5*Teams!$F$65*P93*Teams!$F$74</f>
        <v>238.14000000000001</v>
      </c>
      <c r="Q97" s="44">
        <f>Q$5*Teams!$F$65*Q93*Teams!$F$74</f>
        <v>238.14000000000001</v>
      </c>
      <c r="R97" s="44">
        <f>R$5*Teams!$F$65*R93*Teams!$F$74</f>
        <v>238.14000000000001</v>
      </c>
      <c r="S97" s="44">
        <f>S$5*Teams!$F$65*S93*Teams!$F$74</f>
        <v>238.14000000000001</v>
      </c>
      <c r="T97" s="44">
        <f>T$5*Teams!$F$65*T93*Teams!$F$74</f>
        <v>238.14000000000001</v>
      </c>
      <c r="U97" s="44">
        <f>U$5*Teams!$F$65*U93*Teams!$F$74</f>
        <v>238.14000000000001</v>
      </c>
      <c r="V97" s="44">
        <f>V$5*Teams!$F$65*V93*Teams!$F$74</f>
        <v>238.14000000000001</v>
      </c>
      <c r="W97" s="44">
        <f>W$5*Teams!$F$65*W93*Teams!$F$74</f>
        <v>238.14000000000001</v>
      </c>
      <c r="X97" s="44">
        <f>X$5*Teams!$F$65*X93*Teams!$F$74</f>
        <v>238.14000000000001</v>
      </c>
      <c r="Y97" s="44">
        <f>Y$5*Teams!$F$65*Y93*Teams!$F$74</f>
        <v>238.14000000000001</v>
      </c>
      <c r="Z97" s="44">
        <f>Z$5*Teams!$F$65*Z93*Teams!$F$74</f>
        <v>238.14000000000001</v>
      </c>
      <c r="AA97" s="44">
        <f>AA$5*Teams!$F$65*AA93*Teams!$F$74</f>
        <v>238.14000000000001</v>
      </c>
      <c r="AB97" s="44">
        <f>AB$5*Teams!$F$65*AB93*Teams!$F$74</f>
        <v>238.14000000000001</v>
      </c>
      <c r="AC97" s="44">
        <f>AC$5*Teams!$F$65*AC93*Teams!$F$74</f>
        <v>238.14000000000001</v>
      </c>
      <c r="AD97" s="44">
        <f>AD$5*Teams!$F$65*AD93*Teams!$F$74</f>
        <v>238.14000000000001</v>
      </c>
      <c r="AE97" s="44">
        <f>AE$5*Teams!$F$65*AE93*Teams!$F$74</f>
        <v>238.14000000000001</v>
      </c>
      <c r="AF97" s="44">
        <f>AF$5*Teams!$F$65*AF93*Teams!$F$74</f>
        <v>238.14000000000001</v>
      </c>
      <c r="AG97" s="44">
        <f>AG$5*Teams!$F$65*AG93*Teams!$F$74</f>
        <v>238.14000000000001</v>
      </c>
      <c r="AH97" s="44">
        <f>AH$5*Teams!$F$65*AH93*Teams!$F$74</f>
        <v>238.14000000000001</v>
      </c>
      <c r="AI97" s="44">
        <f>AI$5*Teams!$F$65*AI93*Teams!$F$74</f>
        <v>238.14000000000001</v>
      </c>
      <c r="AJ97" s="44">
        <f>AJ$5*Teams!$F$65*AJ93*Teams!$F$74</f>
        <v>238.14000000000001</v>
      </c>
      <c r="AK97" s="44">
        <f>AK$5*Teams!$F$65*AK93*Teams!$F$74</f>
        <v>238.14000000000001</v>
      </c>
      <c r="AL97" s="44">
        <f>AL$5*Teams!$F$65*AL93*Teams!$F$74</f>
        <v>238.14000000000001</v>
      </c>
      <c r="AM97" s="44">
        <f>AM$5*Teams!$F$65*AM93*Teams!$F$74</f>
        <v>238.14000000000001</v>
      </c>
      <c r="AN97" s="44">
        <f>AN$5*Teams!$F$65*AN93*Teams!$F$74</f>
        <v>238.14000000000001</v>
      </c>
      <c r="AO97" s="44">
        <f>AO$5*Teams!$F$65*AO93*Teams!$F$74</f>
        <v>0</v>
      </c>
      <c r="AP97" s="44">
        <f>AP$5*Teams!$F$65*AP93*Teams!$F$74</f>
        <v>0</v>
      </c>
      <c r="AQ97" s="44">
        <f>AQ$5*Teams!$F$65*AQ93*Teams!$F$74</f>
        <v>0</v>
      </c>
      <c r="AR97" s="44">
        <f>AR$5*Teams!$F$65*AR93*Teams!$F$74</f>
        <v>0</v>
      </c>
      <c r="AS97" s="44">
        <f>AS$5*Teams!$F$65*AS93*Teams!$F$74</f>
        <v>0</v>
      </c>
      <c r="AT97" s="44">
        <f>AT$5*Teams!$F$65*AT93*Teams!$F$74</f>
        <v>0</v>
      </c>
      <c r="AU97" s="44">
        <f>AU$5*Teams!$F$65*AU93*Teams!$F$74</f>
        <v>0</v>
      </c>
      <c r="AV97" s="44">
        <f>AV$5*Teams!$F$65*AV93*Teams!$F$74</f>
        <v>0</v>
      </c>
      <c r="AW97" s="44">
        <f>AW$5*Teams!$F$65*AW93*Teams!$F$74</f>
        <v>0</v>
      </c>
      <c r="AX97" s="44">
        <f>AX$5*Teams!$F$65*AX93*Teams!$F$74</f>
        <v>0</v>
      </c>
      <c r="AY97" s="44">
        <f>AY$5*Teams!$F$65*AY93*Teams!$F$74</f>
        <v>0</v>
      </c>
      <c r="AZ97" s="44">
        <f>AZ$5*Teams!$F$65*AZ93*Teams!$F$74</f>
        <v>0</v>
      </c>
      <c r="BA97" s="44">
        <f>BA$5*Teams!$F$65*BA93*Teams!$F$74</f>
        <v>0</v>
      </c>
      <c r="BB97" s="44">
        <f>BB$5*Teams!$F$65*BB93*Teams!$F$74</f>
        <v>0</v>
      </c>
      <c r="BC97" s="44">
        <f>BC$5*Teams!$F$65*BC93*Teams!$F$74</f>
        <v>0</v>
      </c>
      <c r="BD97" s="44">
        <f>BD$5*Teams!$F$65*BD93*Teams!$F$74</f>
        <v>0</v>
      </c>
      <c r="BE97" s="44">
        <f>BE$5*Teams!$F$65*BE93*Teams!$F$74</f>
        <v>0</v>
      </c>
      <c r="BF97" s="44">
        <f>BF$5*Teams!$F$65*BF93*Teams!$F$74</f>
        <v>0</v>
      </c>
      <c r="BG97" s="44">
        <f>BG$5*Teams!$F$65*BG93*Teams!$F$74</f>
        <v>0</v>
      </c>
      <c r="BH97" s="44">
        <f>BH$5*Teams!$F$65*BH93*Teams!$F$74</f>
        <v>0</v>
      </c>
      <c r="BI97" s="44">
        <f>BI$5*Teams!$F$65*BI93*Teams!$F$74</f>
        <v>0</v>
      </c>
      <c r="BJ97" s="44">
        <f>BJ$5*Teams!$F$65*BJ93*Teams!$F$74</f>
        <v>0</v>
      </c>
      <c r="BK97" s="44">
        <f>BK$5*Teams!$F$65*BK93*Teams!$F$74</f>
        <v>0</v>
      </c>
      <c r="BL97" s="44">
        <f>BL$5*Teams!$F$65*BL93*Teams!$F$74</f>
        <v>0</v>
      </c>
    </row>
    <row r="98" spans="1:64" x14ac:dyDescent="0.3">
      <c r="A98" s="8" t="s">
        <v>669</v>
      </c>
      <c r="B98" s="18" t="s">
        <v>505</v>
      </c>
      <c r="C98" s="44">
        <f t="shared" si="29"/>
        <v>0</v>
      </c>
      <c r="E98" s="44">
        <f>E$5*Teams!$F$64*Teams!$F$16*IF(E$4&gt;=Teams!$F$80,1,0)</f>
        <v>0</v>
      </c>
      <c r="F98" s="44">
        <f>F$5*Teams!$F$64*Teams!$F$16*IF(F$4&gt;=Teams!$F$80,1,0)</f>
        <v>0</v>
      </c>
      <c r="G98" s="44">
        <f>G$5*Teams!$F$64*Teams!$F$16*IF(G$4&gt;=Teams!$F$80,1,0)</f>
        <v>0</v>
      </c>
      <c r="H98" s="44">
        <f>H$5*Teams!$F$64*Teams!$F$16*IF(H$4&gt;=Teams!$F$80,1,0)</f>
        <v>0</v>
      </c>
      <c r="I98" s="44">
        <f>I$5*Teams!$F$64*Teams!$F$16*IF(I$4&gt;=Teams!$F$80,1,0)</f>
        <v>0</v>
      </c>
      <c r="J98" s="44">
        <f>J$5*Teams!$F$64*Teams!$F$16*IF(J$4&gt;=Teams!$F$80,1,0)</f>
        <v>0</v>
      </c>
      <c r="K98" s="44">
        <f>K$5*Teams!$F$64*Teams!$F$16*IF(K$4&gt;=Teams!$F$80,1,0)</f>
        <v>0</v>
      </c>
      <c r="L98" s="44">
        <f>L$5*Teams!$F$64*Teams!$F$16*IF(L$4&gt;=Teams!$F$80,1,0)</f>
        <v>0</v>
      </c>
      <c r="M98" s="44">
        <f>M$5*Teams!$F$64*Teams!$F$16*IF(M$4&gt;=Teams!$F$80,1,0)</f>
        <v>0</v>
      </c>
      <c r="N98" s="44">
        <f>N$5*Teams!$F$64*Teams!$F$16*IF(N$4&gt;=Teams!$F$80,1,0)</f>
        <v>0</v>
      </c>
      <c r="O98" s="44">
        <f>O$5*Teams!$F$64*Teams!$F$16*IF(O$4&gt;=Teams!$F$80,1,0)</f>
        <v>0</v>
      </c>
      <c r="P98" s="44">
        <f>P$5*Teams!$F$64*Teams!$F$16*IF(P$4&gt;=Teams!$F$80,1,0)</f>
        <v>0</v>
      </c>
      <c r="Q98" s="44">
        <f>Q$5*Teams!$F$64*Teams!$F$16*IF(Q$4&gt;=Teams!$F$80,1,0)</f>
        <v>0</v>
      </c>
      <c r="R98" s="44">
        <f>R$5*Teams!$F$64*Teams!$F$16*IF(R$4&gt;=Teams!$F$80,1,0)</f>
        <v>0</v>
      </c>
      <c r="S98" s="44">
        <f>S$5*Teams!$F$64*Teams!$F$16*IF(S$4&gt;=Teams!$F$80,1,0)</f>
        <v>0</v>
      </c>
      <c r="T98" s="44">
        <f>T$5*Teams!$F$64*Teams!$F$16*IF(T$4&gt;=Teams!$F$80,1,0)</f>
        <v>0</v>
      </c>
      <c r="U98" s="44">
        <f>U$5*Teams!$F$64*Teams!$F$16*IF(U$4&gt;=Teams!$F$80,1,0)</f>
        <v>0</v>
      </c>
      <c r="V98" s="44">
        <f>V$5*Teams!$F$64*Teams!$F$16*IF(V$4&gt;=Teams!$F$80,1,0)</f>
        <v>0</v>
      </c>
      <c r="W98" s="44">
        <f>W$5*Teams!$F$64*Teams!$F$16*IF(W$4&gt;=Teams!$F$80,1,0)</f>
        <v>0</v>
      </c>
      <c r="X98" s="44">
        <f>X$5*Teams!$F$64*Teams!$F$16*IF(X$4&gt;=Teams!$F$80,1,0)</f>
        <v>0</v>
      </c>
      <c r="Y98" s="44">
        <f>Y$5*Teams!$F$64*Teams!$F$16*IF(Y$4&gt;=Teams!$F$80,1,0)</f>
        <v>0</v>
      </c>
      <c r="Z98" s="44">
        <f>Z$5*Teams!$F$64*Teams!$F$16*IF(Z$4&gt;=Teams!$F$80,1,0)</f>
        <v>0</v>
      </c>
      <c r="AA98" s="44">
        <f>AA$5*Teams!$F$64*Teams!$F$16*IF(AA$4&gt;=Teams!$F$80,1,0)</f>
        <v>0</v>
      </c>
      <c r="AB98" s="44">
        <f>AB$5*Teams!$F$64*Teams!$F$16*IF(AB$4&gt;=Teams!$F$80,1,0)</f>
        <v>0</v>
      </c>
      <c r="AC98" s="44">
        <f>AC$5*Teams!$F$64*Teams!$F$16*IF(AC$4&gt;=Teams!$F$80,1,0)</f>
        <v>0</v>
      </c>
      <c r="AD98" s="44">
        <f>AD$5*Teams!$F$64*Teams!$F$16*IF(AD$4&gt;=Teams!$F$80,1,0)</f>
        <v>0</v>
      </c>
      <c r="AE98" s="44">
        <f>AE$5*Teams!$F$64*Teams!$F$16*IF(AE$4&gt;=Teams!$F$80,1,0)</f>
        <v>0</v>
      </c>
      <c r="AF98" s="44">
        <f>AF$5*Teams!$F$64*Teams!$F$16*IF(AF$4&gt;=Teams!$F$80,1,0)</f>
        <v>0</v>
      </c>
      <c r="AG98" s="44">
        <f>AG$5*Teams!$F$64*Teams!$F$16*IF(AG$4&gt;=Teams!$F$80,1,0)</f>
        <v>0</v>
      </c>
      <c r="AH98" s="44">
        <f>AH$5*Teams!$F$64*Teams!$F$16*IF(AH$4&gt;=Teams!$F$80,1,0)</f>
        <v>0</v>
      </c>
      <c r="AI98" s="44">
        <f>AI$5*Teams!$F$64*Teams!$F$16*IF(AI$4&gt;=Teams!$F$80,1,0)</f>
        <v>0</v>
      </c>
      <c r="AJ98" s="44">
        <f>AJ$5*Teams!$F$64*Teams!$F$16*IF(AJ$4&gt;=Teams!$F$80,1,0)</f>
        <v>0</v>
      </c>
      <c r="AK98" s="44">
        <f>AK$5*Teams!$F$64*Teams!$F$16*IF(AK$4&gt;=Teams!$F$80,1,0)</f>
        <v>0</v>
      </c>
      <c r="AL98" s="44">
        <f>AL$5*Teams!$F$64*Teams!$F$16*IF(AL$4&gt;=Teams!$F$80,1,0)</f>
        <v>0</v>
      </c>
      <c r="AM98" s="44">
        <f>AM$5*Teams!$F$64*Teams!$F$16*IF(AM$4&gt;=Teams!$F$80,1,0)</f>
        <v>0</v>
      </c>
      <c r="AN98" s="44">
        <f>AN$5*Teams!$F$64*Teams!$F$16*IF(AN$4&gt;=Teams!$F$80,1,0)</f>
        <v>0</v>
      </c>
      <c r="AO98" s="44">
        <f>AO$5*Teams!$F$64*Teams!$F$16*IF(AO$4&gt;=Teams!$F$80,1,0)</f>
        <v>0</v>
      </c>
      <c r="AP98" s="44">
        <f>AP$5*Teams!$F$64*Teams!$F$16*IF(AP$4&gt;=Teams!$F$80,1,0)</f>
        <v>0</v>
      </c>
      <c r="AQ98" s="44">
        <f>AQ$5*Teams!$F$64*Teams!$F$16*IF(AQ$4&gt;=Teams!$F$80,1,0)</f>
        <v>0</v>
      </c>
      <c r="AR98" s="44">
        <f>AR$5*Teams!$F$64*Teams!$F$16*IF(AR$4&gt;=Teams!$F$80,1,0)</f>
        <v>0</v>
      </c>
      <c r="AS98" s="44">
        <f>AS$5*Teams!$F$64*Teams!$F$16*IF(AS$4&gt;=Teams!$F$80,1,0)</f>
        <v>0</v>
      </c>
      <c r="AT98" s="44">
        <f>AT$5*Teams!$F$64*Teams!$F$16*IF(AT$4&gt;=Teams!$F$80,1,0)</f>
        <v>0</v>
      </c>
      <c r="AU98" s="44">
        <f>AU$5*Teams!$F$64*Teams!$F$16*IF(AU$4&gt;=Teams!$F$80,1,0)</f>
        <v>0</v>
      </c>
      <c r="AV98" s="44">
        <f>AV$5*Teams!$F$64*Teams!$F$16*IF(AV$4&gt;=Teams!$F$80,1,0)</f>
        <v>0</v>
      </c>
      <c r="AW98" s="44">
        <f>AW$5*Teams!$F$64*Teams!$F$16*IF(AW$4&gt;=Teams!$F$80,1,0)</f>
        <v>0</v>
      </c>
      <c r="AX98" s="44">
        <f>AX$5*Teams!$F$64*Teams!$F$16*IF(AX$4&gt;=Teams!$F$80,1,0)</f>
        <v>0</v>
      </c>
      <c r="AY98" s="44">
        <f>AY$5*Teams!$F$64*Teams!$F$16*IF(AY$4&gt;=Teams!$F$80,1,0)</f>
        <v>0</v>
      </c>
      <c r="AZ98" s="44">
        <f>AZ$5*Teams!$F$64*Teams!$F$16*IF(AZ$4&gt;=Teams!$F$80,1,0)</f>
        <v>0</v>
      </c>
      <c r="BA98" s="44">
        <f>BA$5*Teams!$F$64*Teams!$F$16*IF(BA$4&gt;=Teams!$F$80,1,0)</f>
        <v>0</v>
      </c>
      <c r="BB98" s="44">
        <f>BB$5*Teams!$F$64*Teams!$F$16*IF(BB$4&gt;=Teams!$F$80,1,0)</f>
        <v>0</v>
      </c>
      <c r="BC98" s="44">
        <f>BC$5*Teams!$F$64*Teams!$F$16*IF(BC$4&gt;=Teams!$F$80,1,0)</f>
        <v>0</v>
      </c>
      <c r="BD98" s="44">
        <f>BD$5*Teams!$F$64*Teams!$F$16*IF(BD$4&gt;=Teams!$F$80,1,0)</f>
        <v>0</v>
      </c>
      <c r="BE98" s="44">
        <f>BE$5*Teams!$F$64*Teams!$F$16*IF(BE$4&gt;=Teams!$F$80,1,0)</f>
        <v>0</v>
      </c>
      <c r="BF98" s="44">
        <f>BF$5*Teams!$F$64*Teams!$F$16*IF(BF$4&gt;=Teams!$F$80,1,0)</f>
        <v>0</v>
      </c>
      <c r="BG98" s="44">
        <f>BG$5*Teams!$F$64*Teams!$F$16*IF(BG$4&gt;=Teams!$F$80,1,0)</f>
        <v>0</v>
      </c>
      <c r="BH98" s="44">
        <f>BH$5*Teams!$F$64*Teams!$F$16*IF(BH$4&gt;=Teams!$F$80,1,0)</f>
        <v>0</v>
      </c>
      <c r="BI98" s="44">
        <f>BI$5*Teams!$F$64*Teams!$F$16*IF(BI$4&gt;=Teams!$F$80,1,0)</f>
        <v>0</v>
      </c>
      <c r="BJ98" s="44">
        <f>BJ$5*Teams!$F$64*Teams!$F$16*IF(BJ$4&gt;=Teams!$F$80,1,0)</f>
        <v>0</v>
      </c>
      <c r="BK98" s="44">
        <f>BK$5*Teams!$F$64*Teams!$F$16*IF(BK$4&gt;=Teams!$F$80,1,0)</f>
        <v>0</v>
      </c>
      <c r="BL98" s="44">
        <f>BL$5*Teams!$F$64*Teams!$F$16*IF(BL$4&gt;=Teams!$F$80,1,0)</f>
        <v>0</v>
      </c>
    </row>
    <row r="99" spans="1:64" x14ac:dyDescent="0.3">
      <c r="A99" s="8" t="s">
        <v>670</v>
      </c>
      <c r="B99" s="18" t="s">
        <v>435</v>
      </c>
      <c r="C99" s="44">
        <f t="shared" si="29"/>
        <v>87260.911999999982</v>
      </c>
      <c r="E99" s="44">
        <f>E$5*IF(AND(E$4&gt;=Teams!$F$80,Teams!$F$49=1),Teams!$F$44*Params!$F$10*Teams!$F$45*Teams!$F$75+Teams!$F$44*Params!$F$10*Teams!$F$47*Teams!$F$76/1000000+Teams!$F$77+Teams!$F$50*Teams!$F$78+E93*Teams!$F$51*Teams!$F$79/1000000,0)</f>
        <v>0</v>
      </c>
      <c r="F99" s="44">
        <f>F$5*IF(AND(F$4&gt;=Teams!$F$80,Teams!$F$49=1),Teams!$F$44*Params!$F$10*Teams!$F$45*Teams!$F$75+Teams!$F$44*Params!$F$10*Teams!$F$47*Teams!$F$76/1000000+Teams!$F$77+Teams!$F$50*Teams!$F$78+F93*Teams!$F$51*Teams!$F$79/1000000,0)</f>
        <v>0</v>
      </c>
      <c r="G99" s="44">
        <f>G$5*IF(AND(G$4&gt;=Teams!$F$80,Teams!$F$49=1),Teams!$F$44*Params!$F$10*Teams!$F$45*Teams!$F$75+Teams!$F$44*Params!$F$10*Teams!$F$47*Teams!$F$76/1000000+Teams!$F$77+Teams!$F$50*Teams!$F$78+G93*Teams!$F$51*Teams!$F$79/1000000,0)</f>
        <v>2564.8096639999999</v>
      </c>
      <c r="H99" s="44">
        <f>H$5*IF(AND(H$4&gt;=Teams!$F$80,Teams!$F$49=1),Teams!$F$44*Params!$F$10*Teams!$F$45*Teams!$F$75+Teams!$F$44*Params!$F$10*Teams!$F$47*Teams!$F$76/1000000+Teams!$F$77+Teams!$F$50*Teams!$F$78+H93*Teams!$F$51*Teams!$F$79/1000000,0)</f>
        <v>2565.309632</v>
      </c>
      <c r="I99" s="44">
        <f>I$5*IF(AND(I$4&gt;=Teams!$F$80,Teams!$F$49=1),Teams!$F$44*Params!$F$10*Teams!$F$45*Teams!$F$75+Teams!$F$44*Params!$F$10*Teams!$F$47*Teams!$F$76/1000000+Teams!$F$77+Teams!$F$50*Teams!$F$78+I93*Teams!$F$51*Teams!$F$79/1000000,0)</f>
        <v>2565.9063679999999</v>
      </c>
      <c r="J99" s="44">
        <f>J$5*IF(AND(J$4&gt;=Teams!$F$80,Teams!$F$49=1),Teams!$F$44*Params!$F$10*Teams!$F$45*Teams!$F$75+Teams!$F$44*Params!$F$10*Teams!$F$47*Teams!$F$76/1000000+Teams!$F$77+Teams!$F$50*Teams!$F$78+J93*Teams!$F$51*Teams!$F$79/1000000,0)</f>
        <v>2566.406336</v>
      </c>
      <c r="K99" s="44">
        <f>K$5*IF(AND(K$4&gt;=Teams!$F$80,Teams!$F$49=1),Teams!$F$44*Params!$F$10*Teams!$F$45*Teams!$F$75+Teams!$F$44*Params!$F$10*Teams!$F$47*Teams!$F$76/1000000+Teams!$F$77+Teams!$F$50*Teams!$F$78+K93*Teams!$F$51*Teams!$F$79/1000000,0)</f>
        <v>2566.616</v>
      </c>
      <c r="L99" s="44">
        <f>L$5*IF(AND(L$4&gt;=Teams!$F$80,Teams!$F$49=1),Teams!$F$44*Params!$F$10*Teams!$F$45*Teams!$F$75+Teams!$F$44*Params!$F$10*Teams!$F$47*Teams!$F$76/1000000+Teams!$F$77+Teams!$F$50*Teams!$F$78+L93*Teams!$F$51*Teams!$F$79/1000000,0)</f>
        <v>2566.616</v>
      </c>
      <c r="M99" s="44">
        <f>M$5*IF(AND(M$4&gt;=Teams!$F$80,Teams!$F$49=1),Teams!$F$44*Params!$F$10*Teams!$F$45*Teams!$F$75+Teams!$F$44*Params!$F$10*Teams!$F$47*Teams!$F$76/1000000+Teams!$F$77+Teams!$F$50*Teams!$F$78+M93*Teams!$F$51*Teams!$F$79/1000000,0)</f>
        <v>2566.616</v>
      </c>
      <c r="N99" s="44">
        <f>N$5*IF(AND(N$4&gt;=Teams!$F$80,Teams!$F$49=1),Teams!$F$44*Params!$F$10*Teams!$F$45*Teams!$F$75+Teams!$F$44*Params!$F$10*Teams!$F$47*Teams!$F$76/1000000+Teams!$F$77+Teams!$F$50*Teams!$F$78+N93*Teams!$F$51*Teams!$F$79/1000000,0)</f>
        <v>2566.616</v>
      </c>
      <c r="O99" s="44">
        <f>O$5*IF(AND(O$4&gt;=Teams!$F$80,Teams!$F$49=1),Teams!$F$44*Params!$F$10*Teams!$F$45*Teams!$F$75+Teams!$F$44*Params!$F$10*Teams!$F$47*Teams!$F$76/1000000+Teams!$F$77+Teams!$F$50*Teams!$F$78+O93*Teams!$F$51*Teams!$F$79/1000000,0)</f>
        <v>2566.616</v>
      </c>
      <c r="P99" s="44">
        <f>P$5*IF(AND(P$4&gt;=Teams!$F$80,Teams!$F$49=1),Teams!$F$44*Params!$F$10*Teams!$F$45*Teams!$F$75+Teams!$F$44*Params!$F$10*Teams!$F$47*Teams!$F$76/1000000+Teams!$F$77+Teams!$F$50*Teams!$F$78+P93*Teams!$F$51*Teams!$F$79/1000000,0)</f>
        <v>2566.616</v>
      </c>
      <c r="Q99" s="44">
        <f>Q$5*IF(AND(Q$4&gt;=Teams!$F$80,Teams!$F$49=1),Teams!$F$44*Params!$F$10*Teams!$F$45*Teams!$F$75+Teams!$F$44*Params!$F$10*Teams!$F$47*Teams!$F$76/1000000+Teams!$F$77+Teams!$F$50*Teams!$F$78+Q93*Teams!$F$51*Teams!$F$79/1000000,0)</f>
        <v>2566.616</v>
      </c>
      <c r="R99" s="44">
        <f>R$5*IF(AND(R$4&gt;=Teams!$F$80,Teams!$F$49=1),Teams!$F$44*Params!$F$10*Teams!$F$45*Teams!$F$75+Teams!$F$44*Params!$F$10*Teams!$F$47*Teams!$F$76/1000000+Teams!$F$77+Teams!$F$50*Teams!$F$78+R93*Teams!$F$51*Teams!$F$79/1000000,0)</f>
        <v>2566.616</v>
      </c>
      <c r="S99" s="44">
        <f>S$5*IF(AND(S$4&gt;=Teams!$F$80,Teams!$F$49=1),Teams!$F$44*Params!$F$10*Teams!$F$45*Teams!$F$75+Teams!$F$44*Params!$F$10*Teams!$F$47*Teams!$F$76/1000000+Teams!$F$77+Teams!$F$50*Teams!$F$78+S93*Teams!$F$51*Teams!$F$79/1000000,0)</f>
        <v>2566.616</v>
      </c>
      <c r="T99" s="44">
        <f>T$5*IF(AND(T$4&gt;=Teams!$F$80,Teams!$F$49=1),Teams!$F$44*Params!$F$10*Teams!$F$45*Teams!$F$75+Teams!$F$44*Params!$F$10*Teams!$F$47*Teams!$F$76/1000000+Teams!$F$77+Teams!$F$50*Teams!$F$78+T93*Teams!$F$51*Teams!$F$79/1000000,0)</f>
        <v>2566.616</v>
      </c>
      <c r="U99" s="44">
        <f>U$5*IF(AND(U$4&gt;=Teams!$F$80,Teams!$F$49=1),Teams!$F$44*Params!$F$10*Teams!$F$45*Teams!$F$75+Teams!$F$44*Params!$F$10*Teams!$F$47*Teams!$F$76/1000000+Teams!$F$77+Teams!$F$50*Teams!$F$78+U93*Teams!$F$51*Teams!$F$79/1000000,0)</f>
        <v>2566.616</v>
      </c>
      <c r="V99" s="44">
        <f>V$5*IF(AND(V$4&gt;=Teams!$F$80,Teams!$F$49=1),Teams!$F$44*Params!$F$10*Teams!$F$45*Teams!$F$75+Teams!$F$44*Params!$F$10*Teams!$F$47*Teams!$F$76/1000000+Teams!$F$77+Teams!$F$50*Teams!$F$78+V93*Teams!$F$51*Teams!$F$79/1000000,0)</f>
        <v>2566.616</v>
      </c>
      <c r="W99" s="44">
        <f>W$5*IF(AND(W$4&gt;=Teams!$F$80,Teams!$F$49=1),Teams!$F$44*Params!$F$10*Teams!$F$45*Teams!$F$75+Teams!$F$44*Params!$F$10*Teams!$F$47*Teams!$F$76/1000000+Teams!$F$77+Teams!$F$50*Teams!$F$78+W93*Teams!$F$51*Teams!$F$79/1000000,0)</f>
        <v>2566.616</v>
      </c>
      <c r="X99" s="44">
        <f>X$5*IF(AND(X$4&gt;=Teams!$F$80,Teams!$F$49=1),Teams!$F$44*Params!$F$10*Teams!$F$45*Teams!$F$75+Teams!$F$44*Params!$F$10*Teams!$F$47*Teams!$F$76/1000000+Teams!$F$77+Teams!$F$50*Teams!$F$78+X93*Teams!$F$51*Teams!$F$79/1000000,0)</f>
        <v>2566.616</v>
      </c>
      <c r="Y99" s="44">
        <f>Y$5*IF(AND(Y$4&gt;=Teams!$F$80,Teams!$F$49=1),Teams!$F$44*Params!$F$10*Teams!$F$45*Teams!$F$75+Teams!$F$44*Params!$F$10*Teams!$F$47*Teams!$F$76/1000000+Teams!$F$77+Teams!$F$50*Teams!$F$78+Y93*Teams!$F$51*Teams!$F$79/1000000,0)</f>
        <v>2566.616</v>
      </c>
      <c r="Z99" s="44">
        <f>Z$5*IF(AND(Z$4&gt;=Teams!$F$80,Teams!$F$49=1),Teams!$F$44*Params!$F$10*Teams!$F$45*Teams!$F$75+Teams!$F$44*Params!$F$10*Teams!$F$47*Teams!$F$76/1000000+Teams!$F$77+Teams!$F$50*Teams!$F$78+Z93*Teams!$F$51*Teams!$F$79/1000000,0)</f>
        <v>2566.616</v>
      </c>
      <c r="AA99" s="44">
        <f>AA$5*IF(AND(AA$4&gt;=Teams!$F$80,Teams!$F$49=1),Teams!$F$44*Params!$F$10*Teams!$F$45*Teams!$F$75+Teams!$F$44*Params!$F$10*Teams!$F$47*Teams!$F$76/1000000+Teams!$F$77+Teams!$F$50*Teams!$F$78+AA93*Teams!$F$51*Teams!$F$79/1000000,0)</f>
        <v>2566.616</v>
      </c>
      <c r="AB99" s="44">
        <f>AB$5*IF(AND(AB$4&gt;=Teams!$F$80,Teams!$F$49=1),Teams!$F$44*Params!$F$10*Teams!$F$45*Teams!$F$75+Teams!$F$44*Params!$F$10*Teams!$F$47*Teams!$F$76/1000000+Teams!$F$77+Teams!$F$50*Teams!$F$78+AB93*Teams!$F$51*Teams!$F$79/1000000,0)</f>
        <v>2566.616</v>
      </c>
      <c r="AC99" s="44">
        <f>AC$5*IF(AND(AC$4&gt;=Teams!$F$80,Teams!$F$49=1),Teams!$F$44*Params!$F$10*Teams!$F$45*Teams!$F$75+Teams!$F$44*Params!$F$10*Teams!$F$47*Teams!$F$76/1000000+Teams!$F$77+Teams!$F$50*Teams!$F$78+AC93*Teams!$F$51*Teams!$F$79/1000000,0)</f>
        <v>2566.616</v>
      </c>
      <c r="AD99" s="44">
        <f>AD$5*IF(AND(AD$4&gt;=Teams!$F$80,Teams!$F$49=1),Teams!$F$44*Params!$F$10*Teams!$F$45*Teams!$F$75+Teams!$F$44*Params!$F$10*Teams!$F$47*Teams!$F$76/1000000+Teams!$F$77+Teams!$F$50*Teams!$F$78+AD93*Teams!$F$51*Teams!$F$79/1000000,0)</f>
        <v>2566.616</v>
      </c>
      <c r="AE99" s="44">
        <f>AE$5*IF(AND(AE$4&gt;=Teams!$F$80,Teams!$F$49=1),Teams!$F$44*Params!$F$10*Teams!$F$45*Teams!$F$75+Teams!$F$44*Params!$F$10*Teams!$F$47*Teams!$F$76/1000000+Teams!$F$77+Teams!$F$50*Teams!$F$78+AE93*Teams!$F$51*Teams!$F$79/1000000,0)</f>
        <v>2566.616</v>
      </c>
      <c r="AF99" s="44">
        <f>AF$5*IF(AND(AF$4&gt;=Teams!$F$80,Teams!$F$49=1),Teams!$F$44*Params!$F$10*Teams!$F$45*Teams!$F$75+Teams!$F$44*Params!$F$10*Teams!$F$47*Teams!$F$76/1000000+Teams!$F$77+Teams!$F$50*Teams!$F$78+AF93*Teams!$F$51*Teams!$F$79/1000000,0)</f>
        <v>2566.616</v>
      </c>
      <c r="AG99" s="44">
        <f>AG$5*IF(AND(AG$4&gt;=Teams!$F$80,Teams!$F$49=1),Teams!$F$44*Params!$F$10*Teams!$F$45*Teams!$F$75+Teams!$F$44*Params!$F$10*Teams!$F$47*Teams!$F$76/1000000+Teams!$F$77+Teams!$F$50*Teams!$F$78+AG93*Teams!$F$51*Teams!$F$79/1000000,0)</f>
        <v>2566.616</v>
      </c>
      <c r="AH99" s="44">
        <f>AH$5*IF(AND(AH$4&gt;=Teams!$F$80,Teams!$F$49=1),Teams!$F$44*Params!$F$10*Teams!$F$45*Teams!$F$75+Teams!$F$44*Params!$F$10*Teams!$F$47*Teams!$F$76/1000000+Teams!$F$77+Teams!$F$50*Teams!$F$78+AH93*Teams!$F$51*Teams!$F$79/1000000,0)</f>
        <v>2566.616</v>
      </c>
      <c r="AI99" s="44">
        <f>AI$5*IF(AND(AI$4&gt;=Teams!$F$80,Teams!$F$49=1),Teams!$F$44*Params!$F$10*Teams!$F$45*Teams!$F$75+Teams!$F$44*Params!$F$10*Teams!$F$47*Teams!$F$76/1000000+Teams!$F$77+Teams!$F$50*Teams!$F$78+AI93*Teams!$F$51*Teams!$F$79/1000000,0)</f>
        <v>2566.616</v>
      </c>
      <c r="AJ99" s="44">
        <f>AJ$5*IF(AND(AJ$4&gt;=Teams!$F$80,Teams!$F$49=1),Teams!$F$44*Params!$F$10*Teams!$F$45*Teams!$F$75+Teams!$F$44*Params!$F$10*Teams!$F$47*Teams!$F$76/1000000+Teams!$F$77+Teams!$F$50*Teams!$F$78+AJ93*Teams!$F$51*Teams!$F$79/1000000,0)</f>
        <v>2566.616</v>
      </c>
      <c r="AK99" s="44">
        <f>AK$5*IF(AND(AK$4&gt;=Teams!$F$80,Teams!$F$49=1),Teams!$F$44*Params!$F$10*Teams!$F$45*Teams!$F$75+Teams!$F$44*Params!$F$10*Teams!$F$47*Teams!$F$76/1000000+Teams!$F$77+Teams!$F$50*Teams!$F$78+AK93*Teams!$F$51*Teams!$F$79/1000000,0)</f>
        <v>2566.616</v>
      </c>
      <c r="AL99" s="44">
        <f>AL$5*IF(AND(AL$4&gt;=Teams!$F$80,Teams!$F$49=1),Teams!$F$44*Params!$F$10*Teams!$F$45*Teams!$F$75+Teams!$F$44*Params!$F$10*Teams!$F$47*Teams!$F$76/1000000+Teams!$F$77+Teams!$F$50*Teams!$F$78+AL93*Teams!$F$51*Teams!$F$79/1000000,0)</f>
        <v>2566.616</v>
      </c>
      <c r="AM99" s="44">
        <f>AM$5*IF(AND(AM$4&gt;=Teams!$F$80,Teams!$F$49=1),Teams!$F$44*Params!$F$10*Teams!$F$45*Teams!$F$75+Teams!$F$44*Params!$F$10*Teams!$F$47*Teams!$F$76/1000000+Teams!$F$77+Teams!$F$50*Teams!$F$78+AM93*Teams!$F$51*Teams!$F$79/1000000,0)</f>
        <v>2566.616</v>
      </c>
      <c r="AN99" s="44">
        <f>AN$5*IF(AND(AN$4&gt;=Teams!$F$80,Teams!$F$49=1),Teams!$F$44*Params!$F$10*Teams!$F$45*Teams!$F$75+Teams!$F$44*Params!$F$10*Teams!$F$47*Teams!$F$76/1000000+Teams!$F$77+Teams!$F$50*Teams!$F$78+AN93*Teams!$F$51*Teams!$F$79/1000000,0)</f>
        <v>2566.616</v>
      </c>
      <c r="AO99" s="44">
        <f>AO$5*IF(AND(AO$4&gt;=Teams!$F$80,Teams!$F$49=1),Teams!$F$44*Params!$F$10*Teams!$F$45*Teams!$F$75+Teams!$F$44*Params!$F$10*Teams!$F$47*Teams!$F$76/1000000+Teams!$F$77+Teams!$F$50*Teams!$F$78+AO93*Teams!$F$51*Teams!$F$79/1000000,0)</f>
        <v>0</v>
      </c>
      <c r="AP99" s="44">
        <f>AP$5*IF(AND(AP$4&gt;=Teams!$F$80,Teams!$F$49=1),Teams!$F$44*Params!$F$10*Teams!$F$45*Teams!$F$75+Teams!$F$44*Params!$F$10*Teams!$F$47*Teams!$F$76/1000000+Teams!$F$77+Teams!$F$50*Teams!$F$78+AP93*Teams!$F$51*Teams!$F$79/1000000,0)</f>
        <v>0</v>
      </c>
      <c r="AQ99" s="44">
        <f>AQ$5*IF(AND(AQ$4&gt;=Teams!$F$80,Teams!$F$49=1),Teams!$F$44*Params!$F$10*Teams!$F$45*Teams!$F$75+Teams!$F$44*Params!$F$10*Teams!$F$47*Teams!$F$76/1000000+Teams!$F$77+Teams!$F$50*Teams!$F$78+AQ93*Teams!$F$51*Teams!$F$79/1000000,0)</f>
        <v>0</v>
      </c>
      <c r="AR99" s="44">
        <f>AR$5*IF(AND(AR$4&gt;=Teams!$F$80,Teams!$F$49=1),Teams!$F$44*Params!$F$10*Teams!$F$45*Teams!$F$75+Teams!$F$44*Params!$F$10*Teams!$F$47*Teams!$F$76/1000000+Teams!$F$77+Teams!$F$50*Teams!$F$78+AR93*Teams!$F$51*Teams!$F$79/1000000,0)</f>
        <v>0</v>
      </c>
      <c r="AS99" s="44">
        <f>AS$5*IF(AND(AS$4&gt;=Teams!$F$80,Teams!$F$49=1),Teams!$F$44*Params!$F$10*Teams!$F$45*Teams!$F$75+Teams!$F$44*Params!$F$10*Teams!$F$47*Teams!$F$76/1000000+Teams!$F$77+Teams!$F$50*Teams!$F$78+AS93*Teams!$F$51*Teams!$F$79/1000000,0)</f>
        <v>0</v>
      </c>
      <c r="AT99" s="44">
        <f>AT$5*IF(AND(AT$4&gt;=Teams!$F$80,Teams!$F$49=1),Teams!$F$44*Params!$F$10*Teams!$F$45*Teams!$F$75+Teams!$F$44*Params!$F$10*Teams!$F$47*Teams!$F$76/1000000+Teams!$F$77+Teams!$F$50*Teams!$F$78+AT93*Teams!$F$51*Teams!$F$79/1000000,0)</f>
        <v>0</v>
      </c>
      <c r="AU99" s="44">
        <f>AU$5*IF(AND(AU$4&gt;=Teams!$F$80,Teams!$F$49=1),Teams!$F$44*Params!$F$10*Teams!$F$45*Teams!$F$75+Teams!$F$44*Params!$F$10*Teams!$F$47*Teams!$F$76/1000000+Teams!$F$77+Teams!$F$50*Teams!$F$78+AU93*Teams!$F$51*Teams!$F$79/1000000,0)</f>
        <v>0</v>
      </c>
      <c r="AV99" s="44">
        <f>AV$5*IF(AND(AV$4&gt;=Teams!$F$80,Teams!$F$49=1),Teams!$F$44*Params!$F$10*Teams!$F$45*Teams!$F$75+Teams!$F$44*Params!$F$10*Teams!$F$47*Teams!$F$76/1000000+Teams!$F$77+Teams!$F$50*Teams!$F$78+AV93*Teams!$F$51*Teams!$F$79/1000000,0)</f>
        <v>0</v>
      </c>
      <c r="AW99" s="44">
        <f>AW$5*IF(AND(AW$4&gt;=Teams!$F$80,Teams!$F$49=1),Teams!$F$44*Params!$F$10*Teams!$F$45*Teams!$F$75+Teams!$F$44*Params!$F$10*Teams!$F$47*Teams!$F$76/1000000+Teams!$F$77+Teams!$F$50*Teams!$F$78+AW93*Teams!$F$51*Teams!$F$79/1000000,0)</f>
        <v>0</v>
      </c>
      <c r="AX99" s="44">
        <f>AX$5*IF(AND(AX$4&gt;=Teams!$F$80,Teams!$F$49=1),Teams!$F$44*Params!$F$10*Teams!$F$45*Teams!$F$75+Teams!$F$44*Params!$F$10*Teams!$F$47*Teams!$F$76/1000000+Teams!$F$77+Teams!$F$50*Teams!$F$78+AX93*Teams!$F$51*Teams!$F$79/1000000,0)</f>
        <v>0</v>
      </c>
      <c r="AY99" s="44">
        <f>AY$5*IF(AND(AY$4&gt;=Teams!$F$80,Teams!$F$49=1),Teams!$F$44*Params!$F$10*Teams!$F$45*Teams!$F$75+Teams!$F$44*Params!$F$10*Teams!$F$47*Teams!$F$76/1000000+Teams!$F$77+Teams!$F$50*Teams!$F$78+AY93*Teams!$F$51*Teams!$F$79/1000000,0)</f>
        <v>0</v>
      </c>
      <c r="AZ99" s="44">
        <f>AZ$5*IF(AND(AZ$4&gt;=Teams!$F$80,Teams!$F$49=1),Teams!$F$44*Params!$F$10*Teams!$F$45*Teams!$F$75+Teams!$F$44*Params!$F$10*Teams!$F$47*Teams!$F$76/1000000+Teams!$F$77+Teams!$F$50*Teams!$F$78+AZ93*Teams!$F$51*Teams!$F$79/1000000,0)</f>
        <v>0</v>
      </c>
      <c r="BA99" s="44">
        <f>BA$5*IF(AND(BA$4&gt;=Teams!$F$80,Teams!$F$49=1),Teams!$F$44*Params!$F$10*Teams!$F$45*Teams!$F$75+Teams!$F$44*Params!$F$10*Teams!$F$47*Teams!$F$76/1000000+Teams!$F$77+Teams!$F$50*Teams!$F$78+BA93*Teams!$F$51*Teams!$F$79/1000000,0)</f>
        <v>0</v>
      </c>
      <c r="BB99" s="44">
        <f>BB$5*IF(AND(BB$4&gt;=Teams!$F$80,Teams!$F$49=1),Teams!$F$44*Params!$F$10*Teams!$F$45*Teams!$F$75+Teams!$F$44*Params!$F$10*Teams!$F$47*Teams!$F$76/1000000+Teams!$F$77+Teams!$F$50*Teams!$F$78+BB93*Teams!$F$51*Teams!$F$79/1000000,0)</f>
        <v>0</v>
      </c>
      <c r="BC99" s="44">
        <f>BC$5*IF(AND(BC$4&gt;=Teams!$F$80,Teams!$F$49=1),Teams!$F$44*Params!$F$10*Teams!$F$45*Teams!$F$75+Teams!$F$44*Params!$F$10*Teams!$F$47*Teams!$F$76/1000000+Teams!$F$77+Teams!$F$50*Teams!$F$78+BC93*Teams!$F$51*Teams!$F$79/1000000,0)</f>
        <v>0</v>
      </c>
      <c r="BD99" s="44">
        <f>BD$5*IF(AND(BD$4&gt;=Teams!$F$80,Teams!$F$49=1),Teams!$F$44*Params!$F$10*Teams!$F$45*Teams!$F$75+Teams!$F$44*Params!$F$10*Teams!$F$47*Teams!$F$76/1000000+Teams!$F$77+Teams!$F$50*Teams!$F$78+BD93*Teams!$F$51*Teams!$F$79/1000000,0)</f>
        <v>0</v>
      </c>
      <c r="BE99" s="44">
        <f>BE$5*IF(AND(BE$4&gt;=Teams!$F$80,Teams!$F$49=1),Teams!$F$44*Params!$F$10*Teams!$F$45*Teams!$F$75+Teams!$F$44*Params!$F$10*Teams!$F$47*Teams!$F$76/1000000+Teams!$F$77+Teams!$F$50*Teams!$F$78+BE93*Teams!$F$51*Teams!$F$79/1000000,0)</f>
        <v>0</v>
      </c>
      <c r="BF99" s="44">
        <f>BF$5*IF(AND(BF$4&gt;=Teams!$F$80,Teams!$F$49=1),Teams!$F$44*Params!$F$10*Teams!$F$45*Teams!$F$75+Teams!$F$44*Params!$F$10*Teams!$F$47*Teams!$F$76/1000000+Teams!$F$77+Teams!$F$50*Teams!$F$78+BF93*Teams!$F$51*Teams!$F$79/1000000,0)</f>
        <v>0</v>
      </c>
      <c r="BG99" s="44">
        <f>BG$5*IF(AND(BG$4&gt;=Teams!$F$80,Teams!$F$49=1),Teams!$F$44*Params!$F$10*Teams!$F$45*Teams!$F$75+Teams!$F$44*Params!$F$10*Teams!$F$47*Teams!$F$76/1000000+Teams!$F$77+Teams!$F$50*Teams!$F$78+BG93*Teams!$F$51*Teams!$F$79/1000000,0)</f>
        <v>0</v>
      </c>
      <c r="BH99" s="44">
        <f>BH$5*IF(AND(BH$4&gt;=Teams!$F$80,Teams!$F$49=1),Teams!$F$44*Params!$F$10*Teams!$F$45*Teams!$F$75+Teams!$F$44*Params!$F$10*Teams!$F$47*Teams!$F$76/1000000+Teams!$F$77+Teams!$F$50*Teams!$F$78+BH93*Teams!$F$51*Teams!$F$79/1000000,0)</f>
        <v>0</v>
      </c>
      <c r="BI99" s="44">
        <f>BI$5*IF(AND(BI$4&gt;=Teams!$F$80,Teams!$F$49=1),Teams!$F$44*Params!$F$10*Teams!$F$45*Teams!$F$75+Teams!$F$44*Params!$F$10*Teams!$F$47*Teams!$F$76/1000000+Teams!$F$77+Teams!$F$50*Teams!$F$78+BI93*Teams!$F$51*Teams!$F$79/1000000,0)</f>
        <v>0</v>
      </c>
      <c r="BJ99" s="44">
        <f>BJ$5*IF(AND(BJ$4&gt;=Teams!$F$80,Teams!$F$49=1),Teams!$F$44*Params!$F$10*Teams!$F$45*Teams!$F$75+Teams!$F$44*Params!$F$10*Teams!$F$47*Teams!$F$76/1000000+Teams!$F$77+Teams!$F$50*Teams!$F$78+BJ93*Teams!$F$51*Teams!$F$79/1000000,0)</f>
        <v>0</v>
      </c>
      <c r="BK99" s="44">
        <f>BK$5*IF(AND(BK$4&gt;=Teams!$F$80,Teams!$F$49=1),Teams!$F$44*Params!$F$10*Teams!$F$45*Teams!$F$75+Teams!$F$44*Params!$F$10*Teams!$F$47*Teams!$F$76/1000000+Teams!$F$77+Teams!$F$50*Teams!$F$78+BK93*Teams!$F$51*Teams!$F$79/1000000,0)</f>
        <v>0</v>
      </c>
      <c r="BL99" s="44">
        <f>BL$5*IF(AND(BL$4&gt;=Teams!$F$80,Teams!$F$49=1),Teams!$F$44*Params!$F$10*Teams!$F$45*Teams!$F$75+Teams!$F$44*Params!$F$10*Teams!$F$47*Teams!$F$76/1000000+Teams!$F$77+Teams!$F$50*Teams!$F$78+BL93*Teams!$F$51*Teams!$F$79/1000000,0)</f>
        <v>0</v>
      </c>
    </row>
    <row r="100" spans="1:64" x14ac:dyDescent="0.3">
      <c r="A100" s="8" t="s">
        <v>671</v>
      </c>
      <c r="B100" s="18" t="s">
        <v>169</v>
      </c>
      <c r="C100" s="44">
        <f t="shared" si="29"/>
        <v>56666.666666666642</v>
      </c>
      <c r="E100" s="44">
        <f>E$5*IF(E$4&gt;=Teams!$F$80,Teams!$F$43*Params!$F$6*Org!$B$10*Params!$F$7/12,0)</f>
        <v>0</v>
      </c>
      <c r="F100" s="44">
        <f>F$5*IF(F$4&gt;=Teams!$F$80,Teams!$F$43*Params!$F$6*Org!$B$10*Params!$F$7/12,0)</f>
        <v>0</v>
      </c>
      <c r="G100" s="44">
        <f>G$5*IF(G$4&gt;=Teams!$F$80,Teams!$F$43*Params!$F$6*Org!$B$10*Params!$F$7/12,0)</f>
        <v>1666.6666666666667</v>
      </c>
      <c r="H100" s="44">
        <f>H$5*IF(H$4&gt;=Teams!$F$80,Teams!$F$43*Params!$F$6*Org!$B$10*Params!$F$7/12,0)</f>
        <v>1666.6666666666667</v>
      </c>
      <c r="I100" s="44">
        <f>I$5*IF(I$4&gt;=Teams!$F$80,Teams!$F$43*Params!$F$6*Org!$B$10*Params!$F$7/12,0)</f>
        <v>1666.6666666666667</v>
      </c>
      <c r="J100" s="44">
        <f>J$5*IF(J$4&gt;=Teams!$F$80,Teams!$F$43*Params!$F$6*Org!$B$10*Params!$F$7/12,0)</f>
        <v>1666.6666666666667</v>
      </c>
      <c r="K100" s="44">
        <f>K$5*IF(K$4&gt;=Teams!$F$80,Teams!$F$43*Params!$F$6*Org!$B$10*Params!$F$7/12,0)</f>
        <v>1666.6666666666667</v>
      </c>
      <c r="L100" s="44">
        <f>L$5*IF(L$4&gt;=Teams!$F$80,Teams!$F$43*Params!$F$6*Org!$B$10*Params!$F$7/12,0)</f>
        <v>1666.6666666666667</v>
      </c>
      <c r="M100" s="44">
        <f>M$5*IF(M$4&gt;=Teams!$F$80,Teams!$F$43*Params!$F$6*Org!$B$10*Params!$F$7/12,0)</f>
        <v>1666.6666666666667</v>
      </c>
      <c r="N100" s="44">
        <f>N$5*IF(N$4&gt;=Teams!$F$80,Teams!$F$43*Params!$F$6*Org!$B$10*Params!$F$7/12,0)</f>
        <v>1666.6666666666667</v>
      </c>
      <c r="O100" s="44">
        <f>O$5*IF(O$4&gt;=Teams!$F$80,Teams!$F$43*Params!$F$6*Org!$B$10*Params!$F$7/12,0)</f>
        <v>1666.6666666666667</v>
      </c>
      <c r="P100" s="44">
        <f>P$5*IF(P$4&gt;=Teams!$F$80,Teams!$F$43*Params!$F$6*Org!$B$10*Params!$F$7/12,0)</f>
        <v>1666.6666666666667</v>
      </c>
      <c r="Q100" s="44">
        <f>Q$5*IF(Q$4&gt;=Teams!$F$80,Teams!$F$43*Params!$F$6*Org!$B$10*Params!$F$7/12,0)</f>
        <v>1666.6666666666667</v>
      </c>
      <c r="R100" s="44">
        <f>R$5*IF(R$4&gt;=Teams!$F$80,Teams!$F$43*Params!$F$6*Org!$B$10*Params!$F$7/12,0)</f>
        <v>1666.6666666666667</v>
      </c>
      <c r="S100" s="44">
        <f>S$5*IF(S$4&gt;=Teams!$F$80,Teams!$F$43*Params!$F$6*Org!$B$10*Params!$F$7/12,0)</f>
        <v>1666.6666666666667</v>
      </c>
      <c r="T100" s="44">
        <f>T$5*IF(T$4&gt;=Teams!$F$80,Teams!$F$43*Params!$F$6*Org!$B$10*Params!$F$7/12,0)</f>
        <v>1666.6666666666667</v>
      </c>
      <c r="U100" s="44">
        <f>U$5*IF(U$4&gt;=Teams!$F$80,Teams!$F$43*Params!$F$6*Org!$B$10*Params!$F$7/12,0)</f>
        <v>1666.6666666666667</v>
      </c>
      <c r="V100" s="44">
        <f>V$5*IF(V$4&gt;=Teams!$F$80,Teams!$F$43*Params!$F$6*Org!$B$10*Params!$F$7/12,0)</f>
        <v>1666.6666666666667</v>
      </c>
      <c r="W100" s="44">
        <f>W$5*IF(W$4&gt;=Teams!$F$80,Teams!$F$43*Params!$F$6*Org!$B$10*Params!$F$7/12,0)</f>
        <v>1666.6666666666667</v>
      </c>
      <c r="X100" s="44">
        <f>X$5*IF(X$4&gt;=Teams!$F$80,Teams!$F$43*Params!$F$6*Org!$B$10*Params!$F$7/12,0)</f>
        <v>1666.6666666666667</v>
      </c>
      <c r="Y100" s="44">
        <f>Y$5*IF(Y$4&gt;=Teams!$F$80,Teams!$F$43*Params!$F$6*Org!$B$10*Params!$F$7/12,0)</f>
        <v>1666.6666666666667</v>
      </c>
      <c r="Z100" s="44">
        <f>Z$5*IF(Z$4&gt;=Teams!$F$80,Teams!$F$43*Params!$F$6*Org!$B$10*Params!$F$7/12,0)</f>
        <v>1666.6666666666667</v>
      </c>
      <c r="AA100" s="44">
        <f>AA$5*IF(AA$4&gt;=Teams!$F$80,Teams!$F$43*Params!$F$6*Org!$B$10*Params!$F$7/12,0)</f>
        <v>1666.6666666666667</v>
      </c>
      <c r="AB100" s="44">
        <f>AB$5*IF(AB$4&gt;=Teams!$F$80,Teams!$F$43*Params!$F$6*Org!$B$10*Params!$F$7/12,0)</f>
        <v>1666.6666666666667</v>
      </c>
      <c r="AC100" s="44">
        <f>AC$5*IF(AC$4&gt;=Teams!$F$80,Teams!$F$43*Params!$F$6*Org!$B$10*Params!$F$7/12,0)</f>
        <v>1666.6666666666667</v>
      </c>
      <c r="AD100" s="44">
        <f>AD$5*IF(AD$4&gt;=Teams!$F$80,Teams!$F$43*Params!$F$6*Org!$B$10*Params!$F$7/12,0)</f>
        <v>1666.6666666666667</v>
      </c>
      <c r="AE100" s="44">
        <f>AE$5*IF(AE$4&gt;=Teams!$F$80,Teams!$F$43*Params!$F$6*Org!$B$10*Params!$F$7/12,0)</f>
        <v>1666.6666666666667</v>
      </c>
      <c r="AF100" s="44">
        <f>AF$5*IF(AF$4&gt;=Teams!$F$80,Teams!$F$43*Params!$F$6*Org!$B$10*Params!$F$7/12,0)</f>
        <v>1666.6666666666667</v>
      </c>
      <c r="AG100" s="44">
        <f>AG$5*IF(AG$4&gt;=Teams!$F$80,Teams!$F$43*Params!$F$6*Org!$B$10*Params!$F$7/12,0)</f>
        <v>1666.6666666666667</v>
      </c>
      <c r="AH100" s="44">
        <f>AH$5*IF(AH$4&gt;=Teams!$F$80,Teams!$F$43*Params!$F$6*Org!$B$10*Params!$F$7/12,0)</f>
        <v>1666.6666666666667</v>
      </c>
      <c r="AI100" s="44">
        <f>AI$5*IF(AI$4&gt;=Teams!$F$80,Teams!$F$43*Params!$F$6*Org!$B$10*Params!$F$7/12,0)</f>
        <v>1666.6666666666667</v>
      </c>
      <c r="AJ100" s="44">
        <f>AJ$5*IF(AJ$4&gt;=Teams!$F$80,Teams!$F$43*Params!$F$6*Org!$B$10*Params!$F$7/12,0)</f>
        <v>1666.6666666666667</v>
      </c>
      <c r="AK100" s="44">
        <f>AK$5*IF(AK$4&gt;=Teams!$F$80,Teams!$F$43*Params!$F$6*Org!$B$10*Params!$F$7/12,0)</f>
        <v>1666.6666666666667</v>
      </c>
      <c r="AL100" s="44">
        <f>AL$5*IF(AL$4&gt;=Teams!$F$80,Teams!$F$43*Params!$F$6*Org!$B$10*Params!$F$7/12,0)</f>
        <v>1666.6666666666667</v>
      </c>
      <c r="AM100" s="44">
        <f>AM$5*IF(AM$4&gt;=Teams!$F$80,Teams!$F$43*Params!$F$6*Org!$B$10*Params!$F$7/12,0)</f>
        <v>1666.6666666666667</v>
      </c>
      <c r="AN100" s="44">
        <f>AN$5*IF(AN$4&gt;=Teams!$F$80,Teams!$F$43*Params!$F$6*Org!$B$10*Params!$F$7/12,0)</f>
        <v>1666.6666666666667</v>
      </c>
      <c r="AO100" s="44">
        <f>AO$5*IF(AO$4&gt;=Teams!$F$80,Teams!$F$43*Params!$F$6*Org!$B$10*Params!$F$7/12,0)</f>
        <v>0</v>
      </c>
      <c r="AP100" s="44">
        <f>AP$5*IF(AP$4&gt;=Teams!$F$80,Teams!$F$43*Params!$F$6*Org!$B$10*Params!$F$7/12,0)</f>
        <v>0</v>
      </c>
      <c r="AQ100" s="44">
        <f>AQ$5*IF(AQ$4&gt;=Teams!$F$80,Teams!$F$43*Params!$F$6*Org!$B$10*Params!$F$7/12,0)</f>
        <v>0</v>
      </c>
      <c r="AR100" s="44">
        <f>AR$5*IF(AR$4&gt;=Teams!$F$80,Teams!$F$43*Params!$F$6*Org!$B$10*Params!$F$7/12,0)</f>
        <v>0</v>
      </c>
      <c r="AS100" s="44">
        <f>AS$5*IF(AS$4&gt;=Teams!$F$80,Teams!$F$43*Params!$F$6*Org!$B$10*Params!$F$7/12,0)</f>
        <v>0</v>
      </c>
      <c r="AT100" s="44">
        <f>AT$5*IF(AT$4&gt;=Teams!$F$80,Teams!$F$43*Params!$F$6*Org!$B$10*Params!$F$7/12,0)</f>
        <v>0</v>
      </c>
      <c r="AU100" s="44">
        <f>AU$5*IF(AU$4&gt;=Teams!$F$80,Teams!$F$43*Params!$F$6*Org!$B$10*Params!$F$7/12,0)</f>
        <v>0</v>
      </c>
      <c r="AV100" s="44">
        <f>AV$5*IF(AV$4&gt;=Teams!$F$80,Teams!$F$43*Params!$F$6*Org!$B$10*Params!$F$7/12,0)</f>
        <v>0</v>
      </c>
      <c r="AW100" s="44">
        <f>AW$5*IF(AW$4&gt;=Teams!$F$80,Teams!$F$43*Params!$F$6*Org!$B$10*Params!$F$7/12,0)</f>
        <v>0</v>
      </c>
      <c r="AX100" s="44">
        <f>AX$5*IF(AX$4&gt;=Teams!$F$80,Teams!$F$43*Params!$F$6*Org!$B$10*Params!$F$7/12,0)</f>
        <v>0</v>
      </c>
      <c r="AY100" s="44">
        <f>AY$5*IF(AY$4&gt;=Teams!$F$80,Teams!$F$43*Params!$F$6*Org!$B$10*Params!$F$7/12,0)</f>
        <v>0</v>
      </c>
      <c r="AZ100" s="44">
        <f>AZ$5*IF(AZ$4&gt;=Teams!$F$80,Teams!$F$43*Params!$F$6*Org!$B$10*Params!$F$7/12,0)</f>
        <v>0</v>
      </c>
      <c r="BA100" s="44">
        <f>BA$5*IF(BA$4&gt;=Teams!$F$80,Teams!$F$43*Params!$F$6*Org!$B$10*Params!$F$7/12,0)</f>
        <v>0</v>
      </c>
      <c r="BB100" s="44">
        <f>BB$5*IF(BB$4&gt;=Teams!$F$80,Teams!$F$43*Params!$F$6*Org!$B$10*Params!$F$7/12,0)</f>
        <v>0</v>
      </c>
      <c r="BC100" s="44">
        <f>BC$5*IF(BC$4&gt;=Teams!$F$80,Teams!$F$43*Params!$F$6*Org!$B$10*Params!$F$7/12,0)</f>
        <v>0</v>
      </c>
      <c r="BD100" s="44">
        <f>BD$5*IF(BD$4&gt;=Teams!$F$80,Teams!$F$43*Params!$F$6*Org!$B$10*Params!$F$7/12,0)</f>
        <v>0</v>
      </c>
      <c r="BE100" s="44">
        <f>BE$5*IF(BE$4&gt;=Teams!$F$80,Teams!$F$43*Params!$F$6*Org!$B$10*Params!$F$7/12,0)</f>
        <v>0</v>
      </c>
      <c r="BF100" s="44">
        <f>BF$5*IF(BF$4&gt;=Teams!$F$80,Teams!$F$43*Params!$F$6*Org!$B$10*Params!$F$7/12,0)</f>
        <v>0</v>
      </c>
      <c r="BG100" s="44">
        <f>BG$5*IF(BG$4&gt;=Teams!$F$80,Teams!$F$43*Params!$F$6*Org!$B$10*Params!$F$7/12,0)</f>
        <v>0</v>
      </c>
      <c r="BH100" s="44">
        <f>BH$5*IF(BH$4&gt;=Teams!$F$80,Teams!$F$43*Params!$F$6*Org!$B$10*Params!$F$7/12,0)</f>
        <v>0</v>
      </c>
      <c r="BI100" s="44">
        <f>BI$5*IF(BI$4&gt;=Teams!$F$80,Teams!$F$43*Params!$F$6*Org!$B$10*Params!$F$7/12,0)</f>
        <v>0</v>
      </c>
      <c r="BJ100" s="44">
        <f>BJ$5*IF(BJ$4&gt;=Teams!$F$80,Teams!$F$43*Params!$F$6*Org!$B$10*Params!$F$7/12,0)</f>
        <v>0</v>
      </c>
      <c r="BK100" s="44">
        <f>BK$5*IF(BK$4&gt;=Teams!$F$80,Teams!$F$43*Params!$F$6*Org!$B$10*Params!$F$7/12,0)</f>
        <v>0</v>
      </c>
      <c r="BL100" s="44">
        <f>BL$5*IF(BL$4&gt;=Teams!$F$80,Teams!$F$43*Params!$F$6*Org!$B$10*Params!$F$7/12,0)</f>
        <v>0</v>
      </c>
    </row>
    <row r="101" spans="1:64" x14ac:dyDescent="0.3">
      <c r="A101" s="8" t="s">
        <v>672</v>
      </c>
      <c r="B101" s="18" t="s">
        <v>169</v>
      </c>
      <c r="C101" s="44">
        <f t="shared" si="29"/>
        <v>1241653.3333333333</v>
      </c>
      <c r="E101" s="44">
        <f>E$5*IF(E$4&gt;=Teams!$F$80,Params!$F$23*Params!$F$24/60*(Org!$B$10/Org!$B$11)+Params!$F$27/12*Params!$F$13*Org!$B$10+E92/1000*Params!$F$28*Params!$F$29*(Org!$B$10/Org!$B$11),0)</f>
        <v>0</v>
      </c>
      <c r="F101" s="44">
        <f>F$5*IF(F$4&gt;=Teams!$F$80,Params!$F$23*Params!$F$24/60*(Org!$B$10/Org!$B$11)+Params!$F$27/12*Params!$F$13*Org!$B$10+F92/1000*Params!$F$28*Params!$F$29*(Org!$B$10/Org!$B$11),0)</f>
        <v>0</v>
      </c>
      <c r="G101" s="44">
        <f>G$5*IF(G$4&gt;=Teams!$F$80,Params!$F$23*Params!$F$24/60*(Org!$B$10/Org!$B$11)+Params!$F$27/12*Params!$F$13*Org!$B$10+G92/1000*Params!$F$28*Params!$F$29*(Org!$B$10/Org!$B$11),0)</f>
        <v>35464.373333333329</v>
      </c>
      <c r="H101" s="44">
        <f>H$5*IF(H$4&gt;=Teams!$F$80,Params!$F$23*Params!$F$24/60*(Org!$B$10/Org!$B$11)+Params!$F$27/12*Params!$F$13*Org!$B$10+H92/1000*Params!$F$28*Params!$F$29*(Org!$B$10/Org!$B$11),0)</f>
        <v>35776.853333333325</v>
      </c>
      <c r="I101" s="44">
        <f>I$5*IF(I$4&gt;=Teams!$F$80,Params!$F$23*Params!$F$24/60*(Org!$B$10/Org!$B$11)+Params!$F$27/12*Params!$F$13*Org!$B$10+I92/1000*Params!$F$28*Params!$F$29*(Org!$B$10/Org!$B$11),0)</f>
        <v>36149.813333333332</v>
      </c>
      <c r="J101" s="44">
        <f>J$5*IF(J$4&gt;=Teams!$F$80,Params!$F$23*Params!$F$24/60*(Org!$B$10/Org!$B$11)+Params!$F$27/12*Params!$F$13*Org!$B$10+J92/1000*Params!$F$28*Params!$F$29*(Org!$B$10/Org!$B$11),0)</f>
        <v>36462.293333333328</v>
      </c>
      <c r="K101" s="44">
        <f>K$5*IF(K$4&gt;=Teams!$F$80,Params!$F$23*Params!$F$24/60*(Org!$B$10/Org!$B$11)+Params!$F$27/12*Params!$F$13*Org!$B$10+K92/1000*Params!$F$28*Params!$F$29*(Org!$B$10/Org!$B$11),0)</f>
        <v>36593.333333333328</v>
      </c>
      <c r="L101" s="44">
        <f>L$5*IF(L$4&gt;=Teams!$F$80,Params!$F$23*Params!$F$24/60*(Org!$B$10/Org!$B$11)+Params!$F$27/12*Params!$F$13*Org!$B$10+L92/1000*Params!$F$28*Params!$F$29*(Org!$B$10/Org!$B$11),0)</f>
        <v>36593.333333333328</v>
      </c>
      <c r="M101" s="44">
        <f>M$5*IF(M$4&gt;=Teams!$F$80,Params!$F$23*Params!$F$24/60*(Org!$B$10/Org!$B$11)+Params!$F$27/12*Params!$F$13*Org!$B$10+M92/1000*Params!$F$28*Params!$F$29*(Org!$B$10/Org!$B$11),0)</f>
        <v>36593.333333333328</v>
      </c>
      <c r="N101" s="44">
        <f>N$5*IF(N$4&gt;=Teams!$F$80,Params!$F$23*Params!$F$24/60*(Org!$B$10/Org!$B$11)+Params!$F$27/12*Params!$F$13*Org!$B$10+N92/1000*Params!$F$28*Params!$F$29*(Org!$B$10/Org!$B$11),0)</f>
        <v>36593.333333333328</v>
      </c>
      <c r="O101" s="44">
        <f>O$5*IF(O$4&gt;=Teams!$F$80,Params!$F$23*Params!$F$24/60*(Org!$B$10/Org!$B$11)+Params!$F$27/12*Params!$F$13*Org!$B$10+O92/1000*Params!$F$28*Params!$F$29*(Org!$B$10/Org!$B$11),0)</f>
        <v>36593.333333333328</v>
      </c>
      <c r="P101" s="44">
        <f>P$5*IF(P$4&gt;=Teams!$F$80,Params!$F$23*Params!$F$24/60*(Org!$B$10/Org!$B$11)+Params!$F$27/12*Params!$F$13*Org!$B$10+P92/1000*Params!$F$28*Params!$F$29*(Org!$B$10/Org!$B$11),0)</f>
        <v>36593.333333333328</v>
      </c>
      <c r="Q101" s="44">
        <f>Q$5*IF(Q$4&gt;=Teams!$F$80,Params!$F$23*Params!$F$24/60*(Org!$B$10/Org!$B$11)+Params!$F$27/12*Params!$F$13*Org!$B$10+Q92/1000*Params!$F$28*Params!$F$29*(Org!$B$10/Org!$B$11),0)</f>
        <v>36593.333333333328</v>
      </c>
      <c r="R101" s="44">
        <f>R$5*IF(R$4&gt;=Teams!$F$80,Params!$F$23*Params!$F$24/60*(Org!$B$10/Org!$B$11)+Params!$F$27/12*Params!$F$13*Org!$B$10+R92/1000*Params!$F$28*Params!$F$29*(Org!$B$10/Org!$B$11),0)</f>
        <v>36593.333333333328</v>
      </c>
      <c r="S101" s="44">
        <f>S$5*IF(S$4&gt;=Teams!$F$80,Params!$F$23*Params!$F$24/60*(Org!$B$10/Org!$B$11)+Params!$F$27/12*Params!$F$13*Org!$B$10+S92/1000*Params!$F$28*Params!$F$29*(Org!$B$10/Org!$B$11),0)</f>
        <v>36593.333333333328</v>
      </c>
      <c r="T101" s="44">
        <f>T$5*IF(T$4&gt;=Teams!$F$80,Params!$F$23*Params!$F$24/60*(Org!$B$10/Org!$B$11)+Params!$F$27/12*Params!$F$13*Org!$B$10+T92/1000*Params!$F$28*Params!$F$29*(Org!$B$10/Org!$B$11),0)</f>
        <v>36593.333333333328</v>
      </c>
      <c r="U101" s="44">
        <f>U$5*IF(U$4&gt;=Teams!$F$80,Params!$F$23*Params!$F$24/60*(Org!$B$10/Org!$B$11)+Params!$F$27/12*Params!$F$13*Org!$B$10+U92/1000*Params!$F$28*Params!$F$29*(Org!$B$10/Org!$B$11),0)</f>
        <v>36593.333333333328</v>
      </c>
      <c r="V101" s="44">
        <f>V$5*IF(V$4&gt;=Teams!$F$80,Params!$F$23*Params!$F$24/60*(Org!$B$10/Org!$B$11)+Params!$F$27/12*Params!$F$13*Org!$B$10+V92/1000*Params!$F$28*Params!$F$29*(Org!$B$10/Org!$B$11),0)</f>
        <v>36593.333333333328</v>
      </c>
      <c r="W101" s="44">
        <f>W$5*IF(W$4&gt;=Teams!$F$80,Params!$F$23*Params!$F$24/60*(Org!$B$10/Org!$B$11)+Params!$F$27/12*Params!$F$13*Org!$B$10+W92/1000*Params!$F$28*Params!$F$29*(Org!$B$10/Org!$B$11),0)</f>
        <v>36593.333333333328</v>
      </c>
      <c r="X101" s="44">
        <f>X$5*IF(X$4&gt;=Teams!$F$80,Params!$F$23*Params!$F$24/60*(Org!$B$10/Org!$B$11)+Params!$F$27/12*Params!$F$13*Org!$B$10+X92/1000*Params!$F$28*Params!$F$29*(Org!$B$10/Org!$B$11),0)</f>
        <v>36593.333333333328</v>
      </c>
      <c r="Y101" s="44">
        <f>Y$5*IF(Y$4&gt;=Teams!$F$80,Params!$F$23*Params!$F$24/60*(Org!$B$10/Org!$B$11)+Params!$F$27/12*Params!$F$13*Org!$B$10+Y92/1000*Params!$F$28*Params!$F$29*(Org!$B$10/Org!$B$11),0)</f>
        <v>36593.333333333328</v>
      </c>
      <c r="Z101" s="44">
        <f>Z$5*IF(Z$4&gt;=Teams!$F$80,Params!$F$23*Params!$F$24/60*(Org!$B$10/Org!$B$11)+Params!$F$27/12*Params!$F$13*Org!$B$10+Z92/1000*Params!$F$28*Params!$F$29*(Org!$B$10/Org!$B$11),0)</f>
        <v>36593.333333333328</v>
      </c>
      <c r="AA101" s="44">
        <f>AA$5*IF(AA$4&gt;=Teams!$F$80,Params!$F$23*Params!$F$24/60*(Org!$B$10/Org!$B$11)+Params!$F$27/12*Params!$F$13*Org!$B$10+AA92/1000*Params!$F$28*Params!$F$29*(Org!$B$10/Org!$B$11),0)</f>
        <v>36593.333333333328</v>
      </c>
      <c r="AB101" s="44">
        <f>AB$5*IF(AB$4&gt;=Teams!$F$80,Params!$F$23*Params!$F$24/60*(Org!$B$10/Org!$B$11)+Params!$F$27/12*Params!$F$13*Org!$B$10+AB92/1000*Params!$F$28*Params!$F$29*(Org!$B$10/Org!$B$11),0)</f>
        <v>36593.333333333328</v>
      </c>
      <c r="AC101" s="44">
        <f>AC$5*IF(AC$4&gt;=Teams!$F$80,Params!$F$23*Params!$F$24/60*(Org!$B$10/Org!$B$11)+Params!$F$27/12*Params!$F$13*Org!$B$10+AC92/1000*Params!$F$28*Params!$F$29*(Org!$B$10/Org!$B$11),0)</f>
        <v>36593.333333333328</v>
      </c>
      <c r="AD101" s="44">
        <f>AD$5*IF(AD$4&gt;=Teams!$F$80,Params!$F$23*Params!$F$24/60*(Org!$B$10/Org!$B$11)+Params!$F$27/12*Params!$F$13*Org!$B$10+AD92/1000*Params!$F$28*Params!$F$29*(Org!$B$10/Org!$B$11),0)</f>
        <v>36593.333333333328</v>
      </c>
      <c r="AE101" s="44">
        <f>AE$5*IF(AE$4&gt;=Teams!$F$80,Params!$F$23*Params!$F$24/60*(Org!$B$10/Org!$B$11)+Params!$F$27/12*Params!$F$13*Org!$B$10+AE92/1000*Params!$F$28*Params!$F$29*(Org!$B$10/Org!$B$11),0)</f>
        <v>36593.333333333328</v>
      </c>
      <c r="AF101" s="44">
        <f>AF$5*IF(AF$4&gt;=Teams!$F$80,Params!$F$23*Params!$F$24/60*(Org!$B$10/Org!$B$11)+Params!$F$27/12*Params!$F$13*Org!$B$10+AF92/1000*Params!$F$28*Params!$F$29*(Org!$B$10/Org!$B$11),0)</f>
        <v>36593.333333333328</v>
      </c>
      <c r="AG101" s="44">
        <f>AG$5*IF(AG$4&gt;=Teams!$F$80,Params!$F$23*Params!$F$24/60*(Org!$B$10/Org!$B$11)+Params!$F$27/12*Params!$F$13*Org!$B$10+AG92/1000*Params!$F$28*Params!$F$29*(Org!$B$10/Org!$B$11),0)</f>
        <v>36593.333333333328</v>
      </c>
      <c r="AH101" s="44">
        <f>AH$5*IF(AH$4&gt;=Teams!$F$80,Params!$F$23*Params!$F$24/60*(Org!$B$10/Org!$B$11)+Params!$F$27/12*Params!$F$13*Org!$B$10+AH92/1000*Params!$F$28*Params!$F$29*(Org!$B$10/Org!$B$11),0)</f>
        <v>36593.333333333328</v>
      </c>
      <c r="AI101" s="44">
        <f>AI$5*IF(AI$4&gt;=Teams!$F$80,Params!$F$23*Params!$F$24/60*(Org!$B$10/Org!$B$11)+Params!$F$27/12*Params!$F$13*Org!$B$10+AI92/1000*Params!$F$28*Params!$F$29*(Org!$B$10/Org!$B$11),0)</f>
        <v>36593.333333333328</v>
      </c>
      <c r="AJ101" s="44">
        <f>AJ$5*IF(AJ$4&gt;=Teams!$F$80,Params!$F$23*Params!$F$24/60*(Org!$B$10/Org!$B$11)+Params!$F$27/12*Params!$F$13*Org!$B$10+AJ92/1000*Params!$F$28*Params!$F$29*(Org!$B$10/Org!$B$11),0)</f>
        <v>36593.333333333328</v>
      </c>
      <c r="AK101" s="44">
        <f>AK$5*IF(AK$4&gt;=Teams!$F$80,Params!$F$23*Params!$F$24/60*(Org!$B$10/Org!$B$11)+Params!$F$27/12*Params!$F$13*Org!$B$10+AK92/1000*Params!$F$28*Params!$F$29*(Org!$B$10/Org!$B$11),0)</f>
        <v>36593.333333333328</v>
      </c>
      <c r="AL101" s="44">
        <f>AL$5*IF(AL$4&gt;=Teams!$F$80,Params!$F$23*Params!$F$24/60*(Org!$B$10/Org!$B$11)+Params!$F$27/12*Params!$F$13*Org!$B$10+AL92/1000*Params!$F$28*Params!$F$29*(Org!$B$10/Org!$B$11),0)</f>
        <v>36593.333333333328</v>
      </c>
      <c r="AM101" s="44">
        <f>AM$5*IF(AM$4&gt;=Teams!$F$80,Params!$F$23*Params!$F$24/60*(Org!$B$10/Org!$B$11)+Params!$F$27/12*Params!$F$13*Org!$B$10+AM92/1000*Params!$F$28*Params!$F$29*(Org!$B$10/Org!$B$11),0)</f>
        <v>36593.333333333328</v>
      </c>
      <c r="AN101" s="44">
        <f>AN$5*IF(AN$4&gt;=Teams!$F$80,Params!$F$23*Params!$F$24/60*(Org!$B$10/Org!$B$11)+Params!$F$27/12*Params!$F$13*Org!$B$10+AN92/1000*Params!$F$28*Params!$F$29*(Org!$B$10/Org!$B$11),0)</f>
        <v>36593.333333333328</v>
      </c>
      <c r="AO101" s="44">
        <f>AO$5*IF(AO$4&gt;=Teams!$F$80,Params!$F$23*Params!$F$24/60*(Org!$B$10/Org!$B$11)+Params!$F$27/12*Params!$F$13*Org!$B$10+AO92/1000*Params!$F$28*Params!$F$29*(Org!$B$10/Org!$B$11),0)</f>
        <v>0</v>
      </c>
      <c r="AP101" s="44">
        <f>AP$5*IF(AP$4&gt;=Teams!$F$80,Params!$F$23*Params!$F$24/60*(Org!$B$10/Org!$B$11)+Params!$F$27/12*Params!$F$13*Org!$B$10+AP92/1000*Params!$F$28*Params!$F$29*(Org!$B$10/Org!$B$11),0)</f>
        <v>0</v>
      </c>
      <c r="AQ101" s="44">
        <f>AQ$5*IF(AQ$4&gt;=Teams!$F$80,Params!$F$23*Params!$F$24/60*(Org!$B$10/Org!$B$11)+Params!$F$27/12*Params!$F$13*Org!$B$10+AQ92/1000*Params!$F$28*Params!$F$29*(Org!$B$10/Org!$B$11),0)</f>
        <v>0</v>
      </c>
      <c r="AR101" s="44">
        <f>AR$5*IF(AR$4&gt;=Teams!$F$80,Params!$F$23*Params!$F$24/60*(Org!$B$10/Org!$B$11)+Params!$F$27/12*Params!$F$13*Org!$B$10+AR92/1000*Params!$F$28*Params!$F$29*(Org!$B$10/Org!$B$11),0)</f>
        <v>0</v>
      </c>
      <c r="AS101" s="44">
        <f>AS$5*IF(AS$4&gt;=Teams!$F$80,Params!$F$23*Params!$F$24/60*(Org!$B$10/Org!$B$11)+Params!$F$27/12*Params!$F$13*Org!$B$10+AS92/1000*Params!$F$28*Params!$F$29*(Org!$B$10/Org!$B$11),0)</f>
        <v>0</v>
      </c>
      <c r="AT101" s="44">
        <f>AT$5*IF(AT$4&gt;=Teams!$F$80,Params!$F$23*Params!$F$24/60*(Org!$B$10/Org!$B$11)+Params!$F$27/12*Params!$F$13*Org!$B$10+AT92/1000*Params!$F$28*Params!$F$29*(Org!$B$10/Org!$B$11),0)</f>
        <v>0</v>
      </c>
      <c r="AU101" s="44">
        <f>AU$5*IF(AU$4&gt;=Teams!$F$80,Params!$F$23*Params!$F$24/60*(Org!$B$10/Org!$B$11)+Params!$F$27/12*Params!$F$13*Org!$B$10+AU92/1000*Params!$F$28*Params!$F$29*(Org!$B$10/Org!$B$11),0)</f>
        <v>0</v>
      </c>
      <c r="AV101" s="44">
        <f>AV$5*IF(AV$4&gt;=Teams!$F$80,Params!$F$23*Params!$F$24/60*(Org!$B$10/Org!$B$11)+Params!$F$27/12*Params!$F$13*Org!$B$10+AV92/1000*Params!$F$28*Params!$F$29*(Org!$B$10/Org!$B$11),0)</f>
        <v>0</v>
      </c>
      <c r="AW101" s="44">
        <f>AW$5*IF(AW$4&gt;=Teams!$F$80,Params!$F$23*Params!$F$24/60*(Org!$B$10/Org!$B$11)+Params!$F$27/12*Params!$F$13*Org!$B$10+AW92/1000*Params!$F$28*Params!$F$29*(Org!$B$10/Org!$B$11),0)</f>
        <v>0</v>
      </c>
      <c r="AX101" s="44">
        <f>AX$5*IF(AX$4&gt;=Teams!$F$80,Params!$F$23*Params!$F$24/60*(Org!$B$10/Org!$B$11)+Params!$F$27/12*Params!$F$13*Org!$B$10+AX92/1000*Params!$F$28*Params!$F$29*(Org!$B$10/Org!$B$11),0)</f>
        <v>0</v>
      </c>
      <c r="AY101" s="44">
        <f>AY$5*IF(AY$4&gt;=Teams!$F$80,Params!$F$23*Params!$F$24/60*(Org!$B$10/Org!$B$11)+Params!$F$27/12*Params!$F$13*Org!$B$10+AY92/1000*Params!$F$28*Params!$F$29*(Org!$B$10/Org!$B$11),0)</f>
        <v>0</v>
      </c>
      <c r="AZ101" s="44">
        <f>AZ$5*IF(AZ$4&gt;=Teams!$F$80,Params!$F$23*Params!$F$24/60*(Org!$B$10/Org!$B$11)+Params!$F$27/12*Params!$F$13*Org!$B$10+AZ92/1000*Params!$F$28*Params!$F$29*(Org!$B$10/Org!$B$11),0)</f>
        <v>0</v>
      </c>
      <c r="BA101" s="44">
        <f>BA$5*IF(BA$4&gt;=Teams!$F$80,Params!$F$23*Params!$F$24/60*(Org!$B$10/Org!$B$11)+Params!$F$27/12*Params!$F$13*Org!$B$10+BA92/1000*Params!$F$28*Params!$F$29*(Org!$B$10/Org!$B$11),0)</f>
        <v>0</v>
      </c>
      <c r="BB101" s="44">
        <f>BB$5*IF(BB$4&gt;=Teams!$F$80,Params!$F$23*Params!$F$24/60*(Org!$B$10/Org!$B$11)+Params!$F$27/12*Params!$F$13*Org!$B$10+BB92/1000*Params!$F$28*Params!$F$29*(Org!$B$10/Org!$B$11),0)</f>
        <v>0</v>
      </c>
      <c r="BC101" s="44">
        <f>BC$5*IF(BC$4&gt;=Teams!$F$80,Params!$F$23*Params!$F$24/60*(Org!$B$10/Org!$B$11)+Params!$F$27/12*Params!$F$13*Org!$B$10+BC92/1000*Params!$F$28*Params!$F$29*(Org!$B$10/Org!$B$11),0)</f>
        <v>0</v>
      </c>
      <c r="BD101" s="44">
        <f>BD$5*IF(BD$4&gt;=Teams!$F$80,Params!$F$23*Params!$F$24/60*(Org!$B$10/Org!$B$11)+Params!$F$27/12*Params!$F$13*Org!$B$10+BD92/1000*Params!$F$28*Params!$F$29*(Org!$B$10/Org!$B$11),0)</f>
        <v>0</v>
      </c>
      <c r="BE101" s="44">
        <f>BE$5*IF(BE$4&gt;=Teams!$F$80,Params!$F$23*Params!$F$24/60*(Org!$B$10/Org!$B$11)+Params!$F$27/12*Params!$F$13*Org!$B$10+BE92/1000*Params!$F$28*Params!$F$29*(Org!$B$10/Org!$B$11),0)</f>
        <v>0</v>
      </c>
      <c r="BF101" s="44">
        <f>BF$5*IF(BF$4&gt;=Teams!$F$80,Params!$F$23*Params!$F$24/60*(Org!$B$10/Org!$B$11)+Params!$F$27/12*Params!$F$13*Org!$B$10+BF92/1000*Params!$F$28*Params!$F$29*(Org!$B$10/Org!$B$11),0)</f>
        <v>0</v>
      </c>
      <c r="BG101" s="44">
        <f>BG$5*IF(BG$4&gt;=Teams!$F$80,Params!$F$23*Params!$F$24/60*(Org!$B$10/Org!$B$11)+Params!$F$27/12*Params!$F$13*Org!$B$10+BG92/1000*Params!$F$28*Params!$F$29*(Org!$B$10/Org!$B$11),0)</f>
        <v>0</v>
      </c>
      <c r="BH101" s="44">
        <f>BH$5*IF(BH$4&gt;=Teams!$F$80,Params!$F$23*Params!$F$24/60*(Org!$B$10/Org!$B$11)+Params!$F$27/12*Params!$F$13*Org!$B$10+BH92/1000*Params!$F$28*Params!$F$29*(Org!$B$10/Org!$B$11),0)</f>
        <v>0</v>
      </c>
      <c r="BI101" s="44">
        <f>BI$5*IF(BI$4&gt;=Teams!$F$80,Params!$F$23*Params!$F$24/60*(Org!$B$10/Org!$B$11)+Params!$F$27/12*Params!$F$13*Org!$B$10+BI92/1000*Params!$F$28*Params!$F$29*(Org!$B$10/Org!$B$11),0)</f>
        <v>0</v>
      </c>
      <c r="BJ101" s="44">
        <f>BJ$5*IF(BJ$4&gt;=Teams!$F$80,Params!$F$23*Params!$F$24/60*(Org!$B$10/Org!$B$11)+Params!$F$27/12*Params!$F$13*Org!$B$10+BJ92/1000*Params!$F$28*Params!$F$29*(Org!$B$10/Org!$B$11),0)</f>
        <v>0</v>
      </c>
      <c r="BK101" s="44">
        <f>BK$5*IF(BK$4&gt;=Teams!$F$80,Params!$F$23*Params!$F$24/60*(Org!$B$10/Org!$B$11)+Params!$F$27/12*Params!$F$13*Org!$B$10+BK92/1000*Params!$F$28*Params!$F$29*(Org!$B$10/Org!$B$11),0)</f>
        <v>0</v>
      </c>
      <c r="BL101" s="44">
        <f>BL$5*IF(BL$4&gt;=Teams!$F$80,Params!$F$23*Params!$F$24/60*(Org!$B$10/Org!$B$11)+Params!$F$27/12*Params!$F$13*Org!$B$10+BL92/1000*Params!$F$28*Params!$F$29*(Org!$B$10/Org!$B$11),0)</f>
        <v>0</v>
      </c>
    </row>
    <row r="102" spans="1:64" x14ac:dyDescent="0.3">
      <c r="A102" s="8" t="s">
        <v>673</v>
      </c>
      <c r="B102" s="18" t="s">
        <v>604</v>
      </c>
      <c r="C102" s="44">
        <f t="shared" si="29"/>
        <v>54400</v>
      </c>
      <c r="E102" s="44">
        <f>E$5*IF(AND(E$4&gt;Teams!$F$80,MOD(E$4-Teams!$F$80,MAX(1,ROUND(Params!$F$25,0)))=0),(Params!$F$26+Params!$F$17*Params!$F$16)*Org!$B$10,0)</f>
        <v>0</v>
      </c>
      <c r="F102" s="44">
        <f>F$5*IF(AND(F$4&gt;Teams!$F$80,MOD(F$4-Teams!$F$80,MAX(1,ROUND(Params!$F$25,0)))=0),(Params!$F$26+Params!$F$17*Params!$F$16)*Org!$B$10,0)</f>
        <v>0</v>
      </c>
      <c r="G102" s="44">
        <f>G$5*IF(AND(G$4&gt;Teams!$F$80,MOD(G$4-Teams!$F$80,MAX(1,ROUND(Params!$F$25,0)))=0),(Params!$F$26+Params!$F$17*Params!$F$16)*Org!$B$10,0)</f>
        <v>0</v>
      </c>
      <c r="H102" s="44">
        <f>H$5*IF(AND(H$4&gt;Teams!$F$80,MOD(H$4-Teams!$F$80,MAX(1,ROUND(Params!$F$25,0)))=0),(Params!$F$26+Params!$F$17*Params!$F$16)*Org!$B$10,0)</f>
        <v>0</v>
      </c>
      <c r="I102" s="44">
        <f>I$5*IF(AND(I$4&gt;Teams!$F$80,MOD(I$4-Teams!$F$80,MAX(1,ROUND(Params!$F$25,0)))=0),(Params!$F$26+Params!$F$17*Params!$F$16)*Org!$B$10,0)</f>
        <v>0</v>
      </c>
      <c r="J102" s="44">
        <f>J$5*IF(AND(J$4&gt;Teams!$F$80,MOD(J$4-Teams!$F$80,MAX(1,ROUND(Params!$F$25,0)))=0),(Params!$F$26+Params!$F$17*Params!$F$16)*Org!$B$10,0)</f>
        <v>0</v>
      </c>
      <c r="K102" s="44">
        <f>K$5*IF(AND(K$4&gt;Teams!$F$80,MOD(K$4-Teams!$F$80,MAX(1,ROUND(Params!$F$25,0)))=0),(Params!$F$26+Params!$F$17*Params!$F$16)*Org!$B$10,0)</f>
        <v>0</v>
      </c>
      <c r="L102" s="44">
        <f>L$5*IF(AND(L$4&gt;Teams!$F$80,MOD(L$4-Teams!$F$80,MAX(1,ROUND(Params!$F$25,0)))=0),(Params!$F$26+Params!$F$17*Params!$F$16)*Org!$B$10,0)</f>
        <v>0</v>
      </c>
      <c r="M102" s="44">
        <f>M$5*IF(AND(M$4&gt;Teams!$F$80,MOD(M$4-Teams!$F$80,MAX(1,ROUND(Params!$F$25,0)))=0),(Params!$F$26+Params!$F$17*Params!$F$16)*Org!$B$10,0)</f>
        <v>0</v>
      </c>
      <c r="N102" s="44">
        <f>N$5*IF(AND(N$4&gt;Teams!$F$80,MOD(N$4-Teams!$F$80,MAX(1,ROUND(Params!$F$25,0)))=0),(Params!$F$26+Params!$F$17*Params!$F$16)*Org!$B$10,0)</f>
        <v>0</v>
      </c>
      <c r="O102" s="44">
        <f>O$5*IF(AND(O$4&gt;Teams!$F$80,MOD(O$4-Teams!$F$80,MAX(1,ROUND(Params!$F$25,0)))=0),(Params!$F$26+Params!$F$17*Params!$F$16)*Org!$B$10,0)</f>
        <v>0</v>
      </c>
      <c r="P102" s="44">
        <f>P$5*IF(AND(P$4&gt;Teams!$F$80,MOD(P$4-Teams!$F$80,MAX(1,ROUND(Params!$F$25,0)))=0),(Params!$F$26+Params!$F$17*Params!$F$16)*Org!$B$10,0)</f>
        <v>0</v>
      </c>
      <c r="Q102" s="44">
        <f>Q$5*IF(AND(Q$4&gt;Teams!$F$80,MOD(Q$4-Teams!$F$80,MAX(1,ROUND(Params!$F$25,0)))=0),(Params!$F$26+Params!$F$17*Params!$F$16)*Org!$B$10,0)</f>
        <v>0</v>
      </c>
      <c r="R102" s="44">
        <f>R$5*IF(AND(R$4&gt;Teams!$F$80,MOD(R$4-Teams!$F$80,MAX(1,ROUND(Params!$F$25,0)))=0),(Params!$F$26+Params!$F$17*Params!$F$16)*Org!$B$10,0)</f>
        <v>0</v>
      </c>
      <c r="S102" s="44">
        <f>S$5*IF(AND(S$4&gt;Teams!$F$80,MOD(S$4-Teams!$F$80,MAX(1,ROUND(Params!$F$25,0)))=0),(Params!$F$26+Params!$F$17*Params!$F$16)*Org!$B$10,0)</f>
        <v>27200</v>
      </c>
      <c r="T102" s="44">
        <f>T$5*IF(AND(T$4&gt;Teams!$F$80,MOD(T$4-Teams!$F$80,MAX(1,ROUND(Params!$F$25,0)))=0),(Params!$F$26+Params!$F$17*Params!$F$16)*Org!$B$10,0)</f>
        <v>0</v>
      </c>
      <c r="U102" s="44">
        <f>U$5*IF(AND(U$4&gt;Teams!$F$80,MOD(U$4-Teams!$F$80,MAX(1,ROUND(Params!$F$25,0)))=0),(Params!$F$26+Params!$F$17*Params!$F$16)*Org!$B$10,0)</f>
        <v>0</v>
      </c>
      <c r="V102" s="44">
        <f>V$5*IF(AND(V$4&gt;Teams!$F$80,MOD(V$4-Teams!$F$80,MAX(1,ROUND(Params!$F$25,0)))=0),(Params!$F$26+Params!$F$17*Params!$F$16)*Org!$B$10,0)</f>
        <v>0</v>
      </c>
      <c r="W102" s="44">
        <f>W$5*IF(AND(W$4&gt;Teams!$F$80,MOD(W$4-Teams!$F$80,MAX(1,ROUND(Params!$F$25,0)))=0),(Params!$F$26+Params!$F$17*Params!$F$16)*Org!$B$10,0)</f>
        <v>0</v>
      </c>
      <c r="X102" s="44">
        <f>X$5*IF(AND(X$4&gt;Teams!$F$80,MOD(X$4-Teams!$F$80,MAX(1,ROUND(Params!$F$25,0)))=0),(Params!$F$26+Params!$F$17*Params!$F$16)*Org!$B$10,0)</f>
        <v>0</v>
      </c>
      <c r="Y102" s="44">
        <f>Y$5*IF(AND(Y$4&gt;Teams!$F$80,MOD(Y$4-Teams!$F$80,MAX(1,ROUND(Params!$F$25,0)))=0),(Params!$F$26+Params!$F$17*Params!$F$16)*Org!$B$10,0)</f>
        <v>0</v>
      </c>
      <c r="Z102" s="44">
        <f>Z$5*IF(AND(Z$4&gt;Teams!$F$80,MOD(Z$4-Teams!$F$80,MAX(1,ROUND(Params!$F$25,0)))=0),(Params!$F$26+Params!$F$17*Params!$F$16)*Org!$B$10,0)</f>
        <v>0</v>
      </c>
      <c r="AA102" s="44">
        <f>AA$5*IF(AND(AA$4&gt;Teams!$F$80,MOD(AA$4-Teams!$F$80,MAX(1,ROUND(Params!$F$25,0)))=0),(Params!$F$26+Params!$F$17*Params!$F$16)*Org!$B$10,0)</f>
        <v>0</v>
      </c>
      <c r="AB102" s="44">
        <f>AB$5*IF(AND(AB$4&gt;Teams!$F$80,MOD(AB$4-Teams!$F$80,MAX(1,ROUND(Params!$F$25,0)))=0),(Params!$F$26+Params!$F$17*Params!$F$16)*Org!$B$10,0)</f>
        <v>0</v>
      </c>
      <c r="AC102" s="44">
        <f>AC$5*IF(AND(AC$4&gt;Teams!$F$80,MOD(AC$4-Teams!$F$80,MAX(1,ROUND(Params!$F$25,0)))=0),(Params!$F$26+Params!$F$17*Params!$F$16)*Org!$B$10,0)</f>
        <v>0</v>
      </c>
      <c r="AD102" s="44">
        <f>AD$5*IF(AND(AD$4&gt;Teams!$F$80,MOD(AD$4-Teams!$F$80,MAX(1,ROUND(Params!$F$25,0)))=0),(Params!$F$26+Params!$F$17*Params!$F$16)*Org!$B$10,0)</f>
        <v>0</v>
      </c>
      <c r="AE102" s="44">
        <f>AE$5*IF(AND(AE$4&gt;Teams!$F$80,MOD(AE$4-Teams!$F$80,MAX(1,ROUND(Params!$F$25,0)))=0),(Params!$F$26+Params!$F$17*Params!$F$16)*Org!$B$10,0)</f>
        <v>27200</v>
      </c>
      <c r="AF102" s="44">
        <f>AF$5*IF(AND(AF$4&gt;Teams!$F$80,MOD(AF$4-Teams!$F$80,MAX(1,ROUND(Params!$F$25,0)))=0),(Params!$F$26+Params!$F$17*Params!$F$16)*Org!$B$10,0)</f>
        <v>0</v>
      </c>
      <c r="AG102" s="44">
        <f>AG$5*IF(AND(AG$4&gt;Teams!$F$80,MOD(AG$4-Teams!$F$80,MAX(1,ROUND(Params!$F$25,0)))=0),(Params!$F$26+Params!$F$17*Params!$F$16)*Org!$B$10,0)</f>
        <v>0</v>
      </c>
      <c r="AH102" s="44">
        <f>AH$5*IF(AND(AH$4&gt;Teams!$F$80,MOD(AH$4-Teams!$F$80,MAX(1,ROUND(Params!$F$25,0)))=0),(Params!$F$26+Params!$F$17*Params!$F$16)*Org!$B$10,0)</f>
        <v>0</v>
      </c>
      <c r="AI102" s="44">
        <f>AI$5*IF(AND(AI$4&gt;Teams!$F$80,MOD(AI$4-Teams!$F$80,MAX(1,ROUND(Params!$F$25,0)))=0),(Params!$F$26+Params!$F$17*Params!$F$16)*Org!$B$10,0)</f>
        <v>0</v>
      </c>
      <c r="AJ102" s="44">
        <f>AJ$5*IF(AND(AJ$4&gt;Teams!$F$80,MOD(AJ$4-Teams!$F$80,MAX(1,ROUND(Params!$F$25,0)))=0),(Params!$F$26+Params!$F$17*Params!$F$16)*Org!$B$10,0)</f>
        <v>0</v>
      </c>
      <c r="AK102" s="44">
        <f>AK$5*IF(AND(AK$4&gt;Teams!$F$80,MOD(AK$4-Teams!$F$80,MAX(1,ROUND(Params!$F$25,0)))=0),(Params!$F$26+Params!$F$17*Params!$F$16)*Org!$B$10,0)</f>
        <v>0</v>
      </c>
      <c r="AL102" s="44">
        <f>AL$5*IF(AND(AL$4&gt;Teams!$F$80,MOD(AL$4-Teams!$F$80,MAX(1,ROUND(Params!$F$25,0)))=0),(Params!$F$26+Params!$F$17*Params!$F$16)*Org!$B$10,0)</f>
        <v>0</v>
      </c>
      <c r="AM102" s="44">
        <f>AM$5*IF(AND(AM$4&gt;Teams!$F$80,MOD(AM$4-Teams!$F$80,MAX(1,ROUND(Params!$F$25,0)))=0),(Params!$F$26+Params!$F$17*Params!$F$16)*Org!$B$10,0)</f>
        <v>0</v>
      </c>
      <c r="AN102" s="44">
        <f>AN$5*IF(AND(AN$4&gt;Teams!$F$80,MOD(AN$4-Teams!$F$80,MAX(1,ROUND(Params!$F$25,0)))=0),(Params!$F$26+Params!$F$17*Params!$F$16)*Org!$B$10,0)</f>
        <v>0</v>
      </c>
      <c r="AO102" s="44">
        <f>AO$5*IF(AND(AO$4&gt;Teams!$F$80,MOD(AO$4-Teams!$F$80,MAX(1,ROUND(Params!$F$25,0)))=0),(Params!$F$26+Params!$F$17*Params!$F$16)*Org!$B$10,0)</f>
        <v>0</v>
      </c>
      <c r="AP102" s="44">
        <f>AP$5*IF(AND(AP$4&gt;Teams!$F$80,MOD(AP$4-Teams!$F$80,MAX(1,ROUND(Params!$F$25,0)))=0),(Params!$F$26+Params!$F$17*Params!$F$16)*Org!$B$10,0)</f>
        <v>0</v>
      </c>
      <c r="AQ102" s="44">
        <f>AQ$5*IF(AND(AQ$4&gt;Teams!$F$80,MOD(AQ$4-Teams!$F$80,MAX(1,ROUND(Params!$F$25,0)))=0),(Params!$F$26+Params!$F$17*Params!$F$16)*Org!$B$10,0)</f>
        <v>0</v>
      </c>
      <c r="AR102" s="44">
        <f>AR$5*IF(AND(AR$4&gt;Teams!$F$80,MOD(AR$4-Teams!$F$80,MAX(1,ROUND(Params!$F$25,0)))=0),(Params!$F$26+Params!$F$17*Params!$F$16)*Org!$B$10,0)</f>
        <v>0</v>
      </c>
      <c r="AS102" s="44">
        <f>AS$5*IF(AND(AS$4&gt;Teams!$F$80,MOD(AS$4-Teams!$F$80,MAX(1,ROUND(Params!$F$25,0)))=0),(Params!$F$26+Params!$F$17*Params!$F$16)*Org!$B$10,0)</f>
        <v>0</v>
      </c>
      <c r="AT102" s="44">
        <f>AT$5*IF(AND(AT$4&gt;Teams!$F$80,MOD(AT$4-Teams!$F$80,MAX(1,ROUND(Params!$F$25,0)))=0),(Params!$F$26+Params!$F$17*Params!$F$16)*Org!$B$10,0)</f>
        <v>0</v>
      </c>
      <c r="AU102" s="44">
        <f>AU$5*IF(AND(AU$4&gt;Teams!$F$80,MOD(AU$4-Teams!$F$80,MAX(1,ROUND(Params!$F$25,0)))=0),(Params!$F$26+Params!$F$17*Params!$F$16)*Org!$B$10,0)</f>
        <v>0</v>
      </c>
      <c r="AV102" s="44">
        <f>AV$5*IF(AND(AV$4&gt;Teams!$F$80,MOD(AV$4-Teams!$F$80,MAX(1,ROUND(Params!$F$25,0)))=0),(Params!$F$26+Params!$F$17*Params!$F$16)*Org!$B$10,0)</f>
        <v>0</v>
      </c>
      <c r="AW102" s="44">
        <f>AW$5*IF(AND(AW$4&gt;Teams!$F$80,MOD(AW$4-Teams!$F$80,MAX(1,ROUND(Params!$F$25,0)))=0),(Params!$F$26+Params!$F$17*Params!$F$16)*Org!$B$10,0)</f>
        <v>0</v>
      </c>
      <c r="AX102" s="44">
        <f>AX$5*IF(AND(AX$4&gt;Teams!$F$80,MOD(AX$4-Teams!$F$80,MAX(1,ROUND(Params!$F$25,0)))=0),(Params!$F$26+Params!$F$17*Params!$F$16)*Org!$B$10,0)</f>
        <v>0</v>
      </c>
      <c r="AY102" s="44">
        <f>AY$5*IF(AND(AY$4&gt;Teams!$F$80,MOD(AY$4-Teams!$F$80,MAX(1,ROUND(Params!$F$25,0)))=0),(Params!$F$26+Params!$F$17*Params!$F$16)*Org!$B$10,0)</f>
        <v>0</v>
      </c>
      <c r="AZ102" s="44">
        <f>AZ$5*IF(AND(AZ$4&gt;Teams!$F$80,MOD(AZ$4-Teams!$F$80,MAX(1,ROUND(Params!$F$25,0)))=0),(Params!$F$26+Params!$F$17*Params!$F$16)*Org!$B$10,0)</f>
        <v>0</v>
      </c>
      <c r="BA102" s="44">
        <f>BA$5*IF(AND(BA$4&gt;Teams!$F$80,MOD(BA$4-Teams!$F$80,MAX(1,ROUND(Params!$F$25,0)))=0),(Params!$F$26+Params!$F$17*Params!$F$16)*Org!$B$10,0)</f>
        <v>0</v>
      </c>
      <c r="BB102" s="44">
        <f>BB$5*IF(AND(BB$4&gt;Teams!$F$80,MOD(BB$4-Teams!$F$80,MAX(1,ROUND(Params!$F$25,0)))=0),(Params!$F$26+Params!$F$17*Params!$F$16)*Org!$B$10,0)</f>
        <v>0</v>
      </c>
      <c r="BC102" s="44">
        <f>BC$5*IF(AND(BC$4&gt;Teams!$F$80,MOD(BC$4-Teams!$F$80,MAX(1,ROUND(Params!$F$25,0)))=0),(Params!$F$26+Params!$F$17*Params!$F$16)*Org!$B$10,0)</f>
        <v>0</v>
      </c>
      <c r="BD102" s="44">
        <f>BD$5*IF(AND(BD$4&gt;Teams!$F$80,MOD(BD$4-Teams!$F$80,MAX(1,ROUND(Params!$F$25,0)))=0),(Params!$F$26+Params!$F$17*Params!$F$16)*Org!$B$10,0)</f>
        <v>0</v>
      </c>
      <c r="BE102" s="44">
        <f>BE$5*IF(AND(BE$4&gt;Teams!$F$80,MOD(BE$4-Teams!$F$80,MAX(1,ROUND(Params!$F$25,0)))=0),(Params!$F$26+Params!$F$17*Params!$F$16)*Org!$B$10,0)</f>
        <v>0</v>
      </c>
      <c r="BF102" s="44">
        <f>BF$5*IF(AND(BF$4&gt;Teams!$F$80,MOD(BF$4-Teams!$F$80,MAX(1,ROUND(Params!$F$25,0)))=0),(Params!$F$26+Params!$F$17*Params!$F$16)*Org!$B$10,0)</f>
        <v>0</v>
      </c>
      <c r="BG102" s="44">
        <f>BG$5*IF(AND(BG$4&gt;Teams!$F$80,MOD(BG$4-Teams!$F$80,MAX(1,ROUND(Params!$F$25,0)))=0),(Params!$F$26+Params!$F$17*Params!$F$16)*Org!$B$10,0)</f>
        <v>0</v>
      </c>
      <c r="BH102" s="44">
        <f>BH$5*IF(AND(BH$4&gt;Teams!$F$80,MOD(BH$4-Teams!$F$80,MAX(1,ROUND(Params!$F$25,0)))=0),(Params!$F$26+Params!$F$17*Params!$F$16)*Org!$B$10,0)</f>
        <v>0</v>
      </c>
      <c r="BI102" s="44">
        <f>BI$5*IF(AND(BI$4&gt;Teams!$F$80,MOD(BI$4-Teams!$F$80,MAX(1,ROUND(Params!$F$25,0)))=0),(Params!$F$26+Params!$F$17*Params!$F$16)*Org!$B$10,0)</f>
        <v>0</v>
      </c>
      <c r="BJ102" s="44">
        <f>BJ$5*IF(AND(BJ$4&gt;Teams!$F$80,MOD(BJ$4-Teams!$F$80,MAX(1,ROUND(Params!$F$25,0)))=0),(Params!$F$26+Params!$F$17*Params!$F$16)*Org!$B$10,0)</f>
        <v>0</v>
      </c>
      <c r="BK102" s="44">
        <f>BK$5*IF(AND(BK$4&gt;Teams!$F$80,MOD(BK$4-Teams!$F$80,MAX(1,ROUND(Params!$F$25,0)))=0),(Params!$F$26+Params!$F$17*Params!$F$16)*Org!$B$10,0)</f>
        <v>0</v>
      </c>
      <c r="BL102" s="44">
        <f>BL$5*IF(AND(BL$4&gt;Teams!$F$80,MOD(BL$4-Teams!$F$80,MAX(1,ROUND(Params!$F$25,0)))=0),(Params!$F$26+Params!$F$17*Params!$F$16)*Org!$B$10,0)</f>
        <v>0</v>
      </c>
    </row>
    <row r="103" spans="1:64" x14ac:dyDescent="0.3">
      <c r="A103" s="8" t="s">
        <v>674</v>
      </c>
      <c r="B103" s="18" t="s">
        <v>604</v>
      </c>
      <c r="C103" s="44">
        <f t="shared" si="29"/>
        <v>1890604.7999999989</v>
      </c>
      <c r="E103" s="44">
        <f>E$5*E93*MIN(1,Teams!$F$41*Params!$F$35)*Params!$F$36/60*Teams!$F$42</f>
        <v>0</v>
      </c>
      <c r="F103" s="44">
        <f>F$5*F93*MIN(1,Teams!$F$41*Params!$F$35)*Params!$F$36/60*Teams!$F$42</f>
        <v>0</v>
      </c>
      <c r="G103" s="44">
        <f>G$5*G93*MIN(1,Teams!$F$41*Params!$F$35)*Params!$F$36/60*Teams!$F$42</f>
        <v>6144.4656000000014</v>
      </c>
      <c r="H103" s="44">
        <f>H$5*H93*MIN(1,Teams!$F$41*Params!$F$35)*Params!$F$36/60*Teams!$F$42</f>
        <v>20796.652800000003</v>
      </c>
      <c r="I103" s="44">
        <f>I$5*I93*MIN(1,Teams!$F$41*Params!$F$35)*Params!$F$36/60*Teams!$F$42</f>
        <v>38284.747199999998</v>
      </c>
      <c r="J103" s="44">
        <f>J$5*J93*MIN(1,Teams!$F$41*Params!$F$35)*Params!$F$36/60*Teams!$F$42</f>
        <v>52936.934400000006</v>
      </c>
      <c r="K103" s="44">
        <f>K$5*K93*MIN(1,Teams!$F$41*Params!$F$35)*Params!$F$36/60*Teams!$F$42</f>
        <v>59081.4</v>
      </c>
      <c r="L103" s="44">
        <f>L$5*L93*MIN(1,Teams!$F$41*Params!$F$35)*Params!$F$36/60*Teams!$F$42</f>
        <v>59081.4</v>
      </c>
      <c r="M103" s="44">
        <f>M$5*M93*MIN(1,Teams!$F$41*Params!$F$35)*Params!$F$36/60*Teams!$F$42</f>
        <v>59081.4</v>
      </c>
      <c r="N103" s="44">
        <f>N$5*N93*MIN(1,Teams!$F$41*Params!$F$35)*Params!$F$36/60*Teams!$F$42</f>
        <v>59081.4</v>
      </c>
      <c r="O103" s="44">
        <f>O$5*O93*MIN(1,Teams!$F$41*Params!$F$35)*Params!$F$36/60*Teams!$F$42</f>
        <v>59081.4</v>
      </c>
      <c r="P103" s="44">
        <f>P$5*P93*MIN(1,Teams!$F$41*Params!$F$35)*Params!$F$36/60*Teams!$F$42</f>
        <v>59081.4</v>
      </c>
      <c r="Q103" s="44">
        <f>Q$5*Q93*MIN(1,Teams!$F$41*Params!$F$35)*Params!$F$36/60*Teams!$F$42</f>
        <v>59081.4</v>
      </c>
      <c r="R103" s="44">
        <f>R$5*R93*MIN(1,Teams!$F$41*Params!$F$35)*Params!$F$36/60*Teams!$F$42</f>
        <v>59081.4</v>
      </c>
      <c r="S103" s="44">
        <f>S$5*S93*MIN(1,Teams!$F$41*Params!$F$35)*Params!$F$36/60*Teams!$F$42</f>
        <v>59081.4</v>
      </c>
      <c r="T103" s="44">
        <f>T$5*T93*MIN(1,Teams!$F$41*Params!$F$35)*Params!$F$36/60*Teams!$F$42</f>
        <v>59081.4</v>
      </c>
      <c r="U103" s="44">
        <f>U$5*U93*MIN(1,Teams!$F$41*Params!$F$35)*Params!$F$36/60*Teams!$F$42</f>
        <v>59081.4</v>
      </c>
      <c r="V103" s="44">
        <f>V$5*V93*MIN(1,Teams!$F$41*Params!$F$35)*Params!$F$36/60*Teams!$F$42</f>
        <v>59081.4</v>
      </c>
      <c r="W103" s="44">
        <f>W$5*W93*MIN(1,Teams!$F$41*Params!$F$35)*Params!$F$36/60*Teams!$F$42</f>
        <v>59081.4</v>
      </c>
      <c r="X103" s="44">
        <f>X$5*X93*MIN(1,Teams!$F$41*Params!$F$35)*Params!$F$36/60*Teams!$F$42</f>
        <v>59081.4</v>
      </c>
      <c r="Y103" s="44">
        <f>Y$5*Y93*MIN(1,Teams!$F$41*Params!$F$35)*Params!$F$36/60*Teams!$F$42</f>
        <v>59081.4</v>
      </c>
      <c r="Z103" s="44">
        <f>Z$5*Z93*MIN(1,Teams!$F$41*Params!$F$35)*Params!$F$36/60*Teams!$F$42</f>
        <v>59081.4</v>
      </c>
      <c r="AA103" s="44">
        <f>AA$5*AA93*MIN(1,Teams!$F$41*Params!$F$35)*Params!$F$36/60*Teams!$F$42</f>
        <v>59081.4</v>
      </c>
      <c r="AB103" s="44">
        <f>AB$5*AB93*MIN(1,Teams!$F$41*Params!$F$35)*Params!$F$36/60*Teams!$F$42</f>
        <v>59081.4</v>
      </c>
      <c r="AC103" s="44">
        <f>AC$5*AC93*MIN(1,Teams!$F$41*Params!$F$35)*Params!$F$36/60*Teams!$F$42</f>
        <v>59081.4</v>
      </c>
      <c r="AD103" s="44">
        <f>AD$5*AD93*MIN(1,Teams!$F$41*Params!$F$35)*Params!$F$36/60*Teams!$F$42</f>
        <v>59081.4</v>
      </c>
      <c r="AE103" s="44">
        <f>AE$5*AE93*MIN(1,Teams!$F$41*Params!$F$35)*Params!$F$36/60*Teams!$F$42</f>
        <v>59081.4</v>
      </c>
      <c r="AF103" s="44">
        <f>AF$5*AF93*MIN(1,Teams!$F$41*Params!$F$35)*Params!$F$36/60*Teams!$F$42</f>
        <v>59081.4</v>
      </c>
      <c r="AG103" s="44">
        <f>AG$5*AG93*MIN(1,Teams!$F$41*Params!$F$35)*Params!$F$36/60*Teams!$F$42</f>
        <v>59081.4</v>
      </c>
      <c r="AH103" s="44">
        <f>AH$5*AH93*MIN(1,Teams!$F$41*Params!$F$35)*Params!$F$36/60*Teams!$F$42</f>
        <v>59081.4</v>
      </c>
      <c r="AI103" s="44">
        <f>AI$5*AI93*MIN(1,Teams!$F$41*Params!$F$35)*Params!$F$36/60*Teams!$F$42</f>
        <v>59081.4</v>
      </c>
      <c r="AJ103" s="44">
        <f>AJ$5*AJ93*MIN(1,Teams!$F$41*Params!$F$35)*Params!$F$36/60*Teams!$F$42</f>
        <v>59081.4</v>
      </c>
      <c r="AK103" s="44">
        <f>AK$5*AK93*MIN(1,Teams!$F$41*Params!$F$35)*Params!$F$36/60*Teams!$F$42</f>
        <v>59081.4</v>
      </c>
      <c r="AL103" s="44">
        <f>AL$5*AL93*MIN(1,Teams!$F$41*Params!$F$35)*Params!$F$36/60*Teams!$F$42</f>
        <v>59081.4</v>
      </c>
      <c r="AM103" s="44">
        <f>AM$5*AM93*MIN(1,Teams!$F$41*Params!$F$35)*Params!$F$36/60*Teams!$F$42</f>
        <v>59081.4</v>
      </c>
      <c r="AN103" s="44">
        <f>AN$5*AN93*MIN(1,Teams!$F$41*Params!$F$35)*Params!$F$36/60*Teams!$F$42</f>
        <v>59081.4</v>
      </c>
      <c r="AO103" s="44">
        <f>AO$5*AO93*MIN(1,Teams!$F$41*Params!$F$35)*Params!$F$36/60*Teams!$F$42</f>
        <v>0</v>
      </c>
      <c r="AP103" s="44">
        <f>AP$5*AP93*MIN(1,Teams!$F$41*Params!$F$35)*Params!$F$36/60*Teams!$F$42</f>
        <v>0</v>
      </c>
      <c r="AQ103" s="44">
        <f>AQ$5*AQ93*MIN(1,Teams!$F$41*Params!$F$35)*Params!$F$36/60*Teams!$F$42</f>
        <v>0</v>
      </c>
      <c r="AR103" s="44">
        <f>AR$5*AR93*MIN(1,Teams!$F$41*Params!$F$35)*Params!$F$36/60*Teams!$F$42</f>
        <v>0</v>
      </c>
      <c r="AS103" s="44">
        <f>AS$5*AS93*MIN(1,Teams!$F$41*Params!$F$35)*Params!$F$36/60*Teams!$F$42</f>
        <v>0</v>
      </c>
      <c r="AT103" s="44">
        <f>AT$5*AT93*MIN(1,Teams!$F$41*Params!$F$35)*Params!$F$36/60*Teams!$F$42</f>
        <v>0</v>
      </c>
      <c r="AU103" s="44">
        <f>AU$5*AU93*MIN(1,Teams!$F$41*Params!$F$35)*Params!$F$36/60*Teams!$F$42</f>
        <v>0</v>
      </c>
      <c r="AV103" s="44">
        <f>AV$5*AV93*MIN(1,Teams!$F$41*Params!$F$35)*Params!$F$36/60*Teams!$F$42</f>
        <v>0</v>
      </c>
      <c r="AW103" s="44">
        <f>AW$5*AW93*MIN(1,Teams!$F$41*Params!$F$35)*Params!$F$36/60*Teams!$F$42</f>
        <v>0</v>
      </c>
      <c r="AX103" s="44">
        <f>AX$5*AX93*MIN(1,Teams!$F$41*Params!$F$35)*Params!$F$36/60*Teams!$F$42</f>
        <v>0</v>
      </c>
      <c r="AY103" s="44">
        <f>AY$5*AY93*MIN(1,Teams!$F$41*Params!$F$35)*Params!$F$36/60*Teams!$F$42</f>
        <v>0</v>
      </c>
      <c r="AZ103" s="44">
        <f>AZ$5*AZ93*MIN(1,Teams!$F$41*Params!$F$35)*Params!$F$36/60*Teams!$F$42</f>
        <v>0</v>
      </c>
      <c r="BA103" s="44">
        <f>BA$5*BA93*MIN(1,Teams!$F$41*Params!$F$35)*Params!$F$36/60*Teams!$F$42</f>
        <v>0</v>
      </c>
      <c r="BB103" s="44">
        <f>BB$5*BB93*MIN(1,Teams!$F$41*Params!$F$35)*Params!$F$36/60*Teams!$F$42</f>
        <v>0</v>
      </c>
      <c r="BC103" s="44">
        <f>BC$5*BC93*MIN(1,Teams!$F$41*Params!$F$35)*Params!$F$36/60*Teams!$F$42</f>
        <v>0</v>
      </c>
      <c r="BD103" s="44">
        <f>BD$5*BD93*MIN(1,Teams!$F$41*Params!$F$35)*Params!$F$36/60*Teams!$F$42</f>
        <v>0</v>
      </c>
      <c r="BE103" s="44">
        <f>BE$5*BE93*MIN(1,Teams!$F$41*Params!$F$35)*Params!$F$36/60*Teams!$F$42</f>
        <v>0</v>
      </c>
      <c r="BF103" s="44">
        <f>BF$5*BF93*MIN(1,Teams!$F$41*Params!$F$35)*Params!$F$36/60*Teams!$F$42</f>
        <v>0</v>
      </c>
      <c r="BG103" s="44">
        <f>BG$5*BG93*MIN(1,Teams!$F$41*Params!$F$35)*Params!$F$36/60*Teams!$F$42</f>
        <v>0</v>
      </c>
      <c r="BH103" s="44">
        <f>BH$5*BH93*MIN(1,Teams!$F$41*Params!$F$35)*Params!$F$36/60*Teams!$F$42</f>
        <v>0</v>
      </c>
      <c r="BI103" s="44">
        <f>BI$5*BI93*MIN(1,Teams!$F$41*Params!$F$35)*Params!$F$36/60*Teams!$F$42</f>
        <v>0</v>
      </c>
      <c r="BJ103" s="44">
        <f>BJ$5*BJ93*MIN(1,Teams!$F$41*Params!$F$35)*Params!$F$36/60*Teams!$F$42</f>
        <v>0</v>
      </c>
      <c r="BK103" s="44">
        <f>BK$5*BK93*MIN(1,Teams!$F$41*Params!$F$35)*Params!$F$36/60*Teams!$F$42</f>
        <v>0</v>
      </c>
      <c r="BL103" s="44">
        <f>BL$5*BL93*MIN(1,Teams!$F$41*Params!$F$35)*Params!$F$36/60*Teams!$F$42</f>
        <v>0</v>
      </c>
    </row>
    <row r="104" spans="1:64" x14ac:dyDescent="0.3">
      <c r="A104" s="8" t="s">
        <v>675</v>
      </c>
      <c r="B104" s="18" t="s">
        <v>169</v>
      </c>
      <c r="C104" s="44">
        <f t="shared" si="29"/>
        <v>25520</v>
      </c>
      <c r="E104" s="44">
        <f>E$5*IF(E$4&gt;=Teams!$F$80,E91/1000*IF(E$4-Teams!$F$80&lt;6,Params!$F$37,Params!$F$38)*Org!$B$10*Org!$B$12/12,0)</f>
        <v>0</v>
      </c>
      <c r="F104" s="44">
        <f>F$5*IF(F$4&gt;=Teams!$F$80,F91/1000*IF(F$4-Teams!$F$80&lt;6,Params!$F$37,Params!$F$38)*Org!$B$10*Org!$B$12/12,0)</f>
        <v>0</v>
      </c>
      <c r="G104" s="44">
        <f>G$5*IF(G$4&gt;=Teams!$F$80,G91/1000*IF(G$4-Teams!$F$80&lt;6,Params!$F$37,Params!$F$38)*Org!$B$10*Org!$B$12/12,0)</f>
        <v>2200</v>
      </c>
      <c r="H104" s="44">
        <f>H$5*IF(H$4&gt;=Teams!$F$80,H91/1000*IF(H$4-Teams!$F$80&lt;6,Params!$F$37,Params!$F$38)*Org!$B$10*Org!$B$12/12,0)</f>
        <v>2200</v>
      </c>
      <c r="I104" s="44">
        <f>I$5*IF(I$4&gt;=Teams!$F$80,I91/1000*IF(I$4-Teams!$F$80&lt;6,Params!$F$37,Params!$F$38)*Org!$B$10*Org!$B$12/12,0)</f>
        <v>2200</v>
      </c>
      <c r="J104" s="44">
        <f>J$5*IF(J$4&gt;=Teams!$F$80,J91/1000*IF(J$4-Teams!$F$80&lt;6,Params!$F$37,Params!$F$38)*Org!$B$10*Org!$B$12/12,0)</f>
        <v>2200</v>
      </c>
      <c r="K104" s="44">
        <f>K$5*IF(K$4&gt;=Teams!$F$80,K91/1000*IF(K$4-Teams!$F$80&lt;6,Params!$F$37,Params!$F$38)*Org!$B$10*Org!$B$12/12,0)</f>
        <v>2200</v>
      </c>
      <c r="L104" s="44">
        <f>L$5*IF(L$4&gt;=Teams!$F$80,L91/1000*IF(L$4-Teams!$F$80&lt;6,Params!$F$37,Params!$F$38)*Org!$B$10*Org!$B$12/12,0)</f>
        <v>2200</v>
      </c>
      <c r="M104" s="44">
        <f>M$5*IF(M$4&gt;=Teams!$F$80,M91/1000*IF(M$4-Teams!$F$80&lt;6,Params!$F$37,Params!$F$38)*Org!$B$10*Org!$B$12/12,0)</f>
        <v>440</v>
      </c>
      <c r="N104" s="44">
        <f>N$5*IF(N$4&gt;=Teams!$F$80,N91/1000*IF(N$4-Teams!$F$80&lt;6,Params!$F$37,Params!$F$38)*Org!$B$10*Org!$B$12/12,0)</f>
        <v>440</v>
      </c>
      <c r="O104" s="44">
        <f>O$5*IF(O$4&gt;=Teams!$F$80,O91/1000*IF(O$4-Teams!$F$80&lt;6,Params!$F$37,Params!$F$38)*Org!$B$10*Org!$B$12/12,0)</f>
        <v>440</v>
      </c>
      <c r="P104" s="44">
        <f>P$5*IF(P$4&gt;=Teams!$F$80,P91/1000*IF(P$4-Teams!$F$80&lt;6,Params!$F$37,Params!$F$38)*Org!$B$10*Org!$B$12/12,0)</f>
        <v>440</v>
      </c>
      <c r="Q104" s="44">
        <f>Q$5*IF(Q$4&gt;=Teams!$F$80,Q91/1000*IF(Q$4-Teams!$F$80&lt;6,Params!$F$37,Params!$F$38)*Org!$B$10*Org!$B$12/12,0)</f>
        <v>440</v>
      </c>
      <c r="R104" s="44">
        <f>R$5*IF(R$4&gt;=Teams!$F$80,R91/1000*IF(R$4-Teams!$F$80&lt;6,Params!$F$37,Params!$F$38)*Org!$B$10*Org!$B$12/12,0)</f>
        <v>440</v>
      </c>
      <c r="S104" s="44">
        <f>S$5*IF(S$4&gt;=Teams!$F$80,S91/1000*IF(S$4-Teams!$F$80&lt;6,Params!$F$37,Params!$F$38)*Org!$B$10*Org!$B$12/12,0)</f>
        <v>440</v>
      </c>
      <c r="T104" s="44">
        <f>T$5*IF(T$4&gt;=Teams!$F$80,T91/1000*IF(T$4-Teams!$F$80&lt;6,Params!$F$37,Params!$F$38)*Org!$B$10*Org!$B$12/12,0)</f>
        <v>440</v>
      </c>
      <c r="U104" s="44">
        <f>U$5*IF(U$4&gt;=Teams!$F$80,U91/1000*IF(U$4-Teams!$F$80&lt;6,Params!$F$37,Params!$F$38)*Org!$B$10*Org!$B$12/12,0)</f>
        <v>440</v>
      </c>
      <c r="V104" s="44">
        <f>V$5*IF(V$4&gt;=Teams!$F$80,V91/1000*IF(V$4-Teams!$F$80&lt;6,Params!$F$37,Params!$F$38)*Org!$B$10*Org!$B$12/12,0)</f>
        <v>440</v>
      </c>
      <c r="W104" s="44">
        <f>W$5*IF(W$4&gt;=Teams!$F$80,W91/1000*IF(W$4-Teams!$F$80&lt;6,Params!$F$37,Params!$F$38)*Org!$B$10*Org!$B$12/12,0)</f>
        <v>440</v>
      </c>
      <c r="X104" s="44">
        <f>X$5*IF(X$4&gt;=Teams!$F$80,X91/1000*IF(X$4-Teams!$F$80&lt;6,Params!$F$37,Params!$F$38)*Org!$B$10*Org!$B$12/12,0)</f>
        <v>440</v>
      </c>
      <c r="Y104" s="44">
        <f>Y$5*IF(Y$4&gt;=Teams!$F$80,Y91/1000*IF(Y$4-Teams!$F$80&lt;6,Params!$F$37,Params!$F$38)*Org!$B$10*Org!$B$12/12,0)</f>
        <v>440</v>
      </c>
      <c r="Z104" s="44">
        <f>Z$5*IF(Z$4&gt;=Teams!$F$80,Z91/1000*IF(Z$4-Teams!$F$80&lt;6,Params!$F$37,Params!$F$38)*Org!$B$10*Org!$B$12/12,0)</f>
        <v>440</v>
      </c>
      <c r="AA104" s="44">
        <f>AA$5*IF(AA$4&gt;=Teams!$F$80,AA91/1000*IF(AA$4-Teams!$F$80&lt;6,Params!$F$37,Params!$F$38)*Org!$B$10*Org!$B$12/12,0)</f>
        <v>440</v>
      </c>
      <c r="AB104" s="44">
        <f>AB$5*IF(AB$4&gt;=Teams!$F$80,AB91/1000*IF(AB$4-Teams!$F$80&lt;6,Params!$F$37,Params!$F$38)*Org!$B$10*Org!$B$12/12,0)</f>
        <v>440</v>
      </c>
      <c r="AC104" s="44">
        <f>AC$5*IF(AC$4&gt;=Teams!$F$80,AC91/1000*IF(AC$4-Teams!$F$80&lt;6,Params!$F$37,Params!$F$38)*Org!$B$10*Org!$B$12/12,0)</f>
        <v>440</v>
      </c>
      <c r="AD104" s="44">
        <f>AD$5*IF(AD$4&gt;=Teams!$F$80,AD91/1000*IF(AD$4-Teams!$F$80&lt;6,Params!$F$37,Params!$F$38)*Org!$B$10*Org!$B$12/12,0)</f>
        <v>440</v>
      </c>
      <c r="AE104" s="44">
        <f>AE$5*IF(AE$4&gt;=Teams!$F$80,AE91/1000*IF(AE$4-Teams!$F$80&lt;6,Params!$F$37,Params!$F$38)*Org!$B$10*Org!$B$12/12,0)</f>
        <v>440</v>
      </c>
      <c r="AF104" s="44">
        <f>AF$5*IF(AF$4&gt;=Teams!$F$80,AF91/1000*IF(AF$4-Teams!$F$80&lt;6,Params!$F$37,Params!$F$38)*Org!$B$10*Org!$B$12/12,0)</f>
        <v>440</v>
      </c>
      <c r="AG104" s="44">
        <f>AG$5*IF(AG$4&gt;=Teams!$F$80,AG91/1000*IF(AG$4-Teams!$F$80&lt;6,Params!$F$37,Params!$F$38)*Org!$B$10*Org!$B$12/12,0)</f>
        <v>440</v>
      </c>
      <c r="AH104" s="44">
        <f>AH$5*IF(AH$4&gt;=Teams!$F$80,AH91/1000*IF(AH$4-Teams!$F$80&lt;6,Params!$F$37,Params!$F$38)*Org!$B$10*Org!$B$12/12,0)</f>
        <v>440</v>
      </c>
      <c r="AI104" s="44">
        <f>AI$5*IF(AI$4&gt;=Teams!$F$80,AI91/1000*IF(AI$4-Teams!$F$80&lt;6,Params!$F$37,Params!$F$38)*Org!$B$10*Org!$B$12/12,0)</f>
        <v>440</v>
      </c>
      <c r="AJ104" s="44">
        <f>AJ$5*IF(AJ$4&gt;=Teams!$F$80,AJ91/1000*IF(AJ$4-Teams!$F$80&lt;6,Params!$F$37,Params!$F$38)*Org!$B$10*Org!$B$12/12,0)</f>
        <v>440</v>
      </c>
      <c r="AK104" s="44">
        <f>AK$5*IF(AK$4&gt;=Teams!$F$80,AK91/1000*IF(AK$4-Teams!$F$80&lt;6,Params!$F$37,Params!$F$38)*Org!$B$10*Org!$B$12/12,0)</f>
        <v>440</v>
      </c>
      <c r="AL104" s="44">
        <f>AL$5*IF(AL$4&gt;=Teams!$F$80,AL91/1000*IF(AL$4-Teams!$F$80&lt;6,Params!$F$37,Params!$F$38)*Org!$B$10*Org!$B$12/12,0)</f>
        <v>440</v>
      </c>
      <c r="AM104" s="44">
        <f>AM$5*IF(AM$4&gt;=Teams!$F$80,AM91/1000*IF(AM$4-Teams!$F$80&lt;6,Params!$F$37,Params!$F$38)*Org!$B$10*Org!$B$12/12,0)</f>
        <v>440</v>
      </c>
      <c r="AN104" s="44">
        <f>AN$5*IF(AN$4&gt;=Teams!$F$80,AN91/1000*IF(AN$4-Teams!$F$80&lt;6,Params!$F$37,Params!$F$38)*Org!$B$10*Org!$B$12/12,0)</f>
        <v>440</v>
      </c>
      <c r="AO104" s="44">
        <f>AO$5*IF(AO$4&gt;=Teams!$F$80,AO91/1000*IF(AO$4-Teams!$F$80&lt;6,Params!$F$37,Params!$F$38)*Org!$B$10*Org!$B$12/12,0)</f>
        <v>0</v>
      </c>
      <c r="AP104" s="44">
        <f>AP$5*IF(AP$4&gt;=Teams!$F$80,AP91/1000*IF(AP$4-Teams!$F$80&lt;6,Params!$F$37,Params!$F$38)*Org!$B$10*Org!$B$12/12,0)</f>
        <v>0</v>
      </c>
      <c r="AQ104" s="44">
        <f>AQ$5*IF(AQ$4&gt;=Teams!$F$80,AQ91/1000*IF(AQ$4-Teams!$F$80&lt;6,Params!$F$37,Params!$F$38)*Org!$B$10*Org!$B$12/12,0)</f>
        <v>0</v>
      </c>
      <c r="AR104" s="44">
        <f>AR$5*IF(AR$4&gt;=Teams!$F$80,AR91/1000*IF(AR$4-Teams!$F$80&lt;6,Params!$F$37,Params!$F$38)*Org!$B$10*Org!$B$12/12,0)</f>
        <v>0</v>
      </c>
      <c r="AS104" s="44">
        <f>AS$5*IF(AS$4&gt;=Teams!$F$80,AS91/1000*IF(AS$4-Teams!$F$80&lt;6,Params!$F$37,Params!$F$38)*Org!$B$10*Org!$B$12/12,0)</f>
        <v>0</v>
      </c>
      <c r="AT104" s="44">
        <f>AT$5*IF(AT$4&gt;=Teams!$F$80,AT91/1000*IF(AT$4-Teams!$F$80&lt;6,Params!$F$37,Params!$F$38)*Org!$B$10*Org!$B$12/12,0)</f>
        <v>0</v>
      </c>
      <c r="AU104" s="44">
        <f>AU$5*IF(AU$4&gt;=Teams!$F$80,AU91/1000*IF(AU$4-Teams!$F$80&lt;6,Params!$F$37,Params!$F$38)*Org!$B$10*Org!$B$12/12,0)</f>
        <v>0</v>
      </c>
      <c r="AV104" s="44">
        <f>AV$5*IF(AV$4&gt;=Teams!$F$80,AV91/1000*IF(AV$4-Teams!$F$80&lt;6,Params!$F$37,Params!$F$38)*Org!$B$10*Org!$B$12/12,0)</f>
        <v>0</v>
      </c>
      <c r="AW104" s="44">
        <f>AW$5*IF(AW$4&gt;=Teams!$F$80,AW91/1000*IF(AW$4-Teams!$F$80&lt;6,Params!$F$37,Params!$F$38)*Org!$B$10*Org!$B$12/12,0)</f>
        <v>0</v>
      </c>
      <c r="AX104" s="44">
        <f>AX$5*IF(AX$4&gt;=Teams!$F$80,AX91/1000*IF(AX$4-Teams!$F$80&lt;6,Params!$F$37,Params!$F$38)*Org!$B$10*Org!$B$12/12,0)</f>
        <v>0</v>
      </c>
      <c r="AY104" s="44">
        <f>AY$5*IF(AY$4&gt;=Teams!$F$80,AY91/1000*IF(AY$4-Teams!$F$80&lt;6,Params!$F$37,Params!$F$38)*Org!$B$10*Org!$B$12/12,0)</f>
        <v>0</v>
      </c>
      <c r="AZ104" s="44">
        <f>AZ$5*IF(AZ$4&gt;=Teams!$F$80,AZ91/1000*IF(AZ$4-Teams!$F$80&lt;6,Params!$F$37,Params!$F$38)*Org!$B$10*Org!$B$12/12,0)</f>
        <v>0</v>
      </c>
      <c r="BA104" s="44">
        <f>BA$5*IF(BA$4&gt;=Teams!$F$80,BA91/1000*IF(BA$4-Teams!$F$80&lt;6,Params!$F$37,Params!$F$38)*Org!$B$10*Org!$B$12/12,0)</f>
        <v>0</v>
      </c>
      <c r="BB104" s="44">
        <f>BB$5*IF(BB$4&gt;=Teams!$F$80,BB91/1000*IF(BB$4-Teams!$F$80&lt;6,Params!$F$37,Params!$F$38)*Org!$B$10*Org!$B$12/12,0)</f>
        <v>0</v>
      </c>
      <c r="BC104" s="44">
        <f>BC$5*IF(BC$4&gt;=Teams!$F$80,BC91/1000*IF(BC$4-Teams!$F$80&lt;6,Params!$F$37,Params!$F$38)*Org!$B$10*Org!$B$12/12,0)</f>
        <v>0</v>
      </c>
      <c r="BD104" s="44">
        <f>BD$5*IF(BD$4&gt;=Teams!$F$80,BD91/1000*IF(BD$4-Teams!$F$80&lt;6,Params!$F$37,Params!$F$38)*Org!$B$10*Org!$B$12/12,0)</f>
        <v>0</v>
      </c>
      <c r="BE104" s="44">
        <f>BE$5*IF(BE$4&gt;=Teams!$F$80,BE91/1000*IF(BE$4-Teams!$F$80&lt;6,Params!$F$37,Params!$F$38)*Org!$B$10*Org!$B$12/12,0)</f>
        <v>0</v>
      </c>
      <c r="BF104" s="44">
        <f>BF$5*IF(BF$4&gt;=Teams!$F$80,BF91/1000*IF(BF$4-Teams!$F$80&lt;6,Params!$F$37,Params!$F$38)*Org!$B$10*Org!$B$12/12,0)</f>
        <v>0</v>
      </c>
      <c r="BG104" s="44">
        <f>BG$5*IF(BG$4&gt;=Teams!$F$80,BG91/1000*IF(BG$4-Teams!$F$80&lt;6,Params!$F$37,Params!$F$38)*Org!$B$10*Org!$B$12/12,0)</f>
        <v>0</v>
      </c>
      <c r="BH104" s="44">
        <f>BH$5*IF(BH$4&gt;=Teams!$F$80,BH91/1000*IF(BH$4-Teams!$F$80&lt;6,Params!$F$37,Params!$F$38)*Org!$B$10*Org!$B$12/12,0)</f>
        <v>0</v>
      </c>
      <c r="BI104" s="44">
        <f>BI$5*IF(BI$4&gt;=Teams!$F$80,BI91/1000*IF(BI$4-Teams!$F$80&lt;6,Params!$F$37,Params!$F$38)*Org!$B$10*Org!$B$12/12,0)</f>
        <v>0</v>
      </c>
      <c r="BJ104" s="44">
        <f>BJ$5*IF(BJ$4&gt;=Teams!$F$80,BJ91/1000*IF(BJ$4-Teams!$F$80&lt;6,Params!$F$37,Params!$F$38)*Org!$B$10*Org!$B$12/12,0)</f>
        <v>0</v>
      </c>
      <c r="BK104" s="44">
        <f>BK$5*IF(BK$4&gt;=Teams!$F$80,BK91/1000*IF(BK$4-Teams!$F$80&lt;6,Params!$F$37,Params!$F$38)*Org!$B$10*Org!$B$12/12,0)</f>
        <v>0</v>
      </c>
      <c r="BL104" s="44">
        <f>BL$5*IF(BL$4&gt;=Teams!$F$80,BL91/1000*IF(BL$4-Teams!$F$80&lt;6,Params!$F$37,Params!$F$38)*Org!$B$10*Org!$B$12/12,0)</f>
        <v>0</v>
      </c>
    </row>
    <row r="105" spans="1:64" x14ac:dyDescent="0.3">
      <c r="A105" s="8" t="s">
        <v>676</v>
      </c>
      <c r="B105" s="18" t="s">
        <v>169</v>
      </c>
      <c r="C105" s="44">
        <f t="shared" si="29"/>
        <v>201600</v>
      </c>
      <c r="D105" s="44">
        <f>Teams!$F$5*((Teams!$F$43*Params!$F$4+Teams!$F$44/100000*Params!$F$5+Teams!$F$43*Params!$F$6)*Org!$B$10)</f>
        <v>201600</v>
      </c>
    </row>
    <row r="106" spans="1:64" x14ac:dyDescent="0.3">
      <c r="A106" s="8" t="s">
        <v>677</v>
      </c>
      <c r="B106" s="18" t="s">
        <v>435</v>
      </c>
      <c r="C106" s="44">
        <f t="shared" si="29"/>
        <v>24156</v>
      </c>
      <c r="D106" s="44">
        <f>Teams!$F$5*(Teams!$F$49*(Teams!$F$44*Teams!$F$45*Teams!$F$75+Teams!$F$44*Teams!$F$47*Teams!$F$76/1000000))</f>
        <v>24156</v>
      </c>
    </row>
    <row r="107" spans="1:64" x14ac:dyDescent="0.3">
      <c r="A107" s="8" t="s">
        <v>678</v>
      </c>
      <c r="B107" s="18" t="s">
        <v>169</v>
      </c>
      <c r="C107" s="44">
        <f t="shared" si="29"/>
        <v>144000</v>
      </c>
      <c r="D107" s="44">
        <f>Teams!$F$5*((Params!$F$13+Params!$F$16)*Org!$B$10)</f>
        <v>144000</v>
      </c>
    </row>
    <row r="108" spans="1:64" x14ac:dyDescent="0.3">
      <c r="A108" s="8" t="s">
        <v>679</v>
      </c>
      <c r="B108" s="18" t="s">
        <v>169</v>
      </c>
      <c r="C108" s="44">
        <f t="shared" si="29"/>
        <v>126000</v>
      </c>
      <c r="D108" s="44">
        <f>Teams!$F$5*(Teams!$F$18*Teams!$F$19*Params!$F$34*(Org!$B$10/Org!$B$11))</f>
        <v>126000</v>
      </c>
    </row>
    <row r="109" spans="1:64" x14ac:dyDescent="0.3">
      <c r="A109" s="8" t="s">
        <v>11</v>
      </c>
      <c r="C109" s="44">
        <f t="shared" si="29"/>
        <v>1197383.0399999993</v>
      </c>
      <c r="E109" s="44">
        <f>E$5*E93*Teams!$F$55/60*Teams!$F$56*INDEX(Params!$D$41:$F$41,Org!$B$17)*Teams!$F$57</f>
        <v>0</v>
      </c>
      <c r="F109" s="44">
        <f>F$5*F93*Teams!$F$55/60*Teams!$F$56*INDEX(Params!$D$41:$F$41,Org!$B$17)*Teams!$F$57</f>
        <v>0</v>
      </c>
      <c r="G109" s="44">
        <f>G$5*G93*Teams!$F$55/60*Teams!$F$56*INDEX(Params!$D$41:$F$41,Org!$B$17)*Teams!$F$57</f>
        <v>3891.4948800000002</v>
      </c>
      <c r="H109" s="44">
        <f>H$5*H93*Teams!$F$55/60*Teams!$F$56*INDEX(Params!$D$41:$F$41,Org!$B$17)*Teams!$F$57</f>
        <v>13171.213440000003</v>
      </c>
      <c r="I109" s="44">
        <f>I$5*I93*Teams!$F$55/60*Teams!$F$56*INDEX(Params!$D$41:$F$41,Org!$B$17)*Teams!$F$57</f>
        <v>24247.006560000002</v>
      </c>
      <c r="J109" s="44">
        <f>J$5*J93*Teams!$F$55/60*Teams!$F$56*INDEX(Params!$D$41:$F$41,Org!$B$17)*Teams!$F$57</f>
        <v>33526.725120000003</v>
      </c>
      <c r="K109" s="44">
        <f>K$5*K93*Teams!$F$55/60*Teams!$F$56*INDEX(Params!$D$41:$F$41,Org!$B$17)*Teams!$F$57</f>
        <v>37418.219999999994</v>
      </c>
      <c r="L109" s="44">
        <f>L$5*L93*Teams!$F$55/60*Teams!$F$56*INDEX(Params!$D$41:$F$41,Org!$B$17)*Teams!$F$57</f>
        <v>37418.219999999994</v>
      </c>
      <c r="M109" s="44">
        <f>M$5*M93*Teams!$F$55/60*Teams!$F$56*INDEX(Params!$D$41:$F$41,Org!$B$17)*Teams!$F$57</f>
        <v>37418.219999999994</v>
      </c>
      <c r="N109" s="44">
        <f>N$5*N93*Teams!$F$55/60*Teams!$F$56*INDEX(Params!$D$41:$F$41,Org!$B$17)*Teams!$F$57</f>
        <v>37418.219999999994</v>
      </c>
      <c r="O109" s="44">
        <f>O$5*O93*Teams!$F$55/60*Teams!$F$56*INDEX(Params!$D$41:$F$41,Org!$B$17)*Teams!$F$57</f>
        <v>37418.219999999994</v>
      </c>
      <c r="P109" s="44">
        <f>P$5*P93*Teams!$F$55/60*Teams!$F$56*INDEX(Params!$D$41:$F$41,Org!$B$17)*Teams!$F$57</f>
        <v>37418.219999999994</v>
      </c>
      <c r="Q109" s="44">
        <f>Q$5*Q93*Teams!$F$55/60*Teams!$F$56*INDEX(Params!$D$41:$F$41,Org!$B$17)*Teams!$F$57</f>
        <v>37418.219999999994</v>
      </c>
      <c r="R109" s="44">
        <f>R$5*R93*Teams!$F$55/60*Teams!$F$56*INDEX(Params!$D$41:$F$41,Org!$B$17)*Teams!$F$57</f>
        <v>37418.219999999994</v>
      </c>
      <c r="S109" s="44">
        <f>S$5*S93*Teams!$F$55/60*Teams!$F$56*INDEX(Params!$D$41:$F$41,Org!$B$17)*Teams!$F$57</f>
        <v>37418.219999999994</v>
      </c>
      <c r="T109" s="44">
        <f>T$5*T93*Teams!$F$55/60*Teams!$F$56*INDEX(Params!$D$41:$F$41,Org!$B$17)*Teams!$F$57</f>
        <v>37418.219999999994</v>
      </c>
      <c r="U109" s="44">
        <f>U$5*U93*Teams!$F$55/60*Teams!$F$56*INDEX(Params!$D$41:$F$41,Org!$B$17)*Teams!$F$57</f>
        <v>37418.219999999994</v>
      </c>
      <c r="V109" s="44">
        <f>V$5*V93*Teams!$F$55/60*Teams!$F$56*INDEX(Params!$D$41:$F$41,Org!$B$17)*Teams!$F$57</f>
        <v>37418.219999999994</v>
      </c>
      <c r="W109" s="44">
        <f>W$5*W93*Teams!$F$55/60*Teams!$F$56*INDEX(Params!$D$41:$F$41,Org!$B$17)*Teams!$F$57</f>
        <v>37418.219999999994</v>
      </c>
      <c r="X109" s="44">
        <f>X$5*X93*Teams!$F$55/60*Teams!$F$56*INDEX(Params!$D$41:$F$41,Org!$B$17)*Teams!$F$57</f>
        <v>37418.219999999994</v>
      </c>
      <c r="Y109" s="44">
        <f>Y$5*Y93*Teams!$F$55/60*Teams!$F$56*INDEX(Params!$D$41:$F$41,Org!$B$17)*Teams!$F$57</f>
        <v>37418.219999999994</v>
      </c>
      <c r="Z109" s="44">
        <f>Z$5*Z93*Teams!$F$55/60*Teams!$F$56*INDEX(Params!$D$41:$F$41,Org!$B$17)*Teams!$F$57</f>
        <v>37418.219999999994</v>
      </c>
      <c r="AA109" s="44">
        <f>AA$5*AA93*Teams!$F$55/60*Teams!$F$56*INDEX(Params!$D$41:$F$41,Org!$B$17)*Teams!$F$57</f>
        <v>37418.219999999994</v>
      </c>
      <c r="AB109" s="44">
        <f>AB$5*AB93*Teams!$F$55/60*Teams!$F$56*INDEX(Params!$D$41:$F$41,Org!$B$17)*Teams!$F$57</f>
        <v>37418.219999999994</v>
      </c>
      <c r="AC109" s="44">
        <f>AC$5*AC93*Teams!$F$55/60*Teams!$F$56*INDEX(Params!$D$41:$F$41,Org!$B$17)*Teams!$F$57</f>
        <v>37418.219999999994</v>
      </c>
      <c r="AD109" s="44">
        <f>AD$5*AD93*Teams!$F$55/60*Teams!$F$56*INDEX(Params!$D$41:$F$41,Org!$B$17)*Teams!$F$57</f>
        <v>37418.219999999994</v>
      </c>
      <c r="AE109" s="44">
        <f>AE$5*AE93*Teams!$F$55/60*Teams!$F$56*INDEX(Params!$D$41:$F$41,Org!$B$17)*Teams!$F$57</f>
        <v>37418.219999999994</v>
      </c>
      <c r="AF109" s="44">
        <f>AF$5*AF93*Teams!$F$55/60*Teams!$F$56*INDEX(Params!$D$41:$F$41,Org!$B$17)*Teams!$F$57</f>
        <v>37418.219999999994</v>
      </c>
      <c r="AG109" s="44">
        <f>AG$5*AG93*Teams!$F$55/60*Teams!$F$56*INDEX(Params!$D$41:$F$41,Org!$B$17)*Teams!$F$57</f>
        <v>37418.219999999994</v>
      </c>
      <c r="AH109" s="44">
        <f>AH$5*AH93*Teams!$F$55/60*Teams!$F$56*INDEX(Params!$D$41:$F$41,Org!$B$17)*Teams!$F$57</f>
        <v>37418.219999999994</v>
      </c>
      <c r="AI109" s="44">
        <f>AI$5*AI93*Teams!$F$55/60*Teams!$F$56*INDEX(Params!$D$41:$F$41,Org!$B$17)*Teams!$F$57</f>
        <v>37418.219999999994</v>
      </c>
      <c r="AJ109" s="44">
        <f>AJ$5*AJ93*Teams!$F$55/60*Teams!$F$56*INDEX(Params!$D$41:$F$41,Org!$B$17)*Teams!$F$57</f>
        <v>37418.219999999994</v>
      </c>
      <c r="AK109" s="44">
        <f>AK$5*AK93*Teams!$F$55/60*Teams!$F$56*INDEX(Params!$D$41:$F$41,Org!$B$17)*Teams!$F$57</f>
        <v>37418.219999999994</v>
      </c>
      <c r="AL109" s="44">
        <f>AL$5*AL93*Teams!$F$55/60*Teams!$F$56*INDEX(Params!$D$41:$F$41,Org!$B$17)*Teams!$F$57</f>
        <v>37418.219999999994</v>
      </c>
      <c r="AM109" s="44">
        <f>AM$5*AM93*Teams!$F$55/60*Teams!$F$56*INDEX(Params!$D$41:$F$41,Org!$B$17)*Teams!$F$57</f>
        <v>37418.219999999994</v>
      </c>
      <c r="AN109" s="44">
        <f>AN$5*AN93*Teams!$F$55/60*Teams!$F$56*INDEX(Params!$D$41:$F$41,Org!$B$17)*Teams!$F$57</f>
        <v>37418.219999999994</v>
      </c>
      <c r="AO109" s="44">
        <f>AO$5*AO93*Teams!$F$55/60*Teams!$F$56*INDEX(Params!$D$41:$F$41,Org!$B$17)*Teams!$F$57</f>
        <v>0</v>
      </c>
      <c r="AP109" s="44">
        <f>AP$5*AP93*Teams!$F$55/60*Teams!$F$56*INDEX(Params!$D$41:$F$41,Org!$B$17)*Teams!$F$57</f>
        <v>0</v>
      </c>
      <c r="AQ109" s="44">
        <f>AQ$5*AQ93*Teams!$F$55/60*Teams!$F$56*INDEX(Params!$D$41:$F$41,Org!$B$17)*Teams!$F$57</f>
        <v>0</v>
      </c>
      <c r="AR109" s="44">
        <f>AR$5*AR93*Teams!$F$55/60*Teams!$F$56*INDEX(Params!$D$41:$F$41,Org!$B$17)*Teams!$F$57</f>
        <v>0</v>
      </c>
      <c r="AS109" s="44">
        <f>AS$5*AS93*Teams!$F$55/60*Teams!$F$56*INDEX(Params!$D$41:$F$41,Org!$B$17)*Teams!$F$57</f>
        <v>0</v>
      </c>
      <c r="AT109" s="44">
        <f>AT$5*AT93*Teams!$F$55/60*Teams!$F$56*INDEX(Params!$D$41:$F$41,Org!$B$17)*Teams!$F$57</f>
        <v>0</v>
      </c>
      <c r="AU109" s="44">
        <f>AU$5*AU93*Teams!$F$55/60*Teams!$F$56*INDEX(Params!$D$41:$F$41,Org!$B$17)*Teams!$F$57</f>
        <v>0</v>
      </c>
      <c r="AV109" s="44">
        <f>AV$5*AV93*Teams!$F$55/60*Teams!$F$56*INDEX(Params!$D$41:$F$41,Org!$B$17)*Teams!$F$57</f>
        <v>0</v>
      </c>
      <c r="AW109" s="44">
        <f>AW$5*AW93*Teams!$F$55/60*Teams!$F$56*INDEX(Params!$D$41:$F$41,Org!$B$17)*Teams!$F$57</f>
        <v>0</v>
      </c>
      <c r="AX109" s="44">
        <f>AX$5*AX93*Teams!$F$55/60*Teams!$F$56*INDEX(Params!$D$41:$F$41,Org!$B$17)*Teams!$F$57</f>
        <v>0</v>
      </c>
      <c r="AY109" s="44">
        <f>AY$5*AY93*Teams!$F$55/60*Teams!$F$56*INDEX(Params!$D$41:$F$41,Org!$B$17)*Teams!$F$57</f>
        <v>0</v>
      </c>
      <c r="AZ109" s="44">
        <f>AZ$5*AZ93*Teams!$F$55/60*Teams!$F$56*INDEX(Params!$D$41:$F$41,Org!$B$17)*Teams!$F$57</f>
        <v>0</v>
      </c>
      <c r="BA109" s="44">
        <f>BA$5*BA93*Teams!$F$55/60*Teams!$F$56*INDEX(Params!$D$41:$F$41,Org!$B$17)*Teams!$F$57</f>
        <v>0</v>
      </c>
      <c r="BB109" s="44">
        <f>BB$5*BB93*Teams!$F$55/60*Teams!$F$56*INDEX(Params!$D$41:$F$41,Org!$B$17)*Teams!$F$57</f>
        <v>0</v>
      </c>
      <c r="BC109" s="44">
        <f>BC$5*BC93*Teams!$F$55/60*Teams!$F$56*INDEX(Params!$D$41:$F$41,Org!$B$17)*Teams!$F$57</f>
        <v>0</v>
      </c>
      <c r="BD109" s="44">
        <f>BD$5*BD93*Teams!$F$55/60*Teams!$F$56*INDEX(Params!$D$41:$F$41,Org!$B$17)*Teams!$F$57</f>
        <v>0</v>
      </c>
      <c r="BE109" s="44">
        <f>BE$5*BE93*Teams!$F$55/60*Teams!$F$56*INDEX(Params!$D$41:$F$41,Org!$B$17)*Teams!$F$57</f>
        <v>0</v>
      </c>
      <c r="BF109" s="44">
        <f>BF$5*BF93*Teams!$F$55/60*Teams!$F$56*INDEX(Params!$D$41:$F$41,Org!$B$17)*Teams!$F$57</f>
        <v>0</v>
      </c>
      <c r="BG109" s="44">
        <f>BG$5*BG93*Teams!$F$55/60*Teams!$F$56*INDEX(Params!$D$41:$F$41,Org!$B$17)*Teams!$F$57</f>
        <v>0</v>
      </c>
      <c r="BH109" s="44">
        <f>BH$5*BH93*Teams!$F$55/60*Teams!$F$56*INDEX(Params!$D$41:$F$41,Org!$B$17)*Teams!$F$57</f>
        <v>0</v>
      </c>
      <c r="BI109" s="44">
        <f>BI$5*BI93*Teams!$F$55/60*Teams!$F$56*INDEX(Params!$D$41:$F$41,Org!$B$17)*Teams!$F$57</f>
        <v>0</v>
      </c>
      <c r="BJ109" s="44">
        <f>BJ$5*BJ93*Teams!$F$55/60*Teams!$F$56*INDEX(Params!$D$41:$F$41,Org!$B$17)*Teams!$F$57</f>
        <v>0</v>
      </c>
      <c r="BK109" s="44">
        <f>BK$5*BK93*Teams!$F$55/60*Teams!$F$56*INDEX(Params!$D$41:$F$41,Org!$B$17)*Teams!$F$57</f>
        <v>0</v>
      </c>
      <c r="BL109" s="44">
        <f>BL$5*BL93*Teams!$F$55/60*Teams!$F$56*INDEX(Params!$D$41:$F$41,Org!$B$17)*Teams!$F$57</f>
        <v>0</v>
      </c>
    </row>
    <row r="110" spans="1:64" x14ac:dyDescent="0.3">
      <c r="A110" s="8" t="s">
        <v>701</v>
      </c>
      <c r="C110" s="44">
        <f t="shared" si="29"/>
        <v>3942678.7823999976</v>
      </c>
      <c r="D110" s="44">
        <f t="shared" ref="D110:AI110" si="30">SUM(D94:D108)</f>
        <v>495756</v>
      </c>
      <c r="E110" s="44">
        <f t="shared" si="30"/>
        <v>0</v>
      </c>
      <c r="F110" s="44">
        <f t="shared" si="30"/>
        <v>0</v>
      </c>
      <c r="G110" s="44">
        <f t="shared" si="30"/>
        <v>48335.470742799997</v>
      </c>
      <c r="H110" s="44">
        <f t="shared" si="30"/>
        <v>64004.470206399994</v>
      </c>
      <c r="I110" s="44">
        <f t="shared" si="30"/>
        <v>82706.179243599996</v>
      </c>
      <c r="J110" s="44">
        <f t="shared" si="30"/>
        <v>98375.178707200001</v>
      </c>
      <c r="K110" s="44">
        <f t="shared" si="30"/>
        <v>104946.04944999999</v>
      </c>
      <c r="L110" s="44">
        <f t="shared" si="30"/>
        <v>104946.04944999999</v>
      </c>
      <c r="M110" s="44">
        <f t="shared" si="30"/>
        <v>103186.04944999999</v>
      </c>
      <c r="N110" s="44">
        <f t="shared" si="30"/>
        <v>103186.04944999999</v>
      </c>
      <c r="O110" s="44">
        <f t="shared" si="30"/>
        <v>103186.04944999999</v>
      </c>
      <c r="P110" s="44">
        <f t="shared" si="30"/>
        <v>103186.04944999999</v>
      </c>
      <c r="Q110" s="44">
        <f t="shared" si="30"/>
        <v>103186.04944999999</v>
      </c>
      <c r="R110" s="44">
        <f t="shared" si="30"/>
        <v>103186.04944999999</v>
      </c>
      <c r="S110" s="44">
        <f t="shared" si="30"/>
        <v>130386.04944999999</v>
      </c>
      <c r="T110" s="44">
        <f t="shared" si="30"/>
        <v>103186.04944999999</v>
      </c>
      <c r="U110" s="44">
        <f t="shared" si="30"/>
        <v>103186.04944999999</v>
      </c>
      <c r="V110" s="44">
        <f t="shared" si="30"/>
        <v>103186.04944999999</v>
      </c>
      <c r="W110" s="44">
        <f t="shared" si="30"/>
        <v>103186.04944999999</v>
      </c>
      <c r="X110" s="44">
        <f t="shared" si="30"/>
        <v>103186.04944999999</v>
      </c>
      <c r="Y110" s="44">
        <f t="shared" si="30"/>
        <v>103186.04944999999</v>
      </c>
      <c r="Z110" s="44">
        <f t="shared" si="30"/>
        <v>103186.04944999999</v>
      </c>
      <c r="AA110" s="44">
        <f t="shared" si="30"/>
        <v>103186.04944999999</v>
      </c>
      <c r="AB110" s="44">
        <f t="shared" si="30"/>
        <v>103186.04944999999</v>
      </c>
      <c r="AC110" s="44">
        <f t="shared" si="30"/>
        <v>103186.04944999999</v>
      </c>
      <c r="AD110" s="44">
        <f t="shared" si="30"/>
        <v>103186.04944999999</v>
      </c>
      <c r="AE110" s="44">
        <f t="shared" si="30"/>
        <v>130386.04944999999</v>
      </c>
      <c r="AF110" s="44">
        <f t="shared" si="30"/>
        <v>103186.04944999999</v>
      </c>
      <c r="AG110" s="44">
        <f t="shared" si="30"/>
        <v>103186.04944999999</v>
      </c>
      <c r="AH110" s="44">
        <f t="shared" si="30"/>
        <v>103186.04944999999</v>
      </c>
      <c r="AI110" s="44">
        <f t="shared" si="30"/>
        <v>103186.04944999999</v>
      </c>
      <c r="AJ110" s="44">
        <f t="shared" ref="AJ110:BL110" si="31">SUM(AJ94:AJ108)</f>
        <v>103186.04944999999</v>
      </c>
      <c r="AK110" s="44">
        <f t="shared" si="31"/>
        <v>103186.04944999999</v>
      </c>
      <c r="AL110" s="44">
        <f t="shared" si="31"/>
        <v>103186.04944999999</v>
      </c>
      <c r="AM110" s="44">
        <f t="shared" si="31"/>
        <v>103186.04944999999</v>
      </c>
      <c r="AN110" s="44">
        <f t="shared" si="31"/>
        <v>103186.04944999999</v>
      </c>
      <c r="AO110" s="44">
        <f t="shared" si="31"/>
        <v>0</v>
      </c>
      <c r="AP110" s="44">
        <f t="shared" si="31"/>
        <v>0</v>
      </c>
      <c r="AQ110" s="44">
        <f t="shared" si="31"/>
        <v>0</v>
      </c>
      <c r="AR110" s="44">
        <f t="shared" si="31"/>
        <v>0</v>
      </c>
      <c r="AS110" s="44">
        <f t="shared" si="31"/>
        <v>0</v>
      </c>
      <c r="AT110" s="44">
        <f t="shared" si="31"/>
        <v>0</v>
      </c>
      <c r="AU110" s="44">
        <f t="shared" si="31"/>
        <v>0</v>
      </c>
      <c r="AV110" s="44">
        <f t="shared" si="31"/>
        <v>0</v>
      </c>
      <c r="AW110" s="44">
        <f t="shared" si="31"/>
        <v>0</v>
      </c>
      <c r="AX110" s="44">
        <f t="shared" si="31"/>
        <v>0</v>
      </c>
      <c r="AY110" s="44">
        <f t="shared" si="31"/>
        <v>0</v>
      </c>
      <c r="AZ110" s="44">
        <f t="shared" si="31"/>
        <v>0</v>
      </c>
      <c r="BA110" s="44">
        <f t="shared" si="31"/>
        <v>0</v>
      </c>
      <c r="BB110" s="44">
        <f t="shared" si="31"/>
        <v>0</v>
      </c>
      <c r="BC110" s="44">
        <f t="shared" si="31"/>
        <v>0</v>
      </c>
      <c r="BD110" s="44">
        <f t="shared" si="31"/>
        <v>0</v>
      </c>
      <c r="BE110" s="44">
        <f t="shared" si="31"/>
        <v>0</v>
      </c>
      <c r="BF110" s="44">
        <f t="shared" si="31"/>
        <v>0</v>
      </c>
      <c r="BG110" s="44">
        <f t="shared" si="31"/>
        <v>0</v>
      </c>
      <c r="BH110" s="44">
        <f t="shared" si="31"/>
        <v>0</v>
      </c>
      <c r="BI110" s="44">
        <f t="shared" si="31"/>
        <v>0</v>
      </c>
      <c r="BJ110" s="44">
        <f t="shared" si="31"/>
        <v>0</v>
      </c>
      <c r="BK110" s="44">
        <f t="shared" si="31"/>
        <v>0</v>
      </c>
      <c r="BL110" s="44">
        <f t="shared" si="31"/>
        <v>0</v>
      </c>
    </row>
    <row r="111" spans="1:64" x14ac:dyDescent="0.3">
      <c r="A111" s="8" t="s">
        <v>702</v>
      </c>
      <c r="C111" s="44">
        <f t="shared" si="29"/>
        <v>303164.49364369659</v>
      </c>
      <c r="D111" s="44">
        <f t="shared" ref="D111:AI111" si="32">$E$169*D158</f>
        <v>20576.169624337403</v>
      </c>
      <c r="E111" s="44">
        <f t="shared" si="32"/>
        <v>7845.7974648536519</v>
      </c>
      <c r="F111" s="44">
        <f t="shared" si="32"/>
        <v>7846.7040946454636</v>
      </c>
      <c r="G111" s="44">
        <f t="shared" si="32"/>
        <v>7847.8198691803018</v>
      </c>
      <c r="H111" s="44">
        <f t="shared" si="32"/>
        <v>7848.9892296658209</v>
      </c>
      <c r="I111" s="44">
        <f t="shared" si="32"/>
        <v>7849.6090710178996</v>
      </c>
      <c r="J111" s="44">
        <f t="shared" si="32"/>
        <v>7849.9258848336785</v>
      </c>
      <c r="K111" s="44">
        <f t="shared" si="32"/>
        <v>7849.9826135054154</v>
      </c>
      <c r="L111" s="44">
        <f t="shared" si="32"/>
        <v>7849.9826135054154</v>
      </c>
      <c r="M111" s="44">
        <f t="shared" si="32"/>
        <v>7849.9826135054154</v>
      </c>
      <c r="N111" s="44">
        <f t="shared" si="32"/>
        <v>7849.9826135054154</v>
      </c>
      <c r="O111" s="44">
        <f t="shared" si="32"/>
        <v>7849.9826135054154</v>
      </c>
      <c r="P111" s="44">
        <f t="shared" si="32"/>
        <v>7849.9826135054154</v>
      </c>
      <c r="Q111" s="44">
        <f t="shared" si="32"/>
        <v>7849.9826135054154</v>
      </c>
      <c r="R111" s="44">
        <f t="shared" si="32"/>
        <v>7849.9826135054154</v>
      </c>
      <c r="S111" s="44">
        <f t="shared" si="32"/>
        <v>7849.9826135054154</v>
      </c>
      <c r="T111" s="44">
        <f t="shared" si="32"/>
        <v>7849.9826135054154</v>
      </c>
      <c r="U111" s="44">
        <f t="shared" si="32"/>
        <v>7849.9826135054154</v>
      </c>
      <c r="V111" s="44">
        <f t="shared" si="32"/>
        <v>7849.9826135054154</v>
      </c>
      <c r="W111" s="44">
        <f t="shared" si="32"/>
        <v>7849.9826135054154</v>
      </c>
      <c r="X111" s="44">
        <f t="shared" si="32"/>
        <v>7849.9826135054154</v>
      </c>
      <c r="Y111" s="44">
        <f t="shared" si="32"/>
        <v>7849.9826135054154</v>
      </c>
      <c r="Z111" s="44">
        <f t="shared" si="32"/>
        <v>7849.9826135054154</v>
      </c>
      <c r="AA111" s="44">
        <f t="shared" si="32"/>
        <v>7849.9826135054154</v>
      </c>
      <c r="AB111" s="44">
        <f t="shared" si="32"/>
        <v>7849.9826135054154</v>
      </c>
      <c r="AC111" s="44">
        <f t="shared" si="32"/>
        <v>7849.9826135054154</v>
      </c>
      <c r="AD111" s="44">
        <f t="shared" si="32"/>
        <v>7849.9826135054154</v>
      </c>
      <c r="AE111" s="44">
        <f t="shared" si="32"/>
        <v>7849.9826135054154</v>
      </c>
      <c r="AF111" s="44">
        <f t="shared" si="32"/>
        <v>7849.9826135054154</v>
      </c>
      <c r="AG111" s="44">
        <f t="shared" si="32"/>
        <v>7849.9826135054154</v>
      </c>
      <c r="AH111" s="44">
        <f t="shared" si="32"/>
        <v>7849.9826135054154</v>
      </c>
      <c r="AI111" s="44">
        <f t="shared" si="32"/>
        <v>7849.9826135054154</v>
      </c>
      <c r="AJ111" s="44">
        <f t="shared" ref="AJ111:BL111" si="33">$E$169*AJ158</f>
        <v>7849.9826135054154</v>
      </c>
      <c r="AK111" s="44">
        <f t="shared" si="33"/>
        <v>7849.9826135054154</v>
      </c>
      <c r="AL111" s="44">
        <f t="shared" si="33"/>
        <v>7849.9826135054154</v>
      </c>
      <c r="AM111" s="44">
        <f t="shared" si="33"/>
        <v>7849.9826135054154</v>
      </c>
      <c r="AN111" s="44">
        <f t="shared" si="33"/>
        <v>7849.9826135054154</v>
      </c>
      <c r="AO111" s="44">
        <f t="shared" si="33"/>
        <v>0</v>
      </c>
      <c r="AP111" s="44">
        <f t="shared" si="33"/>
        <v>0</v>
      </c>
      <c r="AQ111" s="44">
        <f t="shared" si="33"/>
        <v>0</v>
      </c>
      <c r="AR111" s="44">
        <f t="shared" si="33"/>
        <v>0</v>
      </c>
      <c r="AS111" s="44">
        <f t="shared" si="33"/>
        <v>0</v>
      </c>
      <c r="AT111" s="44">
        <f t="shared" si="33"/>
        <v>0</v>
      </c>
      <c r="AU111" s="44">
        <f t="shared" si="33"/>
        <v>0</v>
      </c>
      <c r="AV111" s="44">
        <f t="shared" si="33"/>
        <v>0</v>
      </c>
      <c r="AW111" s="44">
        <f t="shared" si="33"/>
        <v>0</v>
      </c>
      <c r="AX111" s="44">
        <f t="shared" si="33"/>
        <v>0</v>
      </c>
      <c r="AY111" s="44">
        <f t="shared" si="33"/>
        <v>0</v>
      </c>
      <c r="AZ111" s="44">
        <f t="shared" si="33"/>
        <v>0</v>
      </c>
      <c r="BA111" s="44">
        <f t="shared" si="33"/>
        <v>0</v>
      </c>
      <c r="BB111" s="44">
        <f t="shared" si="33"/>
        <v>0</v>
      </c>
      <c r="BC111" s="44">
        <f t="shared" si="33"/>
        <v>0</v>
      </c>
      <c r="BD111" s="44">
        <f t="shared" si="33"/>
        <v>0</v>
      </c>
      <c r="BE111" s="44">
        <f t="shared" si="33"/>
        <v>0</v>
      </c>
      <c r="BF111" s="44">
        <f t="shared" si="33"/>
        <v>0</v>
      </c>
      <c r="BG111" s="44">
        <f t="shared" si="33"/>
        <v>0</v>
      </c>
      <c r="BH111" s="44">
        <f t="shared" si="33"/>
        <v>0</v>
      </c>
      <c r="BI111" s="44">
        <f t="shared" si="33"/>
        <v>0</v>
      </c>
      <c r="BJ111" s="44">
        <f t="shared" si="33"/>
        <v>0</v>
      </c>
      <c r="BK111" s="44">
        <f t="shared" si="33"/>
        <v>0</v>
      </c>
      <c r="BL111" s="44">
        <f t="shared" si="33"/>
        <v>0</v>
      </c>
    </row>
    <row r="112" spans="1:64" x14ac:dyDescent="0.3">
      <c r="A112" s="8" t="s">
        <v>1012</v>
      </c>
      <c r="C112" s="44">
        <f t="shared" si="29"/>
        <v>-3048460.2360436963</v>
      </c>
      <c r="D112" s="44">
        <f t="shared" ref="D112:AI112" si="34">D109-D110-D111</f>
        <v>-516332.1696243374</v>
      </c>
      <c r="E112" s="44">
        <f t="shared" si="34"/>
        <v>-7845.7974648536519</v>
      </c>
      <c r="F112" s="44">
        <f t="shared" si="34"/>
        <v>-7846.7040946454636</v>
      </c>
      <c r="G112" s="44">
        <f t="shared" si="34"/>
        <v>-52291.795731980303</v>
      </c>
      <c r="H112" s="44">
        <f t="shared" si="34"/>
        <v>-58682.245996065816</v>
      </c>
      <c r="I112" s="44">
        <f t="shared" si="34"/>
        <v>-66308.781754617899</v>
      </c>
      <c r="J112" s="44">
        <f t="shared" si="34"/>
        <v>-72698.379472033674</v>
      </c>
      <c r="K112" s="44">
        <f t="shared" si="34"/>
        <v>-75377.812063505407</v>
      </c>
      <c r="L112" s="44">
        <f t="shared" si="34"/>
        <v>-75377.812063505407</v>
      </c>
      <c r="M112" s="44">
        <f t="shared" si="34"/>
        <v>-73617.812063505407</v>
      </c>
      <c r="N112" s="44">
        <f t="shared" si="34"/>
        <v>-73617.812063505407</v>
      </c>
      <c r="O112" s="44">
        <f t="shared" si="34"/>
        <v>-73617.812063505407</v>
      </c>
      <c r="P112" s="44">
        <f t="shared" si="34"/>
        <v>-73617.812063505407</v>
      </c>
      <c r="Q112" s="44">
        <f t="shared" si="34"/>
        <v>-73617.812063505407</v>
      </c>
      <c r="R112" s="44">
        <f t="shared" si="34"/>
        <v>-73617.812063505407</v>
      </c>
      <c r="S112" s="44">
        <f t="shared" si="34"/>
        <v>-100817.81206350541</v>
      </c>
      <c r="T112" s="44">
        <f t="shared" si="34"/>
        <v>-73617.812063505407</v>
      </c>
      <c r="U112" s="44">
        <f t="shared" si="34"/>
        <v>-73617.812063505407</v>
      </c>
      <c r="V112" s="44">
        <f t="shared" si="34"/>
        <v>-73617.812063505407</v>
      </c>
      <c r="W112" s="44">
        <f t="shared" si="34"/>
        <v>-73617.812063505407</v>
      </c>
      <c r="X112" s="44">
        <f t="shared" si="34"/>
        <v>-73617.812063505407</v>
      </c>
      <c r="Y112" s="44">
        <f t="shared" si="34"/>
        <v>-73617.812063505407</v>
      </c>
      <c r="Z112" s="44">
        <f t="shared" si="34"/>
        <v>-73617.812063505407</v>
      </c>
      <c r="AA112" s="44">
        <f t="shared" si="34"/>
        <v>-73617.812063505407</v>
      </c>
      <c r="AB112" s="44">
        <f t="shared" si="34"/>
        <v>-73617.812063505407</v>
      </c>
      <c r="AC112" s="44">
        <f t="shared" si="34"/>
        <v>-73617.812063505407</v>
      </c>
      <c r="AD112" s="44">
        <f t="shared" si="34"/>
        <v>-73617.812063505407</v>
      </c>
      <c r="AE112" s="44">
        <f t="shared" si="34"/>
        <v>-100817.81206350541</v>
      </c>
      <c r="AF112" s="44">
        <f t="shared" si="34"/>
        <v>-73617.812063505407</v>
      </c>
      <c r="AG112" s="44">
        <f t="shared" si="34"/>
        <v>-73617.812063505407</v>
      </c>
      <c r="AH112" s="44">
        <f t="shared" si="34"/>
        <v>-73617.812063505407</v>
      </c>
      <c r="AI112" s="44">
        <f t="shared" si="34"/>
        <v>-73617.812063505407</v>
      </c>
      <c r="AJ112" s="44">
        <f t="shared" ref="AJ112:BO112" si="35">AJ109-AJ110-AJ111</f>
        <v>-73617.812063505407</v>
      </c>
      <c r="AK112" s="44">
        <f t="shared" si="35"/>
        <v>-73617.812063505407</v>
      </c>
      <c r="AL112" s="44">
        <f t="shared" si="35"/>
        <v>-73617.812063505407</v>
      </c>
      <c r="AM112" s="44">
        <f t="shared" si="35"/>
        <v>-73617.812063505407</v>
      </c>
      <c r="AN112" s="44">
        <f t="shared" si="35"/>
        <v>-73617.812063505407</v>
      </c>
      <c r="AO112" s="44">
        <f t="shared" si="35"/>
        <v>0</v>
      </c>
      <c r="AP112" s="44">
        <f t="shared" si="35"/>
        <v>0</v>
      </c>
      <c r="AQ112" s="44">
        <f t="shared" si="35"/>
        <v>0</v>
      </c>
      <c r="AR112" s="44">
        <f t="shared" si="35"/>
        <v>0</v>
      </c>
      <c r="AS112" s="44">
        <f t="shared" si="35"/>
        <v>0</v>
      </c>
      <c r="AT112" s="44">
        <f t="shared" si="35"/>
        <v>0</v>
      </c>
      <c r="AU112" s="44">
        <f t="shared" si="35"/>
        <v>0</v>
      </c>
      <c r="AV112" s="44">
        <f t="shared" si="35"/>
        <v>0</v>
      </c>
      <c r="AW112" s="44">
        <f t="shared" si="35"/>
        <v>0</v>
      </c>
      <c r="AX112" s="44">
        <f t="shared" si="35"/>
        <v>0</v>
      </c>
      <c r="AY112" s="44">
        <f t="shared" si="35"/>
        <v>0</v>
      </c>
      <c r="AZ112" s="44">
        <f t="shared" si="35"/>
        <v>0</v>
      </c>
      <c r="BA112" s="44">
        <f t="shared" si="35"/>
        <v>0</v>
      </c>
      <c r="BB112" s="44">
        <f t="shared" si="35"/>
        <v>0</v>
      </c>
      <c r="BC112" s="44">
        <f t="shared" si="35"/>
        <v>0</v>
      </c>
      <c r="BD112" s="44">
        <f t="shared" si="35"/>
        <v>0</v>
      </c>
      <c r="BE112" s="44">
        <f t="shared" si="35"/>
        <v>0</v>
      </c>
      <c r="BF112" s="44">
        <f t="shared" si="35"/>
        <v>0</v>
      </c>
      <c r="BG112" s="44">
        <f t="shared" si="35"/>
        <v>0</v>
      </c>
      <c r="BH112" s="44">
        <f t="shared" si="35"/>
        <v>0</v>
      </c>
      <c r="BI112" s="44">
        <f t="shared" si="35"/>
        <v>0</v>
      </c>
      <c r="BJ112" s="44">
        <f t="shared" si="35"/>
        <v>0</v>
      </c>
      <c r="BK112" s="44">
        <f t="shared" si="35"/>
        <v>0</v>
      </c>
      <c r="BL112" s="44">
        <f t="shared" si="35"/>
        <v>0</v>
      </c>
    </row>
    <row r="113" spans="1:64" x14ac:dyDescent="0.3">
      <c r="A113" s="8" t="s">
        <v>1013</v>
      </c>
      <c r="D113" s="44">
        <f>D112</f>
        <v>-516332.1696243374</v>
      </c>
      <c r="E113" s="44">
        <f t="shared" ref="E113:AJ113" si="36">D113+E112</f>
        <v>-524177.96708919108</v>
      </c>
      <c r="F113" s="44">
        <f t="shared" si="36"/>
        <v>-532024.67118383653</v>
      </c>
      <c r="G113" s="44">
        <f t="shared" si="36"/>
        <v>-584316.46691581688</v>
      </c>
      <c r="H113" s="44">
        <f t="shared" si="36"/>
        <v>-642998.71291188267</v>
      </c>
      <c r="I113" s="44">
        <f t="shared" si="36"/>
        <v>-709307.4946665006</v>
      </c>
      <c r="J113" s="44">
        <f t="shared" si="36"/>
        <v>-782005.8741385343</v>
      </c>
      <c r="K113" s="44">
        <f t="shared" si="36"/>
        <v>-857383.68620203971</v>
      </c>
      <c r="L113" s="44">
        <f t="shared" si="36"/>
        <v>-932761.49826554512</v>
      </c>
      <c r="M113" s="44">
        <f t="shared" si="36"/>
        <v>-1006379.3103290505</v>
      </c>
      <c r="N113" s="44">
        <f t="shared" si="36"/>
        <v>-1079997.1223925559</v>
      </c>
      <c r="O113" s="44">
        <f t="shared" si="36"/>
        <v>-1153614.9344560613</v>
      </c>
      <c r="P113" s="44">
        <f t="shared" si="36"/>
        <v>-1227232.7465195667</v>
      </c>
      <c r="Q113" s="44">
        <f t="shared" si="36"/>
        <v>-1300850.5585830722</v>
      </c>
      <c r="R113" s="44">
        <f t="shared" si="36"/>
        <v>-1374468.3706465776</v>
      </c>
      <c r="S113" s="44">
        <f t="shared" si="36"/>
        <v>-1475286.182710083</v>
      </c>
      <c r="T113" s="44">
        <f t="shared" si="36"/>
        <v>-1548903.9947735884</v>
      </c>
      <c r="U113" s="44">
        <f t="shared" si="36"/>
        <v>-1622521.8068370938</v>
      </c>
      <c r="V113" s="44">
        <f t="shared" si="36"/>
        <v>-1696139.6189005992</v>
      </c>
      <c r="W113" s="44">
        <f t="shared" si="36"/>
        <v>-1769757.4309641046</v>
      </c>
      <c r="X113" s="44">
        <f t="shared" si="36"/>
        <v>-1843375.24302761</v>
      </c>
      <c r="Y113" s="44">
        <f t="shared" si="36"/>
        <v>-1916993.0550911154</v>
      </c>
      <c r="Z113" s="44">
        <f t="shared" si="36"/>
        <v>-1990610.8671546208</v>
      </c>
      <c r="AA113" s="44">
        <f t="shared" si="36"/>
        <v>-2064228.6792181262</v>
      </c>
      <c r="AB113" s="44">
        <f t="shared" si="36"/>
        <v>-2137846.4912816314</v>
      </c>
      <c r="AC113" s="44">
        <f t="shared" si="36"/>
        <v>-2211464.3033451368</v>
      </c>
      <c r="AD113" s="44">
        <f t="shared" si="36"/>
        <v>-2285082.1154086422</v>
      </c>
      <c r="AE113" s="44">
        <f t="shared" si="36"/>
        <v>-2385899.9274721476</v>
      </c>
      <c r="AF113" s="44">
        <f t="shared" si="36"/>
        <v>-2459517.739535653</v>
      </c>
      <c r="AG113" s="44">
        <f t="shared" si="36"/>
        <v>-2533135.5515991584</v>
      </c>
      <c r="AH113" s="44">
        <f t="shared" si="36"/>
        <v>-2606753.3636626638</v>
      </c>
      <c r="AI113" s="44">
        <f t="shared" si="36"/>
        <v>-2680371.1757261693</v>
      </c>
      <c r="AJ113" s="44">
        <f t="shared" si="36"/>
        <v>-2753988.9877896747</v>
      </c>
      <c r="AK113" s="44">
        <f t="shared" ref="AK113:BP113" si="37">AJ113+AK112</f>
        <v>-2827606.7998531801</v>
      </c>
      <c r="AL113" s="44">
        <f t="shared" si="37"/>
        <v>-2901224.6119166855</v>
      </c>
      <c r="AM113" s="44">
        <f t="shared" si="37"/>
        <v>-2974842.4239801909</v>
      </c>
      <c r="AN113" s="44">
        <f t="shared" si="37"/>
        <v>-3048460.2360436963</v>
      </c>
      <c r="AO113" s="44">
        <f t="shared" si="37"/>
        <v>-3048460.2360436963</v>
      </c>
      <c r="AP113" s="44">
        <f t="shared" si="37"/>
        <v>-3048460.2360436963</v>
      </c>
      <c r="AQ113" s="44">
        <f t="shared" si="37"/>
        <v>-3048460.2360436963</v>
      </c>
      <c r="AR113" s="44">
        <f t="shared" si="37"/>
        <v>-3048460.2360436963</v>
      </c>
      <c r="AS113" s="44">
        <f t="shared" si="37"/>
        <v>-3048460.2360436963</v>
      </c>
      <c r="AT113" s="44">
        <f t="shared" si="37"/>
        <v>-3048460.2360436963</v>
      </c>
      <c r="AU113" s="44">
        <f t="shared" si="37"/>
        <v>-3048460.2360436963</v>
      </c>
      <c r="AV113" s="44">
        <f t="shared" si="37"/>
        <v>-3048460.2360436963</v>
      </c>
      <c r="AW113" s="44">
        <f t="shared" si="37"/>
        <v>-3048460.2360436963</v>
      </c>
      <c r="AX113" s="44">
        <f t="shared" si="37"/>
        <v>-3048460.2360436963</v>
      </c>
      <c r="AY113" s="44">
        <f t="shared" si="37"/>
        <v>-3048460.2360436963</v>
      </c>
      <c r="AZ113" s="44">
        <f t="shared" si="37"/>
        <v>-3048460.2360436963</v>
      </c>
      <c r="BA113" s="44">
        <f t="shared" si="37"/>
        <v>-3048460.2360436963</v>
      </c>
      <c r="BB113" s="44">
        <f t="shared" si="37"/>
        <v>-3048460.2360436963</v>
      </c>
      <c r="BC113" s="44">
        <f t="shared" si="37"/>
        <v>-3048460.2360436963</v>
      </c>
      <c r="BD113" s="44">
        <f t="shared" si="37"/>
        <v>-3048460.2360436963</v>
      </c>
      <c r="BE113" s="44">
        <f t="shared" si="37"/>
        <v>-3048460.2360436963</v>
      </c>
      <c r="BF113" s="44">
        <f t="shared" si="37"/>
        <v>-3048460.2360436963</v>
      </c>
      <c r="BG113" s="44">
        <f t="shared" si="37"/>
        <v>-3048460.2360436963</v>
      </c>
      <c r="BH113" s="44">
        <f t="shared" si="37"/>
        <v>-3048460.2360436963</v>
      </c>
      <c r="BI113" s="44">
        <f t="shared" si="37"/>
        <v>-3048460.2360436963</v>
      </c>
      <c r="BJ113" s="44">
        <f t="shared" si="37"/>
        <v>-3048460.2360436963</v>
      </c>
      <c r="BK113" s="44">
        <f t="shared" si="37"/>
        <v>-3048460.2360436963</v>
      </c>
      <c r="BL113" s="44">
        <f t="shared" si="37"/>
        <v>-3048460.2360436963</v>
      </c>
    </row>
    <row r="114" spans="1:64" x14ac:dyDescent="0.3">
      <c r="A114" s="8" t="s">
        <v>1014</v>
      </c>
      <c r="C114" s="22" t="str">
        <f>IF(COUNT(E114:BL114)=0,"None",MIN(E114:BL114))</f>
        <v>None</v>
      </c>
      <c r="E114" s="22" t="str">
        <f>IF(AND(E$4&lt;=Org!$B$5,E113&gt;=0),E$4,"")</f>
        <v/>
      </c>
      <c r="F114" s="22" t="str">
        <f>IF(AND(F$4&lt;=Org!$B$5,F113&gt;=0),F$4,"")</f>
        <v/>
      </c>
      <c r="G114" s="22" t="str">
        <f>IF(AND(G$4&lt;=Org!$B$5,G113&gt;=0),G$4,"")</f>
        <v/>
      </c>
      <c r="H114" s="22" t="str">
        <f>IF(AND(H$4&lt;=Org!$B$5,H113&gt;=0),H$4,"")</f>
        <v/>
      </c>
      <c r="I114" s="22" t="str">
        <f>IF(AND(I$4&lt;=Org!$B$5,I113&gt;=0),I$4,"")</f>
        <v/>
      </c>
      <c r="J114" s="22" t="str">
        <f>IF(AND(J$4&lt;=Org!$B$5,J113&gt;=0),J$4,"")</f>
        <v/>
      </c>
      <c r="K114" s="22" t="str">
        <f>IF(AND(K$4&lt;=Org!$B$5,K113&gt;=0),K$4,"")</f>
        <v/>
      </c>
      <c r="L114" s="22" t="str">
        <f>IF(AND(L$4&lt;=Org!$B$5,L113&gt;=0),L$4,"")</f>
        <v/>
      </c>
      <c r="M114" s="22" t="str">
        <f>IF(AND(M$4&lt;=Org!$B$5,M113&gt;=0),M$4,"")</f>
        <v/>
      </c>
      <c r="N114" s="22" t="str">
        <f>IF(AND(N$4&lt;=Org!$B$5,N113&gt;=0),N$4,"")</f>
        <v/>
      </c>
      <c r="O114" s="22" t="str">
        <f>IF(AND(O$4&lt;=Org!$B$5,O113&gt;=0),O$4,"")</f>
        <v/>
      </c>
      <c r="P114" s="22" t="str">
        <f>IF(AND(P$4&lt;=Org!$B$5,P113&gt;=0),P$4,"")</f>
        <v/>
      </c>
      <c r="Q114" s="22" t="str">
        <f>IF(AND(Q$4&lt;=Org!$B$5,Q113&gt;=0),Q$4,"")</f>
        <v/>
      </c>
      <c r="R114" s="22" t="str">
        <f>IF(AND(R$4&lt;=Org!$B$5,R113&gt;=0),R$4,"")</f>
        <v/>
      </c>
      <c r="S114" s="22" t="str">
        <f>IF(AND(S$4&lt;=Org!$B$5,S113&gt;=0),S$4,"")</f>
        <v/>
      </c>
      <c r="T114" s="22" t="str">
        <f>IF(AND(T$4&lt;=Org!$B$5,T113&gt;=0),T$4,"")</f>
        <v/>
      </c>
      <c r="U114" s="22" t="str">
        <f>IF(AND(U$4&lt;=Org!$B$5,U113&gt;=0),U$4,"")</f>
        <v/>
      </c>
      <c r="V114" s="22" t="str">
        <f>IF(AND(V$4&lt;=Org!$B$5,V113&gt;=0),V$4,"")</f>
        <v/>
      </c>
      <c r="W114" s="22" t="str">
        <f>IF(AND(W$4&lt;=Org!$B$5,W113&gt;=0),W$4,"")</f>
        <v/>
      </c>
      <c r="X114" s="22" t="str">
        <f>IF(AND(X$4&lt;=Org!$B$5,X113&gt;=0),X$4,"")</f>
        <v/>
      </c>
      <c r="Y114" s="22" t="str">
        <f>IF(AND(Y$4&lt;=Org!$B$5,Y113&gt;=0),Y$4,"")</f>
        <v/>
      </c>
      <c r="Z114" s="22" t="str">
        <f>IF(AND(Z$4&lt;=Org!$B$5,Z113&gt;=0),Z$4,"")</f>
        <v/>
      </c>
      <c r="AA114" s="22" t="str">
        <f>IF(AND(AA$4&lt;=Org!$B$5,AA113&gt;=0),AA$4,"")</f>
        <v/>
      </c>
      <c r="AB114" s="22" t="str">
        <f>IF(AND(AB$4&lt;=Org!$B$5,AB113&gt;=0),AB$4,"")</f>
        <v/>
      </c>
      <c r="AC114" s="22" t="str">
        <f>IF(AND(AC$4&lt;=Org!$B$5,AC113&gt;=0),AC$4,"")</f>
        <v/>
      </c>
      <c r="AD114" s="22" t="str">
        <f>IF(AND(AD$4&lt;=Org!$B$5,AD113&gt;=0),AD$4,"")</f>
        <v/>
      </c>
      <c r="AE114" s="22" t="str">
        <f>IF(AND(AE$4&lt;=Org!$B$5,AE113&gt;=0),AE$4,"")</f>
        <v/>
      </c>
      <c r="AF114" s="22" t="str">
        <f>IF(AND(AF$4&lt;=Org!$B$5,AF113&gt;=0),AF$4,"")</f>
        <v/>
      </c>
      <c r="AG114" s="22" t="str">
        <f>IF(AND(AG$4&lt;=Org!$B$5,AG113&gt;=0),AG$4,"")</f>
        <v/>
      </c>
      <c r="AH114" s="22" t="str">
        <f>IF(AND(AH$4&lt;=Org!$B$5,AH113&gt;=0),AH$4,"")</f>
        <v/>
      </c>
      <c r="AI114" s="22" t="str">
        <f>IF(AND(AI$4&lt;=Org!$B$5,AI113&gt;=0),AI$4,"")</f>
        <v/>
      </c>
      <c r="AJ114" s="22" t="str">
        <f>IF(AND(AJ$4&lt;=Org!$B$5,AJ113&gt;=0),AJ$4,"")</f>
        <v/>
      </c>
      <c r="AK114" s="22" t="str">
        <f>IF(AND(AK$4&lt;=Org!$B$5,AK113&gt;=0),AK$4,"")</f>
        <v/>
      </c>
      <c r="AL114" s="22" t="str">
        <f>IF(AND(AL$4&lt;=Org!$B$5,AL113&gt;=0),AL$4,"")</f>
        <v/>
      </c>
      <c r="AM114" s="22" t="str">
        <f>IF(AND(AM$4&lt;=Org!$B$5,AM113&gt;=0),AM$4,"")</f>
        <v/>
      </c>
      <c r="AN114" s="22" t="str">
        <f>IF(AND(AN$4&lt;=Org!$B$5,AN113&gt;=0),AN$4,"")</f>
        <v/>
      </c>
      <c r="AO114" s="22" t="str">
        <f>IF(AND(AO$4&lt;=Org!$B$5,AO113&gt;=0),AO$4,"")</f>
        <v/>
      </c>
      <c r="AP114" s="22" t="str">
        <f>IF(AND(AP$4&lt;=Org!$B$5,AP113&gt;=0),AP$4,"")</f>
        <v/>
      </c>
      <c r="AQ114" s="22" t="str">
        <f>IF(AND(AQ$4&lt;=Org!$B$5,AQ113&gt;=0),AQ$4,"")</f>
        <v/>
      </c>
      <c r="AR114" s="22" t="str">
        <f>IF(AND(AR$4&lt;=Org!$B$5,AR113&gt;=0),AR$4,"")</f>
        <v/>
      </c>
      <c r="AS114" s="22" t="str">
        <f>IF(AND(AS$4&lt;=Org!$B$5,AS113&gt;=0),AS$4,"")</f>
        <v/>
      </c>
      <c r="AT114" s="22" t="str">
        <f>IF(AND(AT$4&lt;=Org!$B$5,AT113&gt;=0),AT$4,"")</f>
        <v/>
      </c>
      <c r="AU114" s="22" t="str">
        <f>IF(AND(AU$4&lt;=Org!$B$5,AU113&gt;=0),AU$4,"")</f>
        <v/>
      </c>
      <c r="AV114" s="22" t="str">
        <f>IF(AND(AV$4&lt;=Org!$B$5,AV113&gt;=0),AV$4,"")</f>
        <v/>
      </c>
      <c r="AW114" s="22" t="str">
        <f>IF(AND(AW$4&lt;=Org!$B$5,AW113&gt;=0),AW$4,"")</f>
        <v/>
      </c>
      <c r="AX114" s="22" t="str">
        <f>IF(AND(AX$4&lt;=Org!$B$5,AX113&gt;=0),AX$4,"")</f>
        <v/>
      </c>
      <c r="AY114" s="22" t="str">
        <f>IF(AND(AY$4&lt;=Org!$B$5,AY113&gt;=0),AY$4,"")</f>
        <v/>
      </c>
      <c r="AZ114" s="22" t="str">
        <f>IF(AND(AZ$4&lt;=Org!$B$5,AZ113&gt;=0),AZ$4,"")</f>
        <v/>
      </c>
      <c r="BA114" s="22" t="str">
        <f>IF(AND(BA$4&lt;=Org!$B$5,BA113&gt;=0),BA$4,"")</f>
        <v/>
      </c>
      <c r="BB114" s="22" t="str">
        <f>IF(AND(BB$4&lt;=Org!$B$5,BB113&gt;=0),BB$4,"")</f>
        <v/>
      </c>
      <c r="BC114" s="22" t="str">
        <f>IF(AND(BC$4&lt;=Org!$B$5,BC113&gt;=0),BC$4,"")</f>
        <v/>
      </c>
      <c r="BD114" s="22" t="str">
        <f>IF(AND(BD$4&lt;=Org!$B$5,BD113&gt;=0),BD$4,"")</f>
        <v/>
      </c>
      <c r="BE114" s="22" t="str">
        <f>IF(AND(BE$4&lt;=Org!$B$5,BE113&gt;=0),BE$4,"")</f>
        <v/>
      </c>
      <c r="BF114" s="22" t="str">
        <f>IF(AND(BF$4&lt;=Org!$B$5,BF113&gt;=0),BF$4,"")</f>
        <v/>
      </c>
      <c r="BG114" s="22" t="str">
        <f>IF(AND(BG$4&lt;=Org!$B$5,BG113&gt;=0),BG$4,"")</f>
        <v/>
      </c>
      <c r="BH114" s="22" t="str">
        <f>IF(AND(BH$4&lt;=Org!$B$5,BH113&gt;=0),BH$4,"")</f>
        <v/>
      </c>
      <c r="BI114" s="22" t="str">
        <f>IF(AND(BI$4&lt;=Org!$B$5,BI113&gt;=0),BI$4,"")</f>
        <v/>
      </c>
      <c r="BJ114" s="22" t="str">
        <f>IF(AND(BJ$4&lt;=Org!$B$5,BJ113&gt;=0),BJ$4,"")</f>
        <v/>
      </c>
      <c r="BK114" s="22" t="str">
        <f>IF(AND(BK$4&lt;=Org!$B$5,BK113&gt;=0),BK$4,"")</f>
        <v/>
      </c>
      <c r="BL114" s="22" t="str">
        <f>IF(AND(BL$4&lt;=Org!$B$5,BL113&gt;=0),BL$4,"")</f>
        <v/>
      </c>
    </row>
    <row r="116" spans="1:64" x14ac:dyDescent="0.3">
      <c r="A116" s="17" t="str">
        <f>Teams!$G$4</f>
        <v>Sales assistant (published-range calibration)</v>
      </c>
      <c r="B116" s="18" t="s">
        <v>1009</v>
      </c>
      <c r="C116" s="50">
        <f>(Teams!$G$29*(1-Teams!$G$31)*Params!$F$39*Params!$F$21*IF(Teams!$G$36="Yes",Params!$F$22,1)*Teams!$G$68*Teams!$G$70+Teams!$G$30*(1-Teams!$G$31)*Params!$F$39*Params!$F$21*IF(Teams!$G$36="Yes",Params!$F$22,1)*Teams!$G$69)/1000000*Teams!$G$71*Teams!$G$35</f>
        <v>1.7932500000000001E-2</v>
      </c>
    </row>
    <row r="117" spans="1:64" x14ac:dyDescent="0.3">
      <c r="A117" s="8" t="s">
        <v>1010</v>
      </c>
      <c r="E117" s="26">
        <f>IF(E$4&lt;Teams!$G$80,0,IF(Teams!$G$22="S",MIN(1,(E$4-Teams!$G$80+1)/Teams!$G$21)^2*(3-2*MIN(1,(E$4-Teams!$G$80+1)/Teams!$G$21)),MIN(1,(E$4-Teams!$G$80+1)/Teams!$G$21)))</f>
        <v>7.407407407407407E-2</v>
      </c>
      <c r="F117" s="26">
        <f>IF(F$4&lt;Teams!$G$80,0,IF(Teams!$G$22="S",MIN(1,(F$4-Teams!$G$80+1)/Teams!$G$21)^2*(3-2*MIN(1,(F$4-Teams!$G$80+1)/Teams!$G$21)),MIN(1,(F$4-Teams!$G$80+1)/Teams!$G$21)))</f>
        <v>0.25925925925925924</v>
      </c>
      <c r="G117" s="26">
        <f>IF(G$4&lt;Teams!$G$80,0,IF(Teams!$G$22="S",MIN(1,(G$4-Teams!$G$80+1)/Teams!$G$21)^2*(3-2*MIN(1,(G$4-Teams!$G$80+1)/Teams!$G$21)),MIN(1,(G$4-Teams!$G$80+1)/Teams!$G$21)))</f>
        <v>0.5</v>
      </c>
      <c r="H117" s="26">
        <f>IF(H$4&lt;Teams!$G$80,0,IF(Teams!$G$22="S",MIN(1,(H$4-Teams!$G$80+1)/Teams!$G$21)^2*(3-2*MIN(1,(H$4-Teams!$G$80+1)/Teams!$G$21)),MIN(1,(H$4-Teams!$G$80+1)/Teams!$G$21)))</f>
        <v>0.7407407407407407</v>
      </c>
      <c r="I117" s="26">
        <f>IF(I$4&lt;Teams!$G$80,0,IF(Teams!$G$22="S",MIN(1,(I$4-Teams!$G$80+1)/Teams!$G$21)^2*(3-2*MIN(1,(I$4-Teams!$G$80+1)/Teams!$G$21)),MIN(1,(I$4-Teams!$G$80+1)/Teams!$G$21)))</f>
        <v>0.92592592592592604</v>
      </c>
      <c r="J117" s="26">
        <f>IF(J$4&lt;Teams!$G$80,0,IF(Teams!$G$22="S",MIN(1,(J$4-Teams!$G$80+1)/Teams!$G$21)^2*(3-2*MIN(1,(J$4-Teams!$G$80+1)/Teams!$G$21)),MIN(1,(J$4-Teams!$G$80+1)/Teams!$G$21)))</f>
        <v>1</v>
      </c>
      <c r="K117" s="26">
        <f>IF(K$4&lt;Teams!$G$80,0,IF(Teams!$G$22="S",MIN(1,(K$4-Teams!$G$80+1)/Teams!$G$21)^2*(3-2*MIN(1,(K$4-Teams!$G$80+1)/Teams!$G$21)),MIN(1,(K$4-Teams!$G$80+1)/Teams!$G$21)))</f>
        <v>1</v>
      </c>
      <c r="L117" s="26">
        <f>IF(L$4&lt;Teams!$G$80,0,IF(Teams!$G$22="S",MIN(1,(L$4-Teams!$G$80+1)/Teams!$G$21)^2*(3-2*MIN(1,(L$4-Teams!$G$80+1)/Teams!$G$21)),MIN(1,(L$4-Teams!$G$80+1)/Teams!$G$21)))</f>
        <v>1</v>
      </c>
      <c r="M117" s="26">
        <f>IF(M$4&lt;Teams!$G$80,0,IF(Teams!$G$22="S",MIN(1,(M$4-Teams!$G$80+1)/Teams!$G$21)^2*(3-2*MIN(1,(M$4-Teams!$G$80+1)/Teams!$G$21)),MIN(1,(M$4-Teams!$G$80+1)/Teams!$G$21)))</f>
        <v>1</v>
      </c>
      <c r="N117" s="26">
        <f>IF(N$4&lt;Teams!$G$80,0,IF(Teams!$G$22="S",MIN(1,(N$4-Teams!$G$80+1)/Teams!$G$21)^2*(3-2*MIN(1,(N$4-Teams!$G$80+1)/Teams!$G$21)),MIN(1,(N$4-Teams!$G$80+1)/Teams!$G$21)))</f>
        <v>1</v>
      </c>
      <c r="O117" s="26">
        <f>IF(O$4&lt;Teams!$G$80,0,IF(Teams!$G$22="S",MIN(1,(O$4-Teams!$G$80+1)/Teams!$G$21)^2*(3-2*MIN(1,(O$4-Teams!$G$80+1)/Teams!$G$21)),MIN(1,(O$4-Teams!$G$80+1)/Teams!$G$21)))</f>
        <v>1</v>
      </c>
      <c r="P117" s="26">
        <f>IF(P$4&lt;Teams!$G$80,0,IF(Teams!$G$22="S",MIN(1,(P$4-Teams!$G$80+1)/Teams!$G$21)^2*(3-2*MIN(1,(P$4-Teams!$G$80+1)/Teams!$G$21)),MIN(1,(P$4-Teams!$G$80+1)/Teams!$G$21)))</f>
        <v>1</v>
      </c>
      <c r="Q117" s="26">
        <f>IF(Q$4&lt;Teams!$G$80,0,IF(Teams!$G$22="S",MIN(1,(Q$4-Teams!$G$80+1)/Teams!$G$21)^2*(3-2*MIN(1,(Q$4-Teams!$G$80+1)/Teams!$G$21)),MIN(1,(Q$4-Teams!$G$80+1)/Teams!$G$21)))</f>
        <v>1</v>
      </c>
      <c r="R117" s="26">
        <f>IF(R$4&lt;Teams!$G$80,0,IF(Teams!$G$22="S",MIN(1,(R$4-Teams!$G$80+1)/Teams!$G$21)^2*(3-2*MIN(1,(R$4-Teams!$G$80+1)/Teams!$G$21)),MIN(1,(R$4-Teams!$G$80+1)/Teams!$G$21)))</f>
        <v>1</v>
      </c>
      <c r="S117" s="26">
        <f>IF(S$4&lt;Teams!$G$80,0,IF(Teams!$G$22="S",MIN(1,(S$4-Teams!$G$80+1)/Teams!$G$21)^2*(3-2*MIN(1,(S$4-Teams!$G$80+1)/Teams!$G$21)),MIN(1,(S$4-Teams!$G$80+1)/Teams!$G$21)))</f>
        <v>1</v>
      </c>
      <c r="T117" s="26">
        <f>IF(T$4&lt;Teams!$G$80,0,IF(Teams!$G$22="S",MIN(1,(T$4-Teams!$G$80+1)/Teams!$G$21)^2*(3-2*MIN(1,(T$4-Teams!$G$80+1)/Teams!$G$21)),MIN(1,(T$4-Teams!$G$80+1)/Teams!$G$21)))</f>
        <v>1</v>
      </c>
      <c r="U117" s="26">
        <f>IF(U$4&lt;Teams!$G$80,0,IF(Teams!$G$22="S",MIN(1,(U$4-Teams!$G$80+1)/Teams!$G$21)^2*(3-2*MIN(1,(U$4-Teams!$G$80+1)/Teams!$G$21)),MIN(1,(U$4-Teams!$G$80+1)/Teams!$G$21)))</f>
        <v>1</v>
      </c>
      <c r="V117" s="26">
        <f>IF(V$4&lt;Teams!$G$80,0,IF(Teams!$G$22="S",MIN(1,(V$4-Teams!$G$80+1)/Teams!$G$21)^2*(3-2*MIN(1,(V$4-Teams!$G$80+1)/Teams!$G$21)),MIN(1,(V$4-Teams!$G$80+1)/Teams!$G$21)))</f>
        <v>1</v>
      </c>
      <c r="W117" s="26">
        <f>IF(W$4&lt;Teams!$G$80,0,IF(Teams!$G$22="S",MIN(1,(W$4-Teams!$G$80+1)/Teams!$G$21)^2*(3-2*MIN(1,(W$4-Teams!$G$80+1)/Teams!$G$21)),MIN(1,(W$4-Teams!$G$80+1)/Teams!$G$21)))</f>
        <v>1</v>
      </c>
      <c r="X117" s="26">
        <f>IF(X$4&lt;Teams!$G$80,0,IF(Teams!$G$22="S",MIN(1,(X$4-Teams!$G$80+1)/Teams!$G$21)^2*(3-2*MIN(1,(X$4-Teams!$G$80+1)/Teams!$G$21)),MIN(1,(X$4-Teams!$G$80+1)/Teams!$G$21)))</f>
        <v>1</v>
      </c>
      <c r="Y117" s="26">
        <f>IF(Y$4&lt;Teams!$G$80,0,IF(Teams!$G$22="S",MIN(1,(Y$4-Teams!$G$80+1)/Teams!$G$21)^2*(3-2*MIN(1,(Y$4-Teams!$G$80+1)/Teams!$G$21)),MIN(1,(Y$4-Teams!$G$80+1)/Teams!$G$21)))</f>
        <v>1</v>
      </c>
      <c r="Z117" s="26">
        <f>IF(Z$4&lt;Teams!$G$80,0,IF(Teams!$G$22="S",MIN(1,(Z$4-Teams!$G$80+1)/Teams!$G$21)^2*(3-2*MIN(1,(Z$4-Teams!$G$80+1)/Teams!$G$21)),MIN(1,(Z$4-Teams!$G$80+1)/Teams!$G$21)))</f>
        <v>1</v>
      </c>
      <c r="AA117" s="26">
        <f>IF(AA$4&lt;Teams!$G$80,0,IF(Teams!$G$22="S",MIN(1,(AA$4-Teams!$G$80+1)/Teams!$G$21)^2*(3-2*MIN(1,(AA$4-Teams!$G$80+1)/Teams!$G$21)),MIN(1,(AA$4-Teams!$G$80+1)/Teams!$G$21)))</f>
        <v>1</v>
      </c>
      <c r="AB117" s="26">
        <f>IF(AB$4&lt;Teams!$G$80,0,IF(Teams!$G$22="S",MIN(1,(AB$4-Teams!$G$80+1)/Teams!$G$21)^2*(3-2*MIN(1,(AB$4-Teams!$G$80+1)/Teams!$G$21)),MIN(1,(AB$4-Teams!$G$80+1)/Teams!$G$21)))</f>
        <v>1</v>
      </c>
      <c r="AC117" s="26">
        <f>IF(AC$4&lt;Teams!$G$80,0,IF(Teams!$G$22="S",MIN(1,(AC$4-Teams!$G$80+1)/Teams!$G$21)^2*(3-2*MIN(1,(AC$4-Teams!$G$80+1)/Teams!$G$21)),MIN(1,(AC$4-Teams!$G$80+1)/Teams!$G$21)))</f>
        <v>1</v>
      </c>
      <c r="AD117" s="26">
        <f>IF(AD$4&lt;Teams!$G$80,0,IF(Teams!$G$22="S",MIN(1,(AD$4-Teams!$G$80+1)/Teams!$G$21)^2*(3-2*MIN(1,(AD$4-Teams!$G$80+1)/Teams!$G$21)),MIN(1,(AD$4-Teams!$G$80+1)/Teams!$G$21)))</f>
        <v>1</v>
      </c>
      <c r="AE117" s="26">
        <f>IF(AE$4&lt;Teams!$G$80,0,IF(Teams!$G$22="S",MIN(1,(AE$4-Teams!$G$80+1)/Teams!$G$21)^2*(3-2*MIN(1,(AE$4-Teams!$G$80+1)/Teams!$G$21)),MIN(1,(AE$4-Teams!$G$80+1)/Teams!$G$21)))</f>
        <v>1</v>
      </c>
      <c r="AF117" s="26">
        <f>IF(AF$4&lt;Teams!$G$80,0,IF(Teams!$G$22="S",MIN(1,(AF$4-Teams!$G$80+1)/Teams!$G$21)^2*(3-2*MIN(1,(AF$4-Teams!$G$80+1)/Teams!$G$21)),MIN(1,(AF$4-Teams!$G$80+1)/Teams!$G$21)))</f>
        <v>1</v>
      </c>
      <c r="AG117" s="26">
        <f>IF(AG$4&lt;Teams!$G$80,0,IF(Teams!$G$22="S",MIN(1,(AG$4-Teams!$G$80+1)/Teams!$G$21)^2*(3-2*MIN(1,(AG$4-Teams!$G$80+1)/Teams!$G$21)),MIN(1,(AG$4-Teams!$G$80+1)/Teams!$G$21)))</f>
        <v>1</v>
      </c>
      <c r="AH117" s="26">
        <f>IF(AH$4&lt;Teams!$G$80,0,IF(Teams!$G$22="S",MIN(1,(AH$4-Teams!$G$80+1)/Teams!$G$21)^2*(3-2*MIN(1,(AH$4-Teams!$G$80+1)/Teams!$G$21)),MIN(1,(AH$4-Teams!$G$80+1)/Teams!$G$21)))</f>
        <v>1</v>
      </c>
      <c r="AI117" s="26">
        <f>IF(AI$4&lt;Teams!$G$80,0,IF(Teams!$G$22="S",MIN(1,(AI$4-Teams!$G$80+1)/Teams!$G$21)^2*(3-2*MIN(1,(AI$4-Teams!$G$80+1)/Teams!$G$21)),MIN(1,(AI$4-Teams!$G$80+1)/Teams!$G$21)))</f>
        <v>1</v>
      </c>
      <c r="AJ117" s="26">
        <f>IF(AJ$4&lt;Teams!$G$80,0,IF(Teams!$G$22="S",MIN(1,(AJ$4-Teams!$G$80+1)/Teams!$G$21)^2*(3-2*MIN(1,(AJ$4-Teams!$G$80+1)/Teams!$G$21)),MIN(1,(AJ$4-Teams!$G$80+1)/Teams!$G$21)))</f>
        <v>1</v>
      </c>
      <c r="AK117" s="26">
        <f>IF(AK$4&lt;Teams!$G$80,0,IF(Teams!$G$22="S",MIN(1,(AK$4-Teams!$G$80+1)/Teams!$G$21)^2*(3-2*MIN(1,(AK$4-Teams!$G$80+1)/Teams!$G$21)),MIN(1,(AK$4-Teams!$G$80+1)/Teams!$G$21)))</f>
        <v>1</v>
      </c>
      <c r="AL117" s="26">
        <f>IF(AL$4&lt;Teams!$G$80,0,IF(Teams!$G$22="S",MIN(1,(AL$4-Teams!$G$80+1)/Teams!$G$21)^2*(3-2*MIN(1,(AL$4-Teams!$G$80+1)/Teams!$G$21)),MIN(1,(AL$4-Teams!$G$80+1)/Teams!$G$21)))</f>
        <v>1</v>
      </c>
      <c r="AM117" s="26">
        <f>IF(AM$4&lt;Teams!$G$80,0,IF(Teams!$G$22="S",MIN(1,(AM$4-Teams!$G$80+1)/Teams!$G$21)^2*(3-2*MIN(1,(AM$4-Teams!$G$80+1)/Teams!$G$21)),MIN(1,(AM$4-Teams!$G$80+1)/Teams!$G$21)))</f>
        <v>1</v>
      </c>
      <c r="AN117" s="26">
        <f>IF(AN$4&lt;Teams!$G$80,0,IF(Teams!$G$22="S",MIN(1,(AN$4-Teams!$G$80+1)/Teams!$G$21)^2*(3-2*MIN(1,(AN$4-Teams!$G$80+1)/Teams!$G$21)),MIN(1,(AN$4-Teams!$G$80+1)/Teams!$G$21)))</f>
        <v>1</v>
      </c>
      <c r="AO117" s="26">
        <f>IF(AO$4&lt;Teams!$G$80,0,IF(Teams!$G$22="S",MIN(1,(AO$4-Teams!$G$80+1)/Teams!$G$21)^2*(3-2*MIN(1,(AO$4-Teams!$G$80+1)/Teams!$G$21)),MIN(1,(AO$4-Teams!$G$80+1)/Teams!$G$21)))</f>
        <v>1</v>
      </c>
      <c r="AP117" s="26">
        <f>IF(AP$4&lt;Teams!$G$80,0,IF(Teams!$G$22="S",MIN(1,(AP$4-Teams!$G$80+1)/Teams!$G$21)^2*(3-2*MIN(1,(AP$4-Teams!$G$80+1)/Teams!$G$21)),MIN(1,(AP$4-Teams!$G$80+1)/Teams!$G$21)))</f>
        <v>1</v>
      </c>
      <c r="AQ117" s="26">
        <f>IF(AQ$4&lt;Teams!$G$80,0,IF(Teams!$G$22="S",MIN(1,(AQ$4-Teams!$G$80+1)/Teams!$G$21)^2*(3-2*MIN(1,(AQ$4-Teams!$G$80+1)/Teams!$G$21)),MIN(1,(AQ$4-Teams!$G$80+1)/Teams!$G$21)))</f>
        <v>1</v>
      </c>
      <c r="AR117" s="26">
        <f>IF(AR$4&lt;Teams!$G$80,0,IF(Teams!$G$22="S",MIN(1,(AR$4-Teams!$G$80+1)/Teams!$G$21)^2*(3-2*MIN(1,(AR$4-Teams!$G$80+1)/Teams!$G$21)),MIN(1,(AR$4-Teams!$G$80+1)/Teams!$G$21)))</f>
        <v>1</v>
      </c>
      <c r="AS117" s="26">
        <f>IF(AS$4&lt;Teams!$G$80,0,IF(Teams!$G$22="S",MIN(1,(AS$4-Teams!$G$80+1)/Teams!$G$21)^2*(3-2*MIN(1,(AS$4-Teams!$G$80+1)/Teams!$G$21)),MIN(1,(AS$4-Teams!$G$80+1)/Teams!$G$21)))</f>
        <v>1</v>
      </c>
      <c r="AT117" s="26">
        <f>IF(AT$4&lt;Teams!$G$80,0,IF(Teams!$G$22="S",MIN(1,(AT$4-Teams!$G$80+1)/Teams!$G$21)^2*(3-2*MIN(1,(AT$4-Teams!$G$80+1)/Teams!$G$21)),MIN(1,(AT$4-Teams!$G$80+1)/Teams!$G$21)))</f>
        <v>1</v>
      </c>
      <c r="AU117" s="26">
        <f>IF(AU$4&lt;Teams!$G$80,0,IF(Teams!$G$22="S",MIN(1,(AU$4-Teams!$G$80+1)/Teams!$G$21)^2*(3-2*MIN(1,(AU$4-Teams!$G$80+1)/Teams!$G$21)),MIN(1,(AU$4-Teams!$G$80+1)/Teams!$G$21)))</f>
        <v>1</v>
      </c>
      <c r="AV117" s="26">
        <f>IF(AV$4&lt;Teams!$G$80,0,IF(Teams!$G$22="S",MIN(1,(AV$4-Teams!$G$80+1)/Teams!$G$21)^2*(3-2*MIN(1,(AV$4-Teams!$G$80+1)/Teams!$G$21)),MIN(1,(AV$4-Teams!$G$80+1)/Teams!$G$21)))</f>
        <v>1</v>
      </c>
      <c r="AW117" s="26">
        <f>IF(AW$4&lt;Teams!$G$80,0,IF(Teams!$G$22="S",MIN(1,(AW$4-Teams!$G$80+1)/Teams!$G$21)^2*(3-2*MIN(1,(AW$4-Teams!$G$80+1)/Teams!$G$21)),MIN(1,(AW$4-Teams!$G$80+1)/Teams!$G$21)))</f>
        <v>1</v>
      </c>
      <c r="AX117" s="26">
        <f>IF(AX$4&lt;Teams!$G$80,0,IF(Teams!$G$22="S",MIN(1,(AX$4-Teams!$G$80+1)/Teams!$G$21)^2*(3-2*MIN(1,(AX$4-Teams!$G$80+1)/Teams!$G$21)),MIN(1,(AX$4-Teams!$G$80+1)/Teams!$G$21)))</f>
        <v>1</v>
      </c>
      <c r="AY117" s="26">
        <f>IF(AY$4&lt;Teams!$G$80,0,IF(Teams!$G$22="S",MIN(1,(AY$4-Teams!$G$80+1)/Teams!$G$21)^2*(3-2*MIN(1,(AY$4-Teams!$G$80+1)/Teams!$G$21)),MIN(1,(AY$4-Teams!$G$80+1)/Teams!$G$21)))</f>
        <v>1</v>
      </c>
      <c r="AZ117" s="26">
        <f>IF(AZ$4&lt;Teams!$G$80,0,IF(Teams!$G$22="S",MIN(1,(AZ$4-Teams!$G$80+1)/Teams!$G$21)^2*(3-2*MIN(1,(AZ$4-Teams!$G$80+1)/Teams!$G$21)),MIN(1,(AZ$4-Teams!$G$80+1)/Teams!$G$21)))</f>
        <v>1</v>
      </c>
      <c r="BA117" s="26">
        <f>IF(BA$4&lt;Teams!$G$80,0,IF(Teams!$G$22="S",MIN(1,(BA$4-Teams!$G$80+1)/Teams!$G$21)^2*(3-2*MIN(1,(BA$4-Teams!$G$80+1)/Teams!$G$21)),MIN(1,(BA$4-Teams!$G$80+1)/Teams!$G$21)))</f>
        <v>1</v>
      </c>
      <c r="BB117" s="26">
        <f>IF(BB$4&lt;Teams!$G$80,0,IF(Teams!$G$22="S",MIN(1,(BB$4-Teams!$G$80+1)/Teams!$G$21)^2*(3-2*MIN(1,(BB$4-Teams!$G$80+1)/Teams!$G$21)),MIN(1,(BB$4-Teams!$G$80+1)/Teams!$G$21)))</f>
        <v>1</v>
      </c>
      <c r="BC117" s="26">
        <f>IF(BC$4&lt;Teams!$G$80,0,IF(Teams!$G$22="S",MIN(1,(BC$4-Teams!$G$80+1)/Teams!$G$21)^2*(3-2*MIN(1,(BC$4-Teams!$G$80+1)/Teams!$G$21)),MIN(1,(BC$4-Teams!$G$80+1)/Teams!$G$21)))</f>
        <v>1</v>
      </c>
      <c r="BD117" s="26">
        <f>IF(BD$4&lt;Teams!$G$80,0,IF(Teams!$G$22="S",MIN(1,(BD$4-Teams!$G$80+1)/Teams!$G$21)^2*(3-2*MIN(1,(BD$4-Teams!$G$80+1)/Teams!$G$21)),MIN(1,(BD$4-Teams!$G$80+1)/Teams!$G$21)))</f>
        <v>1</v>
      </c>
      <c r="BE117" s="26">
        <f>IF(BE$4&lt;Teams!$G$80,0,IF(Teams!$G$22="S",MIN(1,(BE$4-Teams!$G$80+1)/Teams!$G$21)^2*(3-2*MIN(1,(BE$4-Teams!$G$80+1)/Teams!$G$21)),MIN(1,(BE$4-Teams!$G$80+1)/Teams!$G$21)))</f>
        <v>1</v>
      </c>
      <c r="BF117" s="26">
        <f>IF(BF$4&lt;Teams!$G$80,0,IF(Teams!$G$22="S",MIN(1,(BF$4-Teams!$G$80+1)/Teams!$G$21)^2*(3-2*MIN(1,(BF$4-Teams!$G$80+1)/Teams!$G$21)),MIN(1,(BF$4-Teams!$G$80+1)/Teams!$G$21)))</f>
        <v>1</v>
      </c>
      <c r="BG117" s="26">
        <f>IF(BG$4&lt;Teams!$G$80,0,IF(Teams!$G$22="S",MIN(1,(BG$4-Teams!$G$80+1)/Teams!$G$21)^2*(3-2*MIN(1,(BG$4-Teams!$G$80+1)/Teams!$G$21)),MIN(1,(BG$4-Teams!$G$80+1)/Teams!$G$21)))</f>
        <v>1</v>
      </c>
      <c r="BH117" s="26">
        <f>IF(BH$4&lt;Teams!$G$80,0,IF(Teams!$G$22="S",MIN(1,(BH$4-Teams!$G$80+1)/Teams!$G$21)^2*(3-2*MIN(1,(BH$4-Teams!$G$80+1)/Teams!$G$21)),MIN(1,(BH$4-Teams!$G$80+1)/Teams!$G$21)))</f>
        <v>1</v>
      </c>
      <c r="BI117" s="26">
        <f>IF(BI$4&lt;Teams!$G$80,0,IF(Teams!$G$22="S",MIN(1,(BI$4-Teams!$G$80+1)/Teams!$G$21)^2*(3-2*MIN(1,(BI$4-Teams!$G$80+1)/Teams!$G$21)),MIN(1,(BI$4-Teams!$G$80+1)/Teams!$G$21)))</f>
        <v>1</v>
      </c>
      <c r="BJ117" s="26">
        <f>IF(BJ$4&lt;Teams!$G$80,0,IF(Teams!$G$22="S",MIN(1,(BJ$4-Teams!$G$80+1)/Teams!$G$21)^2*(3-2*MIN(1,(BJ$4-Teams!$G$80+1)/Teams!$G$21)),MIN(1,(BJ$4-Teams!$G$80+1)/Teams!$G$21)))</f>
        <v>1</v>
      </c>
      <c r="BK117" s="26">
        <f>IF(BK$4&lt;Teams!$G$80,0,IF(Teams!$G$22="S",MIN(1,(BK$4-Teams!$G$80+1)/Teams!$G$21)^2*(3-2*MIN(1,(BK$4-Teams!$G$80+1)/Teams!$G$21)),MIN(1,(BK$4-Teams!$G$80+1)/Teams!$G$21)))</f>
        <v>1</v>
      </c>
      <c r="BL117" s="26">
        <f>IF(BL$4&lt;Teams!$G$80,0,IF(Teams!$G$22="S",MIN(1,(BL$4-Teams!$G$80+1)/Teams!$G$21)^2*(3-2*MIN(1,(BL$4-Teams!$G$80+1)/Teams!$G$21)),MIN(1,(BL$4-Teams!$G$80+1)/Teams!$G$21)))</f>
        <v>1</v>
      </c>
    </row>
    <row r="118" spans="1:64" x14ac:dyDescent="0.3">
      <c r="A118" s="8" t="s">
        <v>160</v>
      </c>
      <c r="E118" s="22">
        <f>IF(E$4&gt;=Teams!$G$80,Teams!$G$18,0)</f>
        <v>2000</v>
      </c>
      <c r="F118" s="22">
        <f>IF(F$4&gt;=Teams!$G$80,Teams!$G$18,0)</f>
        <v>2000</v>
      </c>
      <c r="G118" s="22">
        <f>IF(G$4&gt;=Teams!$G$80,Teams!$G$18,0)</f>
        <v>2000</v>
      </c>
      <c r="H118" s="22">
        <f>IF(H$4&gt;=Teams!$G$80,Teams!$G$18,0)</f>
        <v>2000</v>
      </c>
      <c r="I118" s="22">
        <f>IF(I$4&gt;=Teams!$G$80,Teams!$G$18,0)</f>
        <v>2000</v>
      </c>
      <c r="J118" s="22">
        <f>IF(J$4&gt;=Teams!$G$80,Teams!$G$18,0)</f>
        <v>2000</v>
      </c>
      <c r="K118" s="22">
        <f>IF(K$4&gt;=Teams!$G$80,Teams!$G$18,0)</f>
        <v>2000</v>
      </c>
      <c r="L118" s="22">
        <f>IF(L$4&gt;=Teams!$G$80,Teams!$G$18,0)</f>
        <v>2000</v>
      </c>
      <c r="M118" s="22">
        <f>IF(M$4&gt;=Teams!$G$80,Teams!$G$18,0)</f>
        <v>2000</v>
      </c>
      <c r="N118" s="22">
        <f>IF(N$4&gt;=Teams!$G$80,Teams!$G$18,0)</f>
        <v>2000</v>
      </c>
      <c r="O118" s="22">
        <f>IF(O$4&gt;=Teams!$G$80,Teams!$G$18,0)</f>
        <v>2000</v>
      </c>
      <c r="P118" s="22">
        <f>IF(P$4&gt;=Teams!$G$80,Teams!$G$18,0)</f>
        <v>2000</v>
      </c>
      <c r="Q118" s="22">
        <f>IF(Q$4&gt;=Teams!$G$80,Teams!$G$18,0)</f>
        <v>2000</v>
      </c>
      <c r="R118" s="22">
        <f>IF(R$4&gt;=Teams!$G$80,Teams!$G$18,0)</f>
        <v>2000</v>
      </c>
      <c r="S118" s="22">
        <f>IF(S$4&gt;=Teams!$G$80,Teams!$G$18,0)</f>
        <v>2000</v>
      </c>
      <c r="T118" s="22">
        <f>IF(T$4&gt;=Teams!$G$80,Teams!$G$18,0)</f>
        <v>2000</v>
      </c>
      <c r="U118" s="22">
        <f>IF(U$4&gt;=Teams!$G$80,Teams!$G$18,0)</f>
        <v>2000</v>
      </c>
      <c r="V118" s="22">
        <f>IF(V$4&gt;=Teams!$G$80,Teams!$G$18,0)</f>
        <v>2000</v>
      </c>
      <c r="W118" s="22">
        <f>IF(W$4&gt;=Teams!$G$80,Teams!$G$18,0)</f>
        <v>2000</v>
      </c>
      <c r="X118" s="22">
        <f>IF(X$4&gt;=Teams!$G$80,Teams!$G$18,0)</f>
        <v>2000</v>
      </c>
      <c r="Y118" s="22">
        <f>IF(Y$4&gt;=Teams!$G$80,Teams!$G$18,0)</f>
        <v>2000</v>
      </c>
      <c r="Z118" s="22">
        <f>IF(Z$4&gt;=Teams!$G$80,Teams!$G$18,0)</f>
        <v>2000</v>
      </c>
      <c r="AA118" s="22">
        <f>IF(AA$4&gt;=Teams!$G$80,Teams!$G$18,0)</f>
        <v>2000</v>
      </c>
      <c r="AB118" s="22">
        <f>IF(AB$4&gt;=Teams!$G$80,Teams!$G$18,0)</f>
        <v>2000</v>
      </c>
      <c r="AC118" s="22">
        <f>IF(AC$4&gt;=Teams!$G$80,Teams!$G$18,0)</f>
        <v>2000</v>
      </c>
      <c r="AD118" s="22">
        <f>IF(AD$4&gt;=Teams!$G$80,Teams!$G$18,0)</f>
        <v>2000</v>
      </c>
      <c r="AE118" s="22">
        <f>IF(AE$4&gt;=Teams!$G$80,Teams!$G$18,0)</f>
        <v>2000</v>
      </c>
      <c r="AF118" s="22">
        <f>IF(AF$4&gt;=Teams!$G$80,Teams!$G$18,0)</f>
        <v>2000</v>
      </c>
      <c r="AG118" s="22">
        <f>IF(AG$4&gt;=Teams!$G$80,Teams!$G$18,0)</f>
        <v>2000</v>
      </c>
      <c r="AH118" s="22">
        <f>IF(AH$4&gt;=Teams!$G$80,Teams!$G$18,0)</f>
        <v>2000</v>
      </c>
      <c r="AI118" s="22">
        <f>IF(AI$4&gt;=Teams!$G$80,Teams!$G$18,0)</f>
        <v>2000</v>
      </c>
      <c r="AJ118" s="22">
        <f>IF(AJ$4&gt;=Teams!$G$80,Teams!$G$18,0)</f>
        <v>2000</v>
      </c>
      <c r="AK118" s="22">
        <f>IF(AK$4&gt;=Teams!$G$80,Teams!$G$18,0)</f>
        <v>2000</v>
      </c>
      <c r="AL118" s="22">
        <f>IF(AL$4&gt;=Teams!$G$80,Teams!$G$18,0)</f>
        <v>2000</v>
      </c>
      <c r="AM118" s="22">
        <f>IF(AM$4&gt;=Teams!$G$80,Teams!$G$18,0)</f>
        <v>2000</v>
      </c>
      <c r="AN118" s="22">
        <f>IF(AN$4&gt;=Teams!$G$80,Teams!$G$18,0)</f>
        <v>2000</v>
      </c>
      <c r="AO118" s="22">
        <f>IF(AO$4&gt;=Teams!$G$80,Teams!$G$18,0)</f>
        <v>2000</v>
      </c>
      <c r="AP118" s="22">
        <f>IF(AP$4&gt;=Teams!$G$80,Teams!$G$18,0)</f>
        <v>2000</v>
      </c>
      <c r="AQ118" s="22">
        <f>IF(AQ$4&gt;=Teams!$G$80,Teams!$G$18,0)</f>
        <v>2000</v>
      </c>
      <c r="AR118" s="22">
        <f>IF(AR$4&gt;=Teams!$G$80,Teams!$G$18,0)</f>
        <v>2000</v>
      </c>
      <c r="AS118" s="22">
        <f>IF(AS$4&gt;=Teams!$G$80,Teams!$G$18,0)</f>
        <v>2000</v>
      </c>
      <c r="AT118" s="22">
        <f>IF(AT$4&gt;=Teams!$G$80,Teams!$G$18,0)</f>
        <v>2000</v>
      </c>
      <c r="AU118" s="22">
        <f>IF(AU$4&gt;=Teams!$G$80,Teams!$G$18,0)</f>
        <v>2000</v>
      </c>
      <c r="AV118" s="22">
        <f>IF(AV$4&gt;=Teams!$G$80,Teams!$G$18,0)</f>
        <v>2000</v>
      </c>
      <c r="AW118" s="22">
        <f>IF(AW$4&gt;=Teams!$G$80,Teams!$G$18,0)</f>
        <v>2000</v>
      </c>
      <c r="AX118" s="22">
        <f>IF(AX$4&gt;=Teams!$G$80,Teams!$G$18,0)</f>
        <v>2000</v>
      </c>
      <c r="AY118" s="22">
        <f>IF(AY$4&gt;=Teams!$G$80,Teams!$G$18,0)</f>
        <v>2000</v>
      </c>
      <c r="AZ118" s="22">
        <f>IF(AZ$4&gt;=Teams!$G$80,Teams!$G$18,0)</f>
        <v>2000</v>
      </c>
      <c r="BA118" s="22">
        <f>IF(BA$4&gt;=Teams!$G$80,Teams!$G$18,0)</f>
        <v>2000</v>
      </c>
      <c r="BB118" s="22">
        <f>IF(BB$4&gt;=Teams!$G$80,Teams!$G$18,0)</f>
        <v>2000</v>
      </c>
      <c r="BC118" s="22">
        <f>IF(BC$4&gt;=Teams!$G$80,Teams!$G$18,0)</f>
        <v>2000</v>
      </c>
      <c r="BD118" s="22">
        <f>IF(BD$4&gt;=Teams!$G$80,Teams!$G$18,0)</f>
        <v>2000</v>
      </c>
      <c r="BE118" s="22">
        <f>IF(BE$4&gt;=Teams!$G$80,Teams!$G$18,0)</f>
        <v>2000</v>
      </c>
      <c r="BF118" s="22">
        <f>IF(BF$4&gt;=Teams!$G$80,Teams!$G$18,0)</f>
        <v>2000</v>
      </c>
      <c r="BG118" s="22">
        <f>IF(BG$4&gt;=Teams!$G$80,Teams!$G$18,0)</f>
        <v>2000</v>
      </c>
      <c r="BH118" s="22">
        <f>IF(BH$4&gt;=Teams!$G$80,Teams!$G$18,0)</f>
        <v>2000</v>
      </c>
      <c r="BI118" s="22">
        <f>IF(BI$4&gt;=Teams!$G$80,Teams!$G$18,0)</f>
        <v>2000</v>
      </c>
      <c r="BJ118" s="22">
        <f>IF(BJ$4&gt;=Teams!$G$80,Teams!$G$18,0)</f>
        <v>2000</v>
      </c>
      <c r="BK118" s="22">
        <f>IF(BK$4&gt;=Teams!$G$80,Teams!$G$18,0)</f>
        <v>2000</v>
      </c>
      <c r="BL118" s="22">
        <f>IF(BL$4&gt;=Teams!$G$80,Teams!$G$18,0)</f>
        <v>2000</v>
      </c>
    </row>
    <row r="119" spans="1:64" x14ac:dyDescent="0.3">
      <c r="A119" s="8" t="s">
        <v>1011</v>
      </c>
      <c r="C119" s="22">
        <f>SUMPRODUCT(E119:BL119,E$5:BL$5)</f>
        <v>40200</v>
      </c>
      <c r="E119" s="22">
        <f>E118*Teams!$G$19*E117</f>
        <v>88.888888888888886</v>
      </c>
      <c r="F119" s="22">
        <f>F118*Teams!$G$19*F117</f>
        <v>311.11111111111109</v>
      </c>
      <c r="G119" s="22">
        <f>G118*Teams!$G$19*G117</f>
        <v>600</v>
      </c>
      <c r="H119" s="22">
        <f>H118*Teams!$G$19*H117</f>
        <v>888.8888888888888</v>
      </c>
      <c r="I119" s="22">
        <f>I118*Teams!$G$19*I117</f>
        <v>1111.1111111111113</v>
      </c>
      <c r="J119" s="22">
        <f>J118*Teams!$G$19*J117</f>
        <v>1200</v>
      </c>
      <c r="K119" s="22">
        <f>K118*Teams!$G$19*K117</f>
        <v>1200</v>
      </c>
      <c r="L119" s="22">
        <f>L118*Teams!$G$19*L117</f>
        <v>1200</v>
      </c>
      <c r="M119" s="22">
        <f>M118*Teams!$G$19*M117</f>
        <v>1200</v>
      </c>
      <c r="N119" s="22">
        <f>N118*Teams!$G$19*N117</f>
        <v>1200</v>
      </c>
      <c r="O119" s="22">
        <f>O118*Teams!$G$19*O117</f>
        <v>1200</v>
      </c>
      <c r="P119" s="22">
        <f>P118*Teams!$G$19*P117</f>
        <v>1200</v>
      </c>
      <c r="Q119" s="22">
        <f>Q118*Teams!$G$19*Q117</f>
        <v>1200</v>
      </c>
      <c r="R119" s="22">
        <f>R118*Teams!$G$19*R117</f>
        <v>1200</v>
      </c>
      <c r="S119" s="22">
        <f>S118*Teams!$G$19*S117</f>
        <v>1200</v>
      </c>
      <c r="T119" s="22">
        <f>T118*Teams!$G$19*T117</f>
        <v>1200</v>
      </c>
      <c r="U119" s="22">
        <f>U118*Teams!$G$19*U117</f>
        <v>1200</v>
      </c>
      <c r="V119" s="22">
        <f>V118*Teams!$G$19*V117</f>
        <v>1200</v>
      </c>
      <c r="W119" s="22">
        <f>W118*Teams!$G$19*W117</f>
        <v>1200</v>
      </c>
      <c r="X119" s="22">
        <f>X118*Teams!$G$19*X117</f>
        <v>1200</v>
      </c>
      <c r="Y119" s="22">
        <f>Y118*Teams!$G$19*Y117</f>
        <v>1200</v>
      </c>
      <c r="Z119" s="22">
        <f>Z118*Teams!$G$19*Z117</f>
        <v>1200</v>
      </c>
      <c r="AA119" s="22">
        <f>AA118*Teams!$G$19*AA117</f>
        <v>1200</v>
      </c>
      <c r="AB119" s="22">
        <f>AB118*Teams!$G$19*AB117</f>
        <v>1200</v>
      </c>
      <c r="AC119" s="22">
        <f>AC118*Teams!$G$19*AC117</f>
        <v>1200</v>
      </c>
      <c r="AD119" s="22">
        <f>AD118*Teams!$G$19*AD117</f>
        <v>1200</v>
      </c>
      <c r="AE119" s="22">
        <f>AE118*Teams!$G$19*AE117</f>
        <v>1200</v>
      </c>
      <c r="AF119" s="22">
        <f>AF118*Teams!$G$19*AF117</f>
        <v>1200</v>
      </c>
      <c r="AG119" s="22">
        <f>AG118*Teams!$G$19*AG117</f>
        <v>1200</v>
      </c>
      <c r="AH119" s="22">
        <f>AH118*Teams!$G$19*AH117</f>
        <v>1200</v>
      </c>
      <c r="AI119" s="22">
        <f>AI118*Teams!$G$19*AI117</f>
        <v>1200</v>
      </c>
      <c r="AJ119" s="22">
        <f>AJ118*Teams!$G$19*AJ117</f>
        <v>1200</v>
      </c>
      <c r="AK119" s="22">
        <f>AK118*Teams!$G$19*AK117</f>
        <v>1200</v>
      </c>
      <c r="AL119" s="22">
        <f>AL118*Teams!$G$19*AL117</f>
        <v>1200</v>
      </c>
      <c r="AM119" s="22">
        <f>AM118*Teams!$G$19*AM117</f>
        <v>1200</v>
      </c>
      <c r="AN119" s="22">
        <f>AN118*Teams!$G$19*AN117</f>
        <v>1200</v>
      </c>
      <c r="AO119" s="22">
        <f>AO118*Teams!$G$19*AO117</f>
        <v>1200</v>
      </c>
      <c r="AP119" s="22">
        <f>AP118*Teams!$G$19*AP117</f>
        <v>1200</v>
      </c>
      <c r="AQ119" s="22">
        <f>AQ118*Teams!$G$19*AQ117</f>
        <v>1200</v>
      </c>
      <c r="AR119" s="22">
        <f>AR118*Teams!$G$19*AR117</f>
        <v>1200</v>
      </c>
      <c r="AS119" s="22">
        <f>AS118*Teams!$G$19*AS117</f>
        <v>1200</v>
      </c>
      <c r="AT119" s="22">
        <f>AT118*Teams!$G$19*AT117</f>
        <v>1200</v>
      </c>
      <c r="AU119" s="22">
        <f>AU118*Teams!$G$19*AU117</f>
        <v>1200</v>
      </c>
      <c r="AV119" s="22">
        <f>AV118*Teams!$G$19*AV117</f>
        <v>1200</v>
      </c>
      <c r="AW119" s="22">
        <f>AW118*Teams!$G$19*AW117</f>
        <v>1200</v>
      </c>
      <c r="AX119" s="22">
        <f>AX118*Teams!$G$19*AX117</f>
        <v>1200</v>
      </c>
      <c r="AY119" s="22">
        <f>AY118*Teams!$G$19*AY117</f>
        <v>1200</v>
      </c>
      <c r="AZ119" s="22">
        <f>AZ118*Teams!$G$19*AZ117</f>
        <v>1200</v>
      </c>
      <c r="BA119" s="22">
        <f>BA118*Teams!$G$19*BA117</f>
        <v>1200</v>
      </c>
      <c r="BB119" s="22">
        <f>BB118*Teams!$G$19*BB117</f>
        <v>1200</v>
      </c>
      <c r="BC119" s="22">
        <f>BC118*Teams!$G$19*BC117</f>
        <v>1200</v>
      </c>
      <c r="BD119" s="22">
        <f>BD118*Teams!$G$19*BD117</f>
        <v>1200</v>
      </c>
      <c r="BE119" s="22">
        <f>BE118*Teams!$G$19*BE117</f>
        <v>1200</v>
      </c>
      <c r="BF119" s="22">
        <f>BF118*Teams!$G$19*BF117</f>
        <v>1200</v>
      </c>
      <c r="BG119" s="22">
        <f>BG118*Teams!$G$19*BG117</f>
        <v>1200</v>
      </c>
      <c r="BH119" s="22">
        <f>BH118*Teams!$G$19*BH117</f>
        <v>1200</v>
      </c>
      <c r="BI119" s="22">
        <f>BI118*Teams!$G$19*BI117</f>
        <v>1200</v>
      </c>
      <c r="BJ119" s="22">
        <f>BJ118*Teams!$G$19*BJ117</f>
        <v>1200</v>
      </c>
      <c r="BK119" s="22">
        <f>BK118*Teams!$G$19*BK117</f>
        <v>1200</v>
      </c>
      <c r="BL119" s="22">
        <f>BL118*Teams!$G$19*BL117</f>
        <v>1200</v>
      </c>
    </row>
    <row r="120" spans="1:64" x14ac:dyDescent="0.3">
      <c r="A120" s="8" t="s">
        <v>28</v>
      </c>
      <c r="C120" s="22">
        <f>SUMPRODUCT(E120:BL120,E$5:BL$5)</f>
        <v>2412000</v>
      </c>
      <c r="E120" s="22">
        <f>IF(Teams!$G$23="per user",E119*Teams!$G$24,Teams!$G$25*E117)</f>
        <v>5333.333333333333</v>
      </c>
      <c r="F120" s="22">
        <f>IF(Teams!$G$23="per user",F119*Teams!$G$24,Teams!$G$25*F117)</f>
        <v>18666.666666666664</v>
      </c>
      <c r="G120" s="22">
        <f>IF(Teams!$G$23="per user",G119*Teams!$G$24,Teams!$G$25*G117)</f>
        <v>36000</v>
      </c>
      <c r="H120" s="22">
        <f>IF(Teams!$G$23="per user",H119*Teams!$G$24,Teams!$G$25*H117)</f>
        <v>53333.333333333328</v>
      </c>
      <c r="I120" s="22">
        <f>IF(Teams!$G$23="per user",I119*Teams!$G$24,Teams!$G$25*I117)</f>
        <v>66666.666666666686</v>
      </c>
      <c r="J120" s="22">
        <f>IF(Teams!$G$23="per user",J119*Teams!$G$24,Teams!$G$25*J117)</f>
        <v>72000</v>
      </c>
      <c r="K120" s="22">
        <f>IF(Teams!$G$23="per user",K119*Teams!$G$24,Teams!$G$25*K117)</f>
        <v>72000</v>
      </c>
      <c r="L120" s="22">
        <f>IF(Teams!$G$23="per user",L119*Teams!$G$24,Teams!$G$25*L117)</f>
        <v>72000</v>
      </c>
      <c r="M120" s="22">
        <f>IF(Teams!$G$23="per user",M119*Teams!$G$24,Teams!$G$25*M117)</f>
        <v>72000</v>
      </c>
      <c r="N120" s="22">
        <f>IF(Teams!$G$23="per user",N119*Teams!$G$24,Teams!$G$25*N117)</f>
        <v>72000</v>
      </c>
      <c r="O120" s="22">
        <f>IF(Teams!$G$23="per user",O119*Teams!$G$24,Teams!$G$25*O117)</f>
        <v>72000</v>
      </c>
      <c r="P120" s="22">
        <f>IF(Teams!$G$23="per user",P119*Teams!$G$24,Teams!$G$25*P117)</f>
        <v>72000</v>
      </c>
      <c r="Q120" s="22">
        <f>IF(Teams!$G$23="per user",Q119*Teams!$G$24,Teams!$G$25*Q117)</f>
        <v>72000</v>
      </c>
      <c r="R120" s="22">
        <f>IF(Teams!$G$23="per user",R119*Teams!$G$24,Teams!$G$25*R117)</f>
        <v>72000</v>
      </c>
      <c r="S120" s="22">
        <f>IF(Teams!$G$23="per user",S119*Teams!$G$24,Teams!$G$25*S117)</f>
        <v>72000</v>
      </c>
      <c r="T120" s="22">
        <f>IF(Teams!$G$23="per user",T119*Teams!$G$24,Teams!$G$25*T117)</f>
        <v>72000</v>
      </c>
      <c r="U120" s="22">
        <f>IF(Teams!$G$23="per user",U119*Teams!$G$24,Teams!$G$25*U117)</f>
        <v>72000</v>
      </c>
      <c r="V120" s="22">
        <f>IF(Teams!$G$23="per user",V119*Teams!$G$24,Teams!$G$25*V117)</f>
        <v>72000</v>
      </c>
      <c r="W120" s="22">
        <f>IF(Teams!$G$23="per user",W119*Teams!$G$24,Teams!$G$25*W117)</f>
        <v>72000</v>
      </c>
      <c r="X120" s="22">
        <f>IF(Teams!$G$23="per user",X119*Teams!$G$24,Teams!$G$25*X117)</f>
        <v>72000</v>
      </c>
      <c r="Y120" s="22">
        <f>IF(Teams!$G$23="per user",Y119*Teams!$G$24,Teams!$G$25*Y117)</f>
        <v>72000</v>
      </c>
      <c r="Z120" s="22">
        <f>IF(Teams!$G$23="per user",Z119*Teams!$G$24,Teams!$G$25*Z117)</f>
        <v>72000</v>
      </c>
      <c r="AA120" s="22">
        <f>IF(Teams!$G$23="per user",AA119*Teams!$G$24,Teams!$G$25*AA117)</f>
        <v>72000</v>
      </c>
      <c r="AB120" s="22">
        <f>IF(Teams!$G$23="per user",AB119*Teams!$G$24,Teams!$G$25*AB117)</f>
        <v>72000</v>
      </c>
      <c r="AC120" s="22">
        <f>IF(Teams!$G$23="per user",AC119*Teams!$G$24,Teams!$G$25*AC117)</f>
        <v>72000</v>
      </c>
      <c r="AD120" s="22">
        <f>IF(Teams!$G$23="per user",AD119*Teams!$G$24,Teams!$G$25*AD117)</f>
        <v>72000</v>
      </c>
      <c r="AE120" s="22">
        <f>IF(Teams!$G$23="per user",AE119*Teams!$G$24,Teams!$G$25*AE117)</f>
        <v>72000</v>
      </c>
      <c r="AF120" s="22">
        <f>IF(Teams!$G$23="per user",AF119*Teams!$G$24,Teams!$G$25*AF117)</f>
        <v>72000</v>
      </c>
      <c r="AG120" s="22">
        <f>IF(Teams!$G$23="per user",AG119*Teams!$G$24,Teams!$G$25*AG117)</f>
        <v>72000</v>
      </c>
      <c r="AH120" s="22">
        <f>IF(Teams!$G$23="per user",AH119*Teams!$G$24,Teams!$G$25*AH117)</f>
        <v>72000</v>
      </c>
      <c r="AI120" s="22">
        <f>IF(Teams!$G$23="per user",AI119*Teams!$G$24,Teams!$G$25*AI117)</f>
        <v>72000</v>
      </c>
      <c r="AJ120" s="22">
        <f>IF(Teams!$G$23="per user",AJ119*Teams!$G$24,Teams!$G$25*AJ117)</f>
        <v>72000</v>
      </c>
      <c r="AK120" s="22">
        <f>IF(Teams!$G$23="per user",AK119*Teams!$G$24,Teams!$G$25*AK117)</f>
        <v>72000</v>
      </c>
      <c r="AL120" s="22">
        <f>IF(Teams!$G$23="per user",AL119*Teams!$G$24,Teams!$G$25*AL117)</f>
        <v>72000</v>
      </c>
      <c r="AM120" s="22">
        <f>IF(Teams!$G$23="per user",AM119*Teams!$G$24,Teams!$G$25*AM117)</f>
        <v>72000</v>
      </c>
      <c r="AN120" s="22">
        <f>IF(Teams!$G$23="per user",AN119*Teams!$G$24,Teams!$G$25*AN117)</f>
        <v>72000</v>
      </c>
      <c r="AO120" s="22">
        <f>IF(Teams!$G$23="per user",AO119*Teams!$G$24,Teams!$G$25*AO117)</f>
        <v>72000</v>
      </c>
      <c r="AP120" s="22">
        <f>IF(Teams!$G$23="per user",AP119*Teams!$G$24,Teams!$G$25*AP117)</f>
        <v>72000</v>
      </c>
      <c r="AQ120" s="22">
        <f>IF(Teams!$G$23="per user",AQ119*Teams!$G$24,Teams!$G$25*AQ117)</f>
        <v>72000</v>
      </c>
      <c r="AR120" s="22">
        <f>IF(Teams!$G$23="per user",AR119*Teams!$G$24,Teams!$G$25*AR117)</f>
        <v>72000</v>
      </c>
      <c r="AS120" s="22">
        <f>IF(Teams!$G$23="per user",AS119*Teams!$G$24,Teams!$G$25*AS117)</f>
        <v>72000</v>
      </c>
      <c r="AT120" s="22">
        <f>IF(Teams!$G$23="per user",AT119*Teams!$G$24,Teams!$G$25*AT117)</f>
        <v>72000</v>
      </c>
      <c r="AU120" s="22">
        <f>IF(Teams!$G$23="per user",AU119*Teams!$G$24,Teams!$G$25*AU117)</f>
        <v>72000</v>
      </c>
      <c r="AV120" s="22">
        <f>IF(Teams!$G$23="per user",AV119*Teams!$G$24,Teams!$G$25*AV117)</f>
        <v>72000</v>
      </c>
      <c r="AW120" s="22">
        <f>IF(Teams!$G$23="per user",AW119*Teams!$G$24,Teams!$G$25*AW117)</f>
        <v>72000</v>
      </c>
      <c r="AX120" s="22">
        <f>IF(Teams!$G$23="per user",AX119*Teams!$G$24,Teams!$G$25*AX117)</f>
        <v>72000</v>
      </c>
      <c r="AY120" s="22">
        <f>IF(Teams!$G$23="per user",AY119*Teams!$G$24,Teams!$G$25*AY117)</f>
        <v>72000</v>
      </c>
      <c r="AZ120" s="22">
        <f>IF(Teams!$G$23="per user",AZ119*Teams!$G$24,Teams!$G$25*AZ117)</f>
        <v>72000</v>
      </c>
      <c r="BA120" s="22">
        <f>IF(Teams!$G$23="per user",BA119*Teams!$G$24,Teams!$G$25*BA117)</f>
        <v>72000</v>
      </c>
      <c r="BB120" s="22">
        <f>IF(Teams!$G$23="per user",BB119*Teams!$G$24,Teams!$G$25*BB117)</f>
        <v>72000</v>
      </c>
      <c r="BC120" s="22">
        <f>IF(Teams!$G$23="per user",BC119*Teams!$G$24,Teams!$G$25*BC117)</f>
        <v>72000</v>
      </c>
      <c r="BD120" s="22">
        <f>IF(Teams!$G$23="per user",BD119*Teams!$G$24,Teams!$G$25*BD117)</f>
        <v>72000</v>
      </c>
      <c r="BE120" s="22">
        <f>IF(Teams!$G$23="per user",BE119*Teams!$G$24,Teams!$G$25*BE117)</f>
        <v>72000</v>
      </c>
      <c r="BF120" s="22">
        <f>IF(Teams!$G$23="per user",BF119*Teams!$G$24,Teams!$G$25*BF117)</f>
        <v>72000</v>
      </c>
      <c r="BG120" s="22">
        <f>IF(Teams!$G$23="per user",BG119*Teams!$G$24,Teams!$G$25*BG117)</f>
        <v>72000</v>
      </c>
      <c r="BH120" s="22">
        <f>IF(Teams!$G$23="per user",BH119*Teams!$G$24,Teams!$G$25*BH117)</f>
        <v>72000</v>
      </c>
      <c r="BI120" s="22">
        <f>IF(Teams!$G$23="per user",BI119*Teams!$G$24,Teams!$G$25*BI117)</f>
        <v>72000</v>
      </c>
      <c r="BJ120" s="22">
        <f>IF(Teams!$G$23="per user",BJ119*Teams!$G$24,Teams!$G$25*BJ117)</f>
        <v>72000</v>
      </c>
      <c r="BK120" s="22">
        <f>IF(Teams!$G$23="per user",BK119*Teams!$G$24,Teams!$G$25*BK117)</f>
        <v>72000</v>
      </c>
      <c r="BL120" s="22">
        <f>IF(Teams!$G$23="per user",BL119*Teams!$G$24,Teams!$G$25*BL117)</f>
        <v>72000</v>
      </c>
    </row>
    <row r="121" spans="1:64" x14ac:dyDescent="0.3">
      <c r="A121" s="8" t="s">
        <v>665</v>
      </c>
      <c r="B121" s="18" t="s">
        <v>435</v>
      </c>
      <c r="C121" s="44">
        <f t="shared" ref="C121:C139" si="38">SUM(D121:BL121)</f>
        <v>2016000</v>
      </c>
      <c r="E121" s="44">
        <f>E$5*Teams!$G$60*E118*Teams!$G$66</f>
        <v>56000</v>
      </c>
      <c r="F121" s="44">
        <f>F$5*Teams!$G$60*F118*Teams!$G$66</f>
        <v>56000</v>
      </c>
      <c r="G121" s="44">
        <f>G$5*Teams!$G$60*G118*Teams!$G$66</f>
        <v>56000</v>
      </c>
      <c r="H121" s="44">
        <f>H$5*Teams!$G$60*H118*Teams!$G$66</f>
        <v>56000</v>
      </c>
      <c r="I121" s="44">
        <f>I$5*Teams!$G$60*I118*Teams!$G$66</f>
        <v>56000</v>
      </c>
      <c r="J121" s="44">
        <f>J$5*Teams!$G$60*J118*Teams!$G$66</f>
        <v>56000</v>
      </c>
      <c r="K121" s="44">
        <f>K$5*Teams!$G$60*K118*Teams!$G$66</f>
        <v>56000</v>
      </c>
      <c r="L121" s="44">
        <f>L$5*Teams!$G$60*L118*Teams!$G$66</f>
        <v>56000</v>
      </c>
      <c r="M121" s="44">
        <f>M$5*Teams!$G$60*M118*Teams!$G$66</f>
        <v>56000</v>
      </c>
      <c r="N121" s="44">
        <f>N$5*Teams!$G$60*N118*Teams!$G$66</f>
        <v>56000</v>
      </c>
      <c r="O121" s="44">
        <f>O$5*Teams!$G$60*O118*Teams!$G$66</f>
        <v>56000</v>
      </c>
      <c r="P121" s="44">
        <f>P$5*Teams!$G$60*P118*Teams!$G$66</f>
        <v>56000</v>
      </c>
      <c r="Q121" s="44">
        <f>Q$5*Teams!$G$60*Q118*Teams!$G$66</f>
        <v>56000</v>
      </c>
      <c r="R121" s="44">
        <f>R$5*Teams!$G$60*R118*Teams!$G$66</f>
        <v>56000</v>
      </c>
      <c r="S121" s="44">
        <f>S$5*Teams!$G$60*S118*Teams!$G$66</f>
        <v>56000</v>
      </c>
      <c r="T121" s="44">
        <f>T$5*Teams!$G$60*T118*Teams!$G$66</f>
        <v>56000</v>
      </c>
      <c r="U121" s="44">
        <f>U$5*Teams!$G$60*U118*Teams!$G$66</f>
        <v>56000</v>
      </c>
      <c r="V121" s="44">
        <f>V$5*Teams!$G$60*V118*Teams!$G$66</f>
        <v>56000</v>
      </c>
      <c r="W121" s="44">
        <f>W$5*Teams!$G$60*W118*Teams!$G$66</f>
        <v>56000</v>
      </c>
      <c r="X121" s="44">
        <f>X$5*Teams!$G$60*X118*Teams!$G$66</f>
        <v>56000</v>
      </c>
      <c r="Y121" s="44">
        <f>Y$5*Teams!$G$60*Y118*Teams!$G$66</f>
        <v>56000</v>
      </c>
      <c r="Z121" s="44">
        <f>Z$5*Teams!$G$60*Z118*Teams!$G$66</f>
        <v>56000</v>
      </c>
      <c r="AA121" s="44">
        <f>AA$5*Teams!$G$60*AA118*Teams!$G$66</f>
        <v>56000</v>
      </c>
      <c r="AB121" s="44">
        <f>AB$5*Teams!$G$60*AB118*Teams!$G$66</f>
        <v>56000</v>
      </c>
      <c r="AC121" s="44">
        <f>AC$5*Teams!$G$60*AC118*Teams!$G$66</f>
        <v>56000</v>
      </c>
      <c r="AD121" s="44">
        <f>AD$5*Teams!$G$60*AD118*Teams!$G$66</f>
        <v>56000</v>
      </c>
      <c r="AE121" s="44">
        <f>AE$5*Teams!$G$60*AE118*Teams!$G$66</f>
        <v>56000</v>
      </c>
      <c r="AF121" s="44">
        <f>AF$5*Teams!$G$60*AF118*Teams!$G$66</f>
        <v>56000</v>
      </c>
      <c r="AG121" s="44">
        <f>AG$5*Teams!$G$60*AG118*Teams!$G$66</f>
        <v>56000</v>
      </c>
      <c r="AH121" s="44">
        <f>AH$5*Teams!$G$60*AH118*Teams!$G$66</f>
        <v>56000</v>
      </c>
      <c r="AI121" s="44">
        <f>AI$5*Teams!$G$60*AI118*Teams!$G$66</f>
        <v>56000</v>
      </c>
      <c r="AJ121" s="44">
        <f>AJ$5*Teams!$G$60*AJ118*Teams!$G$66</f>
        <v>56000</v>
      </c>
      <c r="AK121" s="44">
        <f>AK$5*Teams!$G$60*AK118*Teams!$G$66</f>
        <v>56000</v>
      </c>
      <c r="AL121" s="44">
        <f>AL$5*Teams!$G$60*AL118*Teams!$G$66</f>
        <v>56000</v>
      </c>
      <c r="AM121" s="44">
        <f>AM$5*Teams!$G$60*AM118*Teams!$G$66</f>
        <v>56000</v>
      </c>
      <c r="AN121" s="44">
        <f>AN$5*Teams!$G$60*AN118*Teams!$G$66</f>
        <v>56000</v>
      </c>
      <c r="AO121" s="44">
        <f>AO$5*Teams!$G$60*AO118*Teams!$G$66</f>
        <v>0</v>
      </c>
      <c r="AP121" s="44">
        <f>AP$5*Teams!$G$60*AP118*Teams!$G$66</f>
        <v>0</v>
      </c>
      <c r="AQ121" s="44">
        <f>AQ$5*Teams!$G$60*AQ118*Teams!$G$66</f>
        <v>0</v>
      </c>
      <c r="AR121" s="44">
        <f>AR$5*Teams!$G$60*AR118*Teams!$G$66</f>
        <v>0</v>
      </c>
      <c r="AS121" s="44">
        <f>AS$5*Teams!$G$60*AS118*Teams!$G$66</f>
        <v>0</v>
      </c>
      <c r="AT121" s="44">
        <f>AT$5*Teams!$G$60*AT118*Teams!$G$66</f>
        <v>0</v>
      </c>
      <c r="AU121" s="44">
        <f>AU$5*Teams!$G$60*AU118*Teams!$G$66</f>
        <v>0</v>
      </c>
      <c r="AV121" s="44">
        <f>AV$5*Teams!$G$60*AV118*Teams!$G$66</f>
        <v>0</v>
      </c>
      <c r="AW121" s="44">
        <f>AW$5*Teams!$G$60*AW118*Teams!$G$66</f>
        <v>0</v>
      </c>
      <c r="AX121" s="44">
        <f>AX$5*Teams!$G$60*AX118*Teams!$G$66</f>
        <v>0</v>
      </c>
      <c r="AY121" s="44">
        <f>AY$5*Teams!$G$60*AY118*Teams!$G$66</f>
        <v>0</v>
      </c>
      <c r="AZ121" s="44">
        <f>AZ$5*Teams!$G$60*AZ118*Teams!$G$66</f>
        <v>0</v>
      </c>
      <c r="BA121" s="44">
        <f>BA$5*Teams!$G$60*BA118*Teams!$G$66</f>
        <v>0</v>
      </c>
      <c r="BB121" s="44">
        <f>BB$5*Teams!$G$60*BB118*Teams!$G$66</f>
        <v>0</v>
      </c>
      <c r="BC121" s="44">
        <f>BC$5*Teams!$G$60*BC118*Teams!$G$66</f>
        <v>0</v>
      </c>
      <c r="BD121" s="44">
        <f>BD$5*Teams!$G$60*BD118*Teams!$G$66</f>
        <v>0</v>
      </c>
      <c r="BE121" s="44">
        <f>BE$5*Teams!$G$60*BE118*Teams!$G$66</f>
        <v>0</v>
      </c>
      <c r="BF121" s="44">
        <f>BF$5*Teams!$G$60*BF118*Teams!$G$66</f>
        <v>0</v>
      </c>
      <c r="BG121" s="44">
        <f>BG$5*Teams!$G$60*BG118*Teams!$G$66</f>
        <v>0</v>
      </c>
      <c r="BH121" s="44">
        <f>BH$5*Teams!$G$60*BH118*Teams!$G$66</f>
        <v>0</v>
      </c>
      <c r="BI121" s="44">
        <f>BI$5*Teams!$G$60*BI118*Teams!$G$66</f>
        <v>0</v>
      </c>
      <c r="BJ121" s="44">
        <f>BJ$5*Teams!$G$60*BJ118*Teams!$G$66</f>
        <v>0</v>
      </c>
      <c r="BK121" s="44">
        <f>BK$5*Teams!$G$60*BK118*Teams!$G$66</f>
        <v>0</v>
      </c>
      <c r="BL121" s="44">
        <f>BL$5*Teams!$G$60*BL118*Teams!$G$66</f>
        <v>0</v>
      </c>
    </row>
    <row r="122" spans="1:64" x14ac:dyDescent="0.3">
      <c r="A122" s="8" t="s">
        <v>666</v>
      </c>
      <c r="B122" s="18" t="s">
        <v>435</v>
      </c>
      <c r="C122" s="44">
        <f t="shared" si="38"/>
        <v>0</v>
      </c>
      <c r="E122" s="44">
        <f>E$5*IF(Teams!$G$61=1,E119*((1-Teams!$G$13)*MAX(0,Teams!$G$72*$C$116-Teams!$G$12)+Teams!$G$13*MAX(0,Teams!$G$73*$C$116-Teams!$G$12)),IF(Teams!$G$62=1,E120*$C$116,0))</f>
        <v>0</v>
      </c>
      <c r="F122" s="44">
        <f>F$5*IF(Teams!$G$61=1,F119*((1-Teams!$G$13)*MAX(0,Teams!$G$72*$C$116-Teams!$G$12)+Teams!$G$13*MAX(0,Teams!$G$73*$C$116-Teams!$G$12)),IF(Teams!$G$62=1,F120*$C$116,0))</f>
        <v>0</v>
      </c>
      <c r="G122" s="44">
        <f>G$5*IF(Teams!$G$61=1,G119*((1-Teams!$G$13)*MAX(0,Teams!$G$72*$C$116-Teams!$G$12)+Teams!$G$13*MAX(0,Teams!$G$73*$C$116-Teams!$G$12)),IF(Teams!$G$62=1,G120*$C$116,0))</f>
        <v>0</v>
      </c>
      <c r="H122" s="44">
        <f>H$5*IF(Teams!$G$61=1,H119*((1-Teams!$G$13)*MAX(0,Teams!$G$72*$C$116-Teams!$G$12)+Teams!$G$13*MAX(0,Teams!$G$73*$C$116-Teams!$G$12)),IF(Teams!$G$62=1,H120*$C$116,0))</f>
        <v>0</v>
      </c>
      <c r="I122" s="44">
        <f>I$5*IF(Teams!$G$61=1,I119*((1-Teams!$G$13)*MAX(0,Teams!$G$72*$C$116-Teams!$G$12)+Teams!$G$13*MAX(0,Teams!$G$73*$C$116-Teams!$G$12)),IF(Teams!$G$62=1,I120*$C$116,0))</f>
        <v>0</v>
      </c>
      <c r="J122" s="44">
        <f>J$5*IF(Teams!$G$61=1,J119*((1-Teams!$G$13)*MAX(0,Teams!$G$72*$C$116-Teams!$G$12)+Teams!$G$13*MAX(0,Teams!$G$73*$C$116-Teams!$G$12)),IF(Teams!$G$62=1,J120*$C$116,0))</f>
        <v>0</v>
      </c>
      <c r="K122" s="44">
        <f>K$5*IF(Teams!$G$61=1,K119*((1-Teams!$G$13)*MAX(0,Teams!$G$72*$C$116-Teams!$G$12)+Teams!$G$13*MAX(0,Teams!$G$73*$C$116-Teams!$G$12)),IF(Teams!$G$62=1,K120*$C$116,0))</f>
        <v>0</v>
      </c>
      <c r="L122" s="44">
        <f>L$5*IF(Teams!$G$61=1,L119*((1-Teams!$G$13)*MAX(0,Teams!$G$72*$C$116-Teams!$G$12)+Teams!$G$13*MAX(0,Teams!$G$73*$C$116-Teams!$G$12)),IF(Teams!$G$62=1,L120*$C$116,0))</f>
        <v>0</v>
      </c>
      <c r="M122" s="44">
        <f>M$5*IF(Teams!$G$61=1,M119*((1-Teams!$G$13)*MAX(0,Teams!$G$72*$C$116-Teams!$G$12)+Teams!$G$13*MAX(0,Teams!$G$73*$C$116-Teams!$G$12)),IF(Teams!$G$62=1,M120*$C$116,0))</f>
        <v>0</v>
      </c>
      <c r="N122" s="44">
        <f>N$5*IF(Teams!$G$61=1,N119*((1-Teams!$G$13)*MAX(0,Teams!$G$72*$C$116-Teams!$G$12)+Teams!$G$13*MAX(0,Teams!$G$73*$C$116-Teams!$G$12)),IF(Teams!$G$62=1,N120*$C$116,0))</f>
        <v>0</v>
      </c>
      <c r="O122" s="44">
        <f>O$5*IF(Teams!$G$61=1,O119*((1-Teams!$G$13)*MAX(0,Teams!$G$72*$C$116-Teams!$G$12)+Teams!$G$13*MAX(0,Teams!$G$73*$C$116-Teams!$G$12)),IF(Teams!$G$62=1,O120*$C$116,0))</f>
        <v>0</v>
      </c>
      <c r="P122" s="44">
        <f>P$5*IF(Teams!$G$61=1,P119*((1-Teams!$G$13)*MAX(0,Teams!$G$72*$C$116-Teams!$G$12)+Teams!$G$13*MAX(0,Teams!$G$73*$C$116-Teams!$G$12)),IF(Teams!$G$62=1,P120*$C$116,0))</f>
        <v>0</v>
      </c>
      <c r="Q122" s="44">
        <f>Q$5*IF(Teams!$G$61=1,Q119*((1-Teams!$G$13)*MAX(0,Teams!$G$72*$C$116-Teams!$G$12)+Teams!$G$13*MAX(0,Teams!$G$73*$C$116-Teams!$G$12)),IF(Teams!$G$62=1,Q120*$C$116,0))</f>
        <v>0</v>
      </c>
      <c r="R122" s="44">
        <f>R$5*IF(Teams!$G$61=1,R119*((1-Teams!$G$13)*MAX(0,Teams!$G$72*$C$116-Teams!$G$12)+Teams!$G$13*MAX(0,Teams!$G$73*$C$116-Teams!$G$12)),IF(Teams!$G$62=1,R120*$C$116,0))</f>
        <v>0</v>
      </c>
      <c r="S122" s="44">
        <f>S$5*IF(Teams!$G$61=1,S119*((1-Teams!$G$13)*MAX(0,Teams!$G$72*$C$116-Teams!$G$12)+Teams!$G$13*MAX(0,Teams!$G$73*$C$116-Teams!$G$12)),IF(Teams!$G$62=1,S120*$C$116,0))</f>
        <v>0</v>
      </c>
      <c r="T122" s="44">
        <f>T$5*IF(Teams!$G$61=1,T119*((1-Teams!$G$13)*MAX(0,Teams!$G$72*$C$116-Teams!$G$12)+Teams!$G$13*MAX(0,Teams!$G$73*$C$116-Teams!$G$12)),IF(Teams!$G$62=1,T120*$C$116,0))</f>
        <v>0</v>
      </c>
      <c r="U122" s="44">
        <f>U$5*IF(Teams!$G$61=1,U119*((1-Teams!$G$13)*MAX(0,Teams!$G$72*$C$116-Teams!$G$12)+Teams!$G$13*MAX(0,Teams!$G$73*$C$116-Teams!$G$12)),IF(Teams!$G$62=1,U120*$C$116,0))</f>
        <v>0</v>
      </c>
      <c r="V122" s="44">
        <f>V$5*IF(Teams!$G$61=1,V119*((1-Teams!$G$13)*MAX(0,Teams!$G$72*$C$116-Teams!$G$12)+Teams!$G$13*MAX(0,Teams!$G$73*$C$116-Teams!$G$12)),IF(Teams!$G$62=1,V120*$C$116,0))</f>
        <v>0</v>
      </c>
      <c r="W122" s="44">
        <f>W$5*IF(Teams!$G$61=1,W119*((1-Teams!$G$13)*MAX(0,Teams!$G$72*$C$116-Teams!$G$12)+Teams!$G$13*MAX(0,Teams!$G$73*$C$116-Teams!$G$12)),IF(Teams!$G$62=1,W120*$C$116,0))</f>
        <v>0</v>
      </c>
      <c r="X122" s="44">
        <f>X$5*IF(Teams!$G$61=1,X119*((1-Teams!$G$13)*MAX(0,Teams!$G$72*$C$116-Teams!$G$12)+Teams!$G$13*MAX(0,Teams!$G$73*$C$116-Teams!$G$12)),IF(Teams!$G$62=1,X120*$C$116,0))</f>
        <v>0</v>
      </c>
      <c r="Y122" s="44">
        <f>Y$5*IF(Teams!$G$61=1,Y119*((1-Teams!$G$13)*MAX(0,Teams!$G$72*$C$116-Teams!$G$12)+Teams!$G$13*MAX(0,Teams!$G$73*$C$116-Teams!$G$12)),IF(Teams!$G$62=1,Y120*$C$116,0))</f>
        <v>0</v>
      </c>
      <c r="Z122" s="44">
        <f>Z$5*IF(Teams!$G$61=1,Z119*((1-Teams!$G$13)*MAX(0,Teams!$G$72*$C$116-Teams!$G$12)+Teams!$G$13*MAX(0,Teams!$G$73*$C$116-Teams!$G$12)),IF(Teams!$G$62=1,Z120*$C$116,0))</f>
        <v>0</v>
      </c>
      <c r="AA122" s="44">
        <f>AA$5*IF(Teams!$G$61=1,AA119*((1-Teams!$G$13)*MAX(0,Teams!$G$72*$C$116-Teams!$G$12)+Teams!$G$13*MAX(0,Teams!$G$73*$C$116-Teams!$G$12)),IF(Teams!$G$62=1,AA120*$C$116,0))</f>
        <v>0</v>
      </c>
      <c r="AB122" s="44">
        <f>AB$5*IF(Teams!$G$61=1,AB119*((1-Teams!$G$13)*MAX(0,Teams!$G$72*$C$116-Teams!$G$12)+Teams!$G$13*MAX(0,Teams!$G$73*$C$116-Teams!$G$12)),IF(Teams!$G$62=1,AB120*$C$116,0))</f>
        <v>0</v>
      </c>
      <c r="AC122" s="44">
        <f>AC$5*IF(Teams!$G$61=1,AC119*((1-Teams!$G$13)*MAX(0,Teams!$G$72*$C$116-Teams!$G$12)+Teams!$G$13*MAX(0,Teams!$G$73*$C$116-Teams!$G$12)),IF(Teams!$G$62=1,AC120*$C$116,0))</f>
        <v>0</v>
      </c>
      <c r="AD122" s="44">
        <f>AD$5*IF(Teams!$G$61=1,AD119*((1-Teams!$G$13)*MAX(0,Teams!$G$72*$C$116-Teams!$G$12)+Teams!$G$13*MAX(0,Teams!$G$73*$C$116-Teams!$G$12)),IF(Teams!$G$62=1,AD120*$C$116,0))</f>
        <v>0</v>
      </c>
      <c r="AE122" s="44">
        <f>AE$5*IF(Teams!$G$61=1,AE119*((1-Teams!$G$13)*MAX(0,Teams!$G$72*$C$116-Teams!$G$12)+Teams!$G$13*MAX(0,Teams!$G$73*$C$116-Teams!$G$12)),IF(Teams!$G$62=1,AE120*$C$116,0))</f>
        <v>0</v>
      </c>
      <c r="AF122" s="44">
        <f>AF$5*IF(Teams!$G$61=1,AF119*((1-Teams!$G$13)*MAX(0,Teams!$G$72*$C$116-Teams!$G$12)+Teams!$G$13*MAX(0,Teams!$G$73*$C$116-Teams!$G$12)),IF(Teams!$G$62=1,AF120*$C$116,0))</f>
        <v>0</v>
      </c>
      <c r="AG122" s="44">
        <f>AG$5*IF(Teams!$G$61=1,AG119*((1-Teams!$G$13)*MAX(0,Teams!$G$72*$C$116-Teams!$G$12)+Teams!$G$13*MAX(0,Teams!$G$73*$C$116-Teams!$G$12)),IF(Teams!$G$62=1,AG120*$C$116,0))</f>
        <v>0</v>
      </c>
      <c r="AH122" s="44">
        <f>AH$5*IF(Teams!$G$61=1,AH119*((1-Teams!$G$13)*MAX(0,Teams!$G$72*$C$116-Teams!$G$12)+Teams!$G$13*MAX(0,Teams!$G$73*$C$116-Teams!$G$12)),IF(Teams!$G$62=1,AH120*$C$116,0))</f>
        <v>0</v>
      </c>
      <c r="AI122" s="44">
        <f>AI$5*IF(Teams!$G$61=1,AI119*((1-Teams!$G$13)*MAX(0,Teams!$G$72*$C$116-Teams!$G$12)+Teams!$G$13*MAX(0,Teams!$G$73*$C$116-Teams!$G$12)),IF(Teams!$G$62=1,AI120*$C$116,0))</f>
        <v>0</v>
      </c>
      <c r="AJ122" s="44">
        <f>AJ$5*IF(Teams!$G$61=1,AJ119*((1-Teams!$G$13)*MAX(0,Teams!$G$72*$C$116-Teams!$G$12)+Teams!$G$13*MAX(0,Teams!$G$73*$C$116-Teams!$G$12)),IF(Teams!$G$62=1,AJ120*$C$116,0))</f>
        <v>0</v>
      </c>
      <c r="AK122" s="44">
        <f>AK$5*IF(Teams!$G$61=1,AK119*((1-Teams!$G$13)*MAX(0,Teams!$G$72*$C$116-Teams!$G$12)+Teams!$G$13*MAX(0,Teams!$G$73*$C$116-Teams!$G$12)),IF(Teams!$G$62=1,AK120*$C$116,0))</f>
        <v>0</v>
      </c>
      <c r="AL122" s="44">
        <f>AL$5*IF(Teams!$G$61=1,AL119*((1-Teams!$G$13)*MAX(0,Teams!$G$72*$C$116-Teams!$G$12)+Teams!$G$13*MAX(0,Teams!$G$73*$C$116-Teams!$G$12)),IF(Teams!$G$62=1,AL120*$C$116,0))</f>
        <v>0</v>
      </c>
      <c r="AM122" s="44">
        <f>AM$5*IF(Teams!$G$61=1,AM119*((1-Teams!$G$13)*MAX(0,Teams!$G$72*$C$116-Teams!$G$12)+Teams!$G$13*MAX(0,Teams!$G$73*$C$116-Teams!$G$12)),IF(Teams!$G$62=1,AM120*$C$116,0))</f>
        <v>0</v>
      </c>
      <c r="AN122" s="44">
        <f>AN$5*IF(Teams!$G$61=1,AN119*((1-Teams!$G$13)*MAX(0,Teams!$G$72*$C$116-Teams!$G$12)+Teams!$G$13*MAX(0,Teams!$G$73*$C$116-Teams!$G$12)),IF(Teams!$G$62=1,AN120*$C$116,0))</f>
        <v>0</v>
      </c>
      <c r="AO122" s="44">
        <f>AO$5*IF(Teams!$G$61=1,AO119*((1-Teams!$G$13)*MAX(0,Teams!$G$72*$C$116-Teams!$G$12)+Teams!$G$13*MAX(0,Teams!$G$73*$C$116-Teams!$G$12)),IF(Teams!$G$62=1,AO120*$C$116,0))</f>
        <v>0</v>
      </c>
      <c r="AP122" s="44">
        <f>AP$5*IF(Teams!$G$61=1,AP119*((1-Teams!$G$13)*MAX(0,Teams!$G$72*$C$116-Teams!$G$12)+Teams!$G$13*MAX(0,Teams!$G$73*$C$116-Teams!$G$12)),IF(Teams!$G$62=1,AP120*$C$116,0))</f>
        <v>0</v>
      </c>
      <c r="AQ122" s="44">
        <f>AQ$5*IF(Teams!$G$61=1,AQ119*((1-Teams!$G$13)*MAX(0,Teams!$G$72*$C$116-Teams!$G$12)+Teams!$G$13*MAX(0,Teams!$G$73*$C$116-Teams!$G$12)),IF(Teams!$G$62=1,AQ120*$C$116,0))</f>
        <v>0</v>
      </c>
      <c r="AR122" s="44">
        <f>AR$5*IF(Teams!$G$61=1,AR119*((1-Teams!$G$13)*MAX(0,Teams!$G$72*$C$116-Teams!$G$12)+Teams!$G$13*MAX(0,Teams!$G$73*$C$116-Teams!$G$12)),IF(Teams!$G$62=1,AR120*$C$116,0))</f>
        <v>0</v>
      </c>
      <c r="AS122" s="44">
        <f>AS$5*IF(Teams!$G$61=1,AS119*((1-Teams!$G$13)*MAX(0,Teams!$G$72*$C$116-Teams!$G$12)+Teams!$G$13*MAX(0,Teams!$G$73*$C$116-Teams!$G$12)),IF(Teams!$G$62=1,AS120*$C$116,0))</f>
        <v>0</v>
      </c>
      <c r="AT122" s="44">
        <f>AT$5*IF(Teams!$G$61=1,AT119*((1-Teams!$G$13)*MAX(0,Teams!$G$72*$C$116-Teams!$G$12)+Teams!$G$13*MAX(0,Teams!$G$73*$C$116-Teams!$G$12)),IF(Teams!$G$62=1,AT120*$C$116,0))</f>
        <v>0</v>
      </c>
      <c r="AU122" s="44">
        <f>AU$5*IF(Teams!$G$61=1,AU119*((1-Teams!$G$13)*MAX(0,Teams!$G$72*$C$116-Teams!$G$12)+Teams!$G$13*MAX(0,Teams!$G$73*$C$116-Teams!$G$12)),IF(Teams!$G$62=1,AU120*$C$116,0))</f>
        <v>0</v>
      </c>
      <c r="AV122" s="44">
        <f>AV$5*IF(Teams!$G$61=1,AV119*((1-Teams!$G$13)*MAX(0,Teams!$G$72*$C$116-Teams!$G$12)+Teams!$G$13*MAX(0,Teams!$G$73*$C$116-Teams!$G$12)),IF(Teams!$G$62=1,AV120*$C$116,0))</f>
        <v>0</v>
      </c>
      <c r="AW122" s="44">
        <f>AW$5*IF(Teams!$G$61=1,AW119*((1-Teams!$G$13)*MAX(0,Teams!$G$72*$C$116-Teams!$G$12)+Teams!$G$13*MAX(0,Teams!$G$73*$C$116-Teams!$G$12)),IF(Teams!$G$62=1,AW120*$C$116,0))</f>
        <v>0</v>
      </c>
      <c r="AX122" s="44">
        <f>AX$5*IF(Teams!$G$61=1,AX119*((1-Teams!$G$13)*MAX(0,Teams!$G$72*$C$116-Teams!$G$12)+Teams!$G$13*MAX(0,Teams!$G$73*$C$116-Teams!$G$12)),IF(Teams!$G$62=1,AX120*$C$116,0))</f>
        <v>0</v>
      </c>
      <c r="AY122" s="44">
        <f>AY$5*IF(Teams!$G$61=1,AY119*((1-Teams!$G$13)*MAX(0,Teams!$G$72*$C$116-Teams!$G$12)+Teams!$G$13*MAX(0,Teams!$G$73*$C$116-Teams!$G$12)),IF(Teams!$G$62=1,AY120*$C$116,0))</f>
        <v>0</v>
      </c>
      <c r="AZ122" s="44">
        <f>AZ$5*IF(Teams!$G$61=1,AZ119*((1-Teams!$G$13)*MAX(0,Teams!$G$72*$C$116-Teams!$G$12)+Teams!$G$13*MAX(0,Teams!$G$73*$C$116-Teams!$G$12)),IF(Teams!$G$62=1,AZ120*$C$116,0))</f>
        <v>0</v>
      </c>
      <c r="BA122" s="44">
        <f>BA$5*IF(Teams!$G$61=1,BA119*((1-Teams!$G$13)*MAX(0,Teams!$G$72*$C$116-Teams!$G$12)+Teams!$G$13*MAX(0,Teams!$G$73*$C$116-Teams!$G$12)),IF(Teams!$G$62=1,BA120*$C$116,0))</f>
        <v>0</v>
      </c>
      <c r="BB122" s="44">
        <f>BB$5*IF(Teams!$G$61=1,BB119*((1-Teams!$G$13)*MAX(0,Teams!$G$72*$C$116-Teams!$G$12)+Teams!$G$13*MAX(0,Teams!$G$73*$C$116-Teams!$G$12)),IF(Teams!$G$62=1,BB120*$C$116,0))</f>
        <v>0</v>
      </c>
      <c r="BC122" s="44">
        <f>BC$5*IF(Teams!$G$61=1,BC119*((1-Teams!$G$13)*MAX(0,Teams!$G$72*$C$116-Teams!$G$12)+Teams!$G$13*MAX(0,Teams!$G$73*$C$116-Teams!$G$12)),IF(Teams!$G$62=1,BC120*$C$116,0))</f>
        <v>0</v>
      </c>
      <c r="BD122" s="44">
        <f>BD$5*IF(Teams!$G$61=1,BD119*((1-Teams!$G$13)*MAX(0,Teams!$G$72*$C$116-Teams!$G$12)+Teams!$G$13*MAX(0,Teams!$G$73*$C$116-Teams!$G$12)),IF(Teams!$G$62=1,BD120*$C$116,0))</f>
        <v>0</v>
      </c>
      <c r="BE122" s="44">
        <f>BE$5*IF(Teams!$G$61=1,BE119*((1-Teams!$G$13)*MAX(0,Teams!$G$72*$C$116-Teams!$G$12)+Teams!$G$13*MAX(0,Teams!$G$73*$C$116-Teams!$G$12)),IF(Teams!$G$62=1,BE120*$C$116,0))</f>
        <v>0</v>
      </c>
      <c r="BF122" s="44">
        <f>BF$5*IF(Teams!$G$61=1,BF119*((1-Teams!$G$13)*MAX(0,Teams!$G$72*$C$116-Teams!$G$12)+Teams!$G$13*MAX(0,Teams!$G$73*$C$116-Teams!$G$12)),IF(Teams!$G$62=1,BF120*$C$116,0))</f>
        <v>0</v>
      </c>
      <c r="BG122" s="44">
        <f>BG$5*IF(Teams!$G$61=1,BG119*((1-Teams!$G$13)*MAX(0,Teams!$G$72*$C$116-Teams!$G$12)+Teams!$G$13*MAX(0,Teams!$G$73*$C$116-Teams!$G$12)),IF(Teams!$G$62=1,BG120*$C$116,0))</f>
        <v>0</v>
      </c>
      <c r="BH122" s="44">
        <f>BH$5*IF(Teams!$G$61=1,BH119*((1-Teams!$G$13)*MAX(0,Teams!$G$72*$C$116-Teams!$G$12)+Teams!$G$13*MAX(0,Teams!$G$73*$C$116-Teams!$G$12)),IF(Teams!$G$62=1,BH120*$C$116,0))</f>
        <v>0</v>
      </c>
      <c r="BI122" s="44">
        <f>BI$5*IF(Teams!$G$61=1,BI119*((1-Teams!$G$13)*MAX(0,Teams!$G$72*$C$116-Teams!$G$12)+Teams!$G$13*MAX(0,Teams!$G$73*$C$116-Teams!$G$12)),IF(Teams!$G$62=1,BI120*$C$116,0))</f>
        <v>0</v>
      </c>
      <c r="BJ122" s="44">
        <f>BJ$5*IF(Teams!$G$61=1,BJ119*((1-Teams!$G$13)*MAX(0,Teams!$G$72*$C$116-Teams!$G$12)+Teams!$G$13*MAX(0,Teams!$G$73*$C$116-Teams!$G$12)),IF(Teams!$G$62=1,BJ120*$C$116,0))</f>
        <v>0</v>
      </c>
      <c r="BK122" s="44">
        <f>BK$5*IF(Teams!$G$61=1,BK119*((1-Teams!$G$13)*MAX(0,Teams!$G$72*$C$116-Teams!$G$12)+Teams!$G$13*MAX(0,Teams!$G$73*$C$116-Teams!$G$12)),IF(Teams!$G$62=1,BK120*$C$116,0))</f>
        <v>0</v>
      </c>
      <c r="BL122" s="44">
        <f>BL$5*IF(Teams!$G$61=1,BL119*((1-Teams!$G$13)*MAX(0,Teams!$G$72*$C$116-Teams!$G$12)+Teams!$G$13*MAX(0,Teams!$G$73*$C$116-Teams!$G$12)),IF(Teams!$G$62=1,BL120*$C$116,0))</f>
        <v>0</v>
      </c>
    </row>
    <row r="123" spans="1:64" x14ac:dyDescent="0.3">
      <c r="A123" s="8" t="s">
        <v>667</v>
      </c>
      <c r="B123" s="18" t="s">
        <v>435</v>
      </c>
      <c r="C123" s="44">
        <f t="shared" si="38"/>
        <v>0</v>
      </c>
      <c r="E123" s="44">
        <f>E$5*Teams!$G$63*E120*Teams!$G$67</f>
        <v>0</v>
      </c>
      <c r="F123" s="44">
        <f>F$5*Teams!$G$63*F120*Teams!$G$67</f>
        <v>0</v>
      </c>
      <c r="G123" s="44">
        <f>G$5*Teams!$G$63*G120*Teams!$G$67</f>
        <v>0</v>
      </c>
      <c r="H123" s="44">
        <f>H$5*Teams!$G$63*H120*Teams!$G$67</f>
        <v>0</v>
      </c>
      <c r="I123" s="44">
        <f>I$5*Teams!$G$63*I120*Teams!$G$67</f>
        <v>0</v>
      </c>
      <c r="J123" s="44">
        <f>J$5*Teams!$G$63*J120*Teams!$G$67</f>
        <v>0</v>
      </c>
      <c r="K123" s="44">
        <f>K$5*Teams!$G$63*K120*Teams!$G$67</f>
        <v>0</v>
      </c>
      <c r="L123" s="44">
        <f>L$5*Teams!$G$63*L120*Teams!$G$67</f>
        <v>0</v>
      </c>
      <c r="M123" s="44">
        <f>M$5*Teams!$G$63*M120*Teams!$G$67</f>
        <v>0</v>
      </c>
      <c r="N123" s="44">
        <f>N$5*Teams!$G$63*N120*Teams!$G$67</f>
        <v>0</v>
      </c>
      <c r="O123" s="44">
        <f>O$5*Teams!$G$63*O120*Teams!$G$67</f>
        <v>0</v>
      </c>
      <c r="P123" s="44">
        <f>P$5*Teams!$G$63*P120*Teams!$G$67</f>
        <v>0</v>
      </c>
      <c r="Q123" s="44">
        <f>Q$5*Teams!$G$63*Q120*Teams!$G$67</f>
        <v>0</v>
      </c>
      <c r="R123" s="44">
        <f>R$5*Teams!$G$63*R120*Teams!$G$67</f>
        <v>0</v>
      </c>
      <c r="S123" s="44">
        <f>S$5*Teams!$G$63*S120*Teams!$G$67</f>
        <v>0</v>
      </c>
      <c r="T123" s="44">
        <f>T$5*Teams!$G$63*T120*Teams!$G$67</f>
        <v>0</v>
      </c>
      <c r="U123" s="44">
        <f>U$5*Teams!$G$63*U120*Teams!$G$67</f>
        <v>0</v>
      </c>
      <c r="V123" s="44">
        <f>V$5*Teams!$G$63*V120*Teams!$G$67</f>
        <v>0</v>
      </c>
      <c r="W123" s="44">
        <f>W$5*Teams!$G$63*W120*Teams!$G$67</f>
        <v>0</v>
      </c>
      <c r="X123" s="44">
        <f>X$5*Teams!$G$63*X120*Teams!$G$67</f>
        <v>0</v>
      </c>
      <c r="Y123" s="44">
        <f>Y$5*Teams!$G$63*Y120*Teams!$G$67</f>
        <v>0</v>
      </c>
      <c r="Z123" s="44">
        <f>Z$5*Teams!$G$63*Z120*Teams!$G$67</f>
        <v>0</v>
      </c>
      <c r="AA123" s="44">
        <f>AA$5*Teams!$G$63*AA120*Teams!$G$67</f>
        <v>0</v>
      </c>
      <c r="AB123" s="44">
        <f>AB$5*Teams!$G$63*AB120*Teams!$G$67</f>
        <v>0</v>
      </c>
      <c r="AC123" s="44">
        <f>AC$5*Teams!$G$63*AC120*Teams!$G$67</f>
        <v>0</v>
      </c>
      <c r="AD123" s="44">
        <f>AD$5*Teams!$G$63*AD120*Teams!$G$67</f>
        <v>0</v>
      </c>
      <c r="AE123" s="44">
        <f>AE$5*Teams!$G$63*AE120*Teams!$G$67</f>
        <v>0</v>
      </c>
      <c r="AF123" s="44">
        <f>AF$5*Teams!$G$63*AF120*Teams!$G$67</f>
        <v>0</v>
      </c>
      <c r="AG123" s="44">
        <f>AG$5*Teams!$G$63*AG120*Teams!$G$67</f>
        <v>0</v>
      </c>
      <c r="AH123" s="44">
        <f>AH$5*Teams!$G$63*AH120*Teams!$G$67</f>
        <v>0</v>
      </c>
      <c r="AI123" s="44">
        <f>AI$5*Teams!$G$63*AI120*Teams!$G$67</f>
        <v>0</v>
      </c>
      <c r="AJ123" s="44">
        <f>AJ$5*Teams!$G$63*AJ120*Teams!$G$67</f>
        <v>0</v>
      </c>
      <c r="AK123" s="44">
        <f>AK$5*Teams!$G$63*AK120*Teams!$G$67</f>
        <v>0</v>
      </c>
      <c r="AL123" s="44">
        <f>AL$5*Teams!$G$63*AL120*Teams!$G$67</f>
        <v>0</v>
      </c>
      <c r="AM123" s="44">
        <f>AM$5*Teams!$G$63*AM120*Teams!$G$67</f>
        <v>0</v>
      </c>
      <c r="AN123" s="44">
        <f>AN$5*Teams!$G$63*AN120*Teams!$G$67</f>
        <v>0</v>
      </c>
      <c r="AO123" s="44">
        <f>AO$5*Teams!$G$63*AO120*Teams!$G$67</f>
        <v>0</v>
      </c>
      <c r="AP123" s="44">
        <f>AP$5*Teams!$G$63*AP120*Teams!$G$67</f>
        <v>0</v>
      </c>
      <c r="AQ123" s="44">
        <f>AQ$5*Teams!$G$63*AQ120*Teams!$G$67</f>
        <v>0</v>
      </c>
      <c r="AR123" s="44">
        <f>AR$5*Teams!$G$63*AR120*Teams!$G$67</f>
        <v>0</v>
      </c>
      <c r="AS123" s="44">
        <f>AS$5*Teams!$G$63*AS120*Teams!$G$67</f>
        <v>0</v>
      </c>
      <c r="AT123" s="44">
        <f>AT$5*Teams!$G$63*AT120*Teams!$G$67</f>
        <v>0</v>
      </c>
      <c r="AU123" s="44">
        <f>AU$5*Teams!$G$63*AU120*Teams!$G$67</f>
        <v>0</v>
      </c>
      <c r="AV123" s="44">
        <f>AV$5*Teams!$G$63*AV120*Teams!$G$67</f>
        <v>0</v>
      </c>
      <c r="AW123" s="44">
        <f>AW$5*Teams!$G$63*AW120*Teams!$G$67</f>
        <v>0</v>
      </c>
      <c r="AX123" s="44">
        <f>AX$5*Teams!$G$63*AX120*Teams!$G$67</f>
        <v>0</v>
      </c>
      <c r="AY123" s="44">
        <f>AY$5*Teams!$G$63*AY120*Teams!$G$67</f>
        <v>0</v>
      </c>
      <c r="AZ123" s="44">
        <f>AZ$5*Teams!$G$63*AZ120*Teams!$G$67</f>
        <v>0</v>
      </c>
      <c r="BA123" s="44">
        <f>BA$5*Teams!$G$63*BA120*Teams!$G$67</f>
        <v>0</v>
      </c>
      <c r="BB123" s="44">
        <f>BB$5*Teams!$G$63*BB120*Teams!$G$67</f>
        <v>0</v>
      </c>
      <c r="BC123" s="44">
        <f>BC$5*Teams!$G$63*BC120*Teams!$G$67</f>
        <v>0</v>
      </c>
      <c r="BD123" s="44">
        <f>BD$5*Teams!$G$63*BD120*Teams!$G$67</f>
        <v>0</v>
      </c>
      <c r="BE123" s="44">
        <f>BE$5*Teams!$G$63*BE120*Teams!$G$67</f>
        <v>0</v>
      </c>
      <c r="BF123" s="44">
        <f>BF$5*Teams!$G$63*BF120*Teams!$G$67</f>
        <v>0</v>
      </c>
      <c r="BG123" s="44">
        <f>BG$5*Teams!$G$63*BG120*Teams!$G$67</f>
        <v>0</v>
      </c>
      <c r="BH123" s="44">
        <f>BH$5*Teams!$G$63*BH120*Teams!$G$67</f>
        <v>0</v>
      </c>
      <c r="BI123" s="44">
        <f>BI$5*Teams!$G$63*BI120*Teams!$G$67</f>
        <v>0</v>
      </c>
      <c r="BJ123" s="44">
        <f>BJ$5*Teams!$G$63*BJ120*Teams!$G$67</f>
        <v>0</v>
      </c>
      <c r="BK123" s="44">
        <f>BK$5*Teams!$G$63*BK120*Teams!$G$67</f>
        <v>0</v>
      </c>
      <c r="BL123" s="44">
        <f>BL$5*Teams!$G$63*BL120*Teams!$G$67</f>
        <v>0</v>
      </c>
    </row>
    <row r="124" spans="1:64" x14ac:dyDescent="0.3">
      <c r="A124" s="8" t="s">
        <v>668</v>
      </c>
      <c r="B124" s="18" t="s">
        <v>435</v>
      </c>
      <c r="C124" s="44">
        <f t="shared" si="38"/>
        <v>0</v>
      </c>
      <c r="E124" s="44">
        <f>E$5*Teams!$G$65*E120*Teams!$G$74</f>
        <v>0</v>
      </c>
      <c r="F124" s="44">
        <f>F$5*Teams!$G$65*F120*Teams!$G$74</f>
        <v>0</v>
      </c>
      <c r="G124" s="44">
        <f>G$5*Teams!$G$65*G120*Teams!$G$74</f>
        <v>0</v>
      </c>
      <c r="H124" s="44">
        <f>H$5*Teams!$G$65*H120*Teams!$G$74</f>
        <v>0</v>
      </c>
      <c r="I124" s="44">
        <f>I$5*Teams!$G$65*I120*Teams!$G$74</f>
        <v>0</v>
      </c>
      <c r="J124" s="44">
        <f>J$5*Teams!$G$65*J120*Teams!$G$74</f>
        <v>0</v>
      </c>
      <c r="K124" s="44">
        <f>K$5*Teams!$G$65*K120*Teams!$G$74</f>
        <v>0</v>
      </c>
      <c r="L124" s="44">
        <f>L$5*Teams!$G$65*L120*Teams!$G$74</f>
        <v>0</v>
      </c>
      <c r="M124" s="44">
        <f>M$5*Teams!$G$65*M120*Teams!$G$74</f>
        <v>0</v>
      </c>
      <c r="N124" s="44">
        <f>N$5*Teams!$G$65*N120*Teams!$G$74</f>
        <v>0</v>
      </c>
      <c r="O124" s="44">
        <f>O$5*Teams!$G$65*O120*Teams!$G$74</f>
        <v>0</v>
      </c>
      <c r="P124" s="44">
        <f>P$5*Teams!$G$65*P120*Teams!$G$74</f>
        <v>0</v>
      </c>
      <c r="Q124" s="44">
        <f>Q$5*Teams!$G$65*Q120*Teams!$G$74</f>
        <v>0</v>
      </c>
      <c r="R124" s="44">
        <f>R$5*Teams!$G$65*R120*Teams!$G$74</f>
        <v>0</v>
      </c>
      <c r="S124" s="44">
        <f>S$5*Teams!$G$65*S120*Teams!$G$74</f>
        <v>0</v>
      </c>
      <c r="T124" s="44">
        <f>T$5*Teams!$G$65*T120*Teams!$G$74</f>
        <v>0</v>
      </c>
      <c r="U124" s="44">
        <f>U$5*Teams!$G$65*U120*Teams!$G$74</f>
        <v>0</v>
      </c>
      <c r="V124" s="44">
        <f>V$5*Teams!$G$65*V120*Teams!$G$74</f>
        <v>0</v>
      </c>
      <c r="W124" s="44">
        <f>W$5*Teams!$G$65*W120*Teams!$G$74</f>
        <v>0</v>
      </c>
      <c r="X124" s="44">
        <f>X$5*Teams!$G$65*X120*Teams!$G$74</f>
        <v>0</v>
      </c>
      <c r="Y124" s="44">
        <f>Y$5*Teams!$G$65*Y120*Teams!$G$74</f>
        <v>0</v>
      </c>
      <c r="Z124" s="44">
        <f>Z$5*Teams!$G$65*Z120*Teams!$G$74</f>
        <v>0</v>
      </c>
      <c r="AA124" s="44">
        <f>AA$5*Teams!$G$65*AA120*Teams!$G$74</f>
        <v>0</v>
      </c>
      <c r="AB124" s="44">
        <f>AB$5*Teams!$G$65*AB120*Teams!$G$74</f>
        <v>0</v>
      </c>
      <c r="AC124" s="44">
        <f>AC$5*Teams!$G$65*AC120*Teams!$G$74</f>
        <v>0</v>
      </c>
      <c r="AD124" s="44">
        <f>AD$5*Teams!$G$65*AD120*Teams!$G$74</f>
        <v>0</v>
      </c>
      <c r="AE124" s="44">
        <f>AE$5*Teams!$G$65*AE120*Teams!$G$74</f>
        <v>0</v>
      </c>
      <c r="AF124" s="44">
        <f>AF$5*Teams!$G$65*AF120*Teams!$G$74</f>
        <v>0</v>
      </c>
      <c r="AG124" s="44">
        <f>AG$5*Teams!$G$65*AG120*Teams!$G$74</f>
        <v>0</v>
      </c>
      <c r="AH124" s="44">
        <f>AH$5*Teams!$G$65*AH120*Teams!$G$74</f>
        <v>0</v>
      </c>
      <c r="AI124" s="44">
        <f>AI$5*Teams!$G$65*AI120*Teams!$G$74</f>
        <v>0</v>
      </c>
      <c r="AJ124" s="44">
        <f>AJ$5*Teams!$G$65*AJ120*Teams!$G$74</f>
        <v>0</v>
      </c>
      <c r="AK124" s="44">
        <f>AK$5*Teams!$G$65*AK120*Teams!$G$74</f>
        <v>0</v>
      </c>
      <c r="AL124" s="44">
        <f>AL$5*Teams!$G$65*AL120*Teams!$G$74</f>
        <v>0</v>
      </c>
      <c r="AM124" s="44">
        <f>AM$5*Teams!$G$65*AM120*Teams!$G$74</f>
        <v>0</v>
      </c>
      <c r="AN124" s="44">
        <f>AN$5*Teams!$G$65*AN120*Teams!$G$74</f>
        <v>0</v>
      </c>
      <c r="AO124" s="44">
        <f>AO$5*Teams!$G$65*AO120*Teams!$G$74</f>
        <v>0</v>
      </c>
      <c r="AP124" s="44">
        <f>AP$5*Teams!$G$65*AP120*Teams!$G$74</f>
        <v>0</v>
      </c>
      <c r="AQ124" s="44">
        <f>AQ$5*Teams!$G$65*AQ120*Teams!$G$74</f>
        <v>0</v>
      </c>
      <c r="AR124" s="44">
        <f>AR$5*Teams!$G$65*AR120*Teams!$G$74</f>
        <v>0</v>
      </c>
      <c r="AS124" s="44">
        <f>AS$5*Teams!$G$65*AS120*Teams!$G$74</f>
        <v>0</v>
      </c>
      <c r="AT124" s="44">
        <f>AT$5*Teams!$G$65*AT120*Teams!$G$74</f>
        <v>0</v>
      </c>
      <c r="AU124" s="44">
        <f>AU$5*Teams!$G$65*AU120*Teams!$G$74</f>
        <v>0</v>
      </c>
      <c r="AV124" s="44">
        <f>AV$5*Teams!$G$65*AV120*Teams!$G$74</f>
        <v>0</v>
      </c>
      <c r="AW124" s="44">
        <f>AW$5*Teams!$G$65*AW120*Teams!$G$74</f>
        <v>0</v>
      </c>
      <c r="AX124" s="44">
        <f>AX$5*Teams!$G$65*AX120*Teams!$G$74</f>
        <v>0</v>
      </c>
      <c r="AY124" s="44">
        <f>AY$5*Teams!$G$65*AY120*Teams!$G$74</f>
        <v>0</v>
      </c>
      <c r="AZ124" s="44">
        <f>AZ$5*Teams!$G$65*AZ120*Teams!$G$74</f>
        <v>0</v>
      </c>
      <c r="BA124" s="44">
        <f>BA$5*Teams!$G$65*BA120*Teams!$G$74</f>
        <v>0</v>
      </c>
      <c r="BB124" s="44">
        <f>BB$5*Teams!$G$65*BB120*Teams!$G$74</f>
        <v>0</v>
      </c>
      <c r="BC124" s="44">
        <f>BC$5*Teams!$G$65*BC120*Teams!$G$74</f>
        <v>0</v>
      </c>
      <c r="BD124" s="44">
        <f>BD$5*Teams!$G$65*BD120*Teams!$G$74</f>
        <v>0</v>
      </c>
      <c r="BE124" s="44">
        <f>BE$5*Teams!$G$65*BE120*Teams!$G$74</f>
        <v>0</v>
      </c>
      <c r="BF124" s="44">
        <f>BF$5*Teams!$G$65*BF120*Teams!$G$74</f>
        <v>0</v>
      </c>
      <c r="BG124" s="44">
        <f>BG$5*Teams!$G$65*BG120*Teams!$G$74</f>
        <v>0</v>
      </c>
      <c r="BH124" s="44">
        <f>BH$5*Teams!$G$65*BH120*Teams!$G$74</f>
        <v>0</v>
      </c>
      <c r="BI124" s="44">
        <f>BI$5*Teams!$G$65*BI120*Teams!$G$74</f>
        <v>0</v>
      </c>
      <c r="BJ124" s="44">
        <f>BJ$5*Teams!$G$65*BJ120*Teams!$G$74</f>
        <v>0</v>
      </c>
      <c r="BK124" s="44">
        <f>BK$5*Teams!$G$65*BK120*Teams!$G$74</f>
        <v>0</v>
      </c>
      <c r="BL124" s="44">
        <f>BL$5*Teams!$G$65*BL120*Teams!$G$74</f>
        <v>0</v>
      </c>
    </row>
    <row r="125" spans="1:64" x14ac:dyDescent="0.3">
      <c r="A125" s="8" t="s">
        <v>669</v>
      </c>
      <c r="B125" s="18" t="s">
        <v>505</v>
      </c>
      <c r="C125" s="44">
        <f t="shared" si="38"/>
        <v>0</v>
      </c>
      <c r="E125" s="44">
        <f>E$5*Teams!$G$64*Teams!$G$16*IF(E$4&gt;=Teams!$G$80,1,0)</f>
        <v>0</v>
      </c>
      <c r="F125" s="44">
        <f>F$5*Teams!$G$64*Teams!$G$16*IF(F$4&gt;=Teams!$G$80,1,0)</f>
        <v>0</v>
      </c>
      <c r="G125" s="44">
        <f>G$5*Teams!$G$64*Teams!$G$16*IF(G$4&gt;=Teams!$G$80,1,0)</f>
        <v>0</v>
      </c>
      <c r="H125" s="44">
        <f>H$5*Teams!$G$64*Teams!$G$16*IF(H$4&gt;=Teams!$G$80,1,0)</f>
        <v>0</v>
      </c>
      <c r="I125" s="44">
        <f>I$5*Teams!$G$64*Teams!$G$16*IF(I$4&gt;=Teams!$G$80,1,0)</f>
        <v>0</v>
      </c>
      <c r="J125" s="44">
        <f>J$5*Teams!$G$64*Teams!$G$16*IF(J$4&gt;=Teams!$G$80,1,0)</f>
        <v>0</v>
      </c>
      <c r="K125" s="44">
        <f>K$5*Teams!$G$64*Teams!$G$16*IF(K$4&gt;=Teams!$G$80,1,0)</f>
        <v>0</v>
      </c>
      <c r="L125" s="44">
        <f>L$5*Teams!$G$64*Teams!$G$16*IF(L$4&gt;=Teams!$G$80,1,0)</f>
        <v>0</v>
      </c>
      <c r="M125" s="44">
        <f>M$5*Teams!$G$64*Teams!$G$16*IF(M$4&gt;=Teams!$G$80,1,0)</f>
        <v>0</v>
      </c>
      <c r="N125" s="44">
        <f>N$5*Teams!$G$64*Teams!$G$16*IF(N$4&gt;=Teams!$G$80,1,0)</f>
        <v>0</v>
      </c>
      <c r="O125" s="44">
        <f>O$5*Teams!$G$64*Teams!$G$16*IF(O$4&gt;=Teams!$G$80,1,0)</f>
        <v>0</v>
      </c>
      <c r="P125" s="44">
        <f>P$5*Teams!$G$64*Teams!$G$16*IF(P$4&gt;=Teams!$G$80,1,0)</f>
        <v>0</v>
      </c>
      <c r="Q125" s="44">
        <f>Q$5*Teams!$G$64*Teams!$G$16*IF(Q$4&gt;=Teams!$G$80,1,0)</f>
        <v>0</v>
      </c>
      <c r="R125" s="44">
        <f>R$5*Teams!$G$64*Teams!$G$16*IF(R$4&gt;=Teams!$G$80,1,0)</f>
        <v>0</v>
      </c>
      <c r="S125" s="44">
        <f>S$5*Teams!$G$64*Teams!$G$16*IF(S$4&gt;=Teams!$G$80,1,0)</f>
        <v>0</v>
      </c>
      <c r="T125" s="44">
        <f>T$5*Teams!$G$64*Teams!$G$16*IF(T$4&gt;=Teams!$G$80,1,0)</f>
        <v>0</v>
      </c>
      <c r="U125" s="44">
        <f>U$5*Teams!$G$64*Teams!$G$16*IF(U$4&gt;=Teams!$G$80,1,0)</f>
        <v>0</v>
      </c>
      <c r="V125" s="44">
        <f>V$5*Teams!$G$64*Teams!$G$16*IF(V$4&gt;=Teams!$G$80,1,0)</f>
        <v>0</v>
      </c>
      <c r="W125" s="44">
        <f>W$5*Teams!$G$64*Teams!$G$16*IF(W$4&gt;=Teams!$G$80,1,0)</f>
        <v>0</v>
      </c>
      <c r="X125" s="44">
        <f>X$5*Teams!$G$64*Teams!$G$16*IF(X$4&gt;=Teams!$G$80,1,0)</f>
        <v>0</v>
      </c>
      <c r="Y125" s="44">
        <f>Y$5*Teams!$G$64*Teams!$G$16*IF(Y$4&gt;=Teams!$G$80,1,0)</f>
        <v>0</v>
      </c>
      <c r="Z125" s="44">
        <f>Z$5*Teams!$G$64*Teams!$G$16*IF(Z$4&gt;=Teams!$G$80,1,0)</f>
        <v>0</v>
      </c>
      <c r="AA125" s="44">
        <f>AA$5*Teams!$G$64*Teams!$G$16*IF(AA$4&gt;=Teams!$G$80,1,0)</f>
        <v>0</v>
      </c>
      <c r="AB125" s="44">
        <f>AB$5*Teams!$G$64*Teams!$G$16*IF(AB$4&gt;=Teams!$G$80,1,0)</f>
        <v>0</v>
      </c>
      <c r="AC125" s="44">
        <f>AC$5*Teams!$G$64*Teams!$G$16*IF(AC$4&gt;=Teams!$G$80,1,0)</f>
        <v>0</v>
      </c>
      <c r="AD125" s="44">
        <f>AD$5*Teams!$G$64*Teams!$G$16*IF(AD$4&gt;=Teams!$G$80,1,0)</f>
        <v>0</v>
      </c>
      <c r="AE125" s="44">
        <f>AE$5*Teams!$G$64*Teams!$G$16*IF(AE$4&gt;=Teams!$G$80,1,0)</f>
        <v>0</v>
      </c>
      <c r="AF125" s="44">
        <f>AF$5*Teams!$G$64*Teams!$G$16*IF(AF$4&gt;=Teams!$G$80,1,0)</f>
        <v>0</v>
      </c>
      <c r="AG125" s="44">
        <f>AG$5*Teams!$G$64*Teams!$G$16*IF(AG$4&gt;=Teams!$G$80,1,0)</f>
        <v>0</v>
      </c>
      <c r="AH125" s="44">
        <f>AH$5*Teams!$G$64*Teams!$G$16*IF(AH$4&gt;=Teams!$G$80,1,0)</f>
        <v>0</v>
      </c>
      <c r="AI125" s="44">
        <f>AI$5*Teams!$G$64*Teams!$G$16*IF(AI$4&gt;=Teams!$G$80,1,0)</f>
        <v>0</v>
      </c>
      <c r="AJ125" s="44">
        <f>AJ$5*Teams!$G$64*Teams!$G$16*IF(AJ$4&gt;=Teams!$G$80,1,0)</f>
        <v>0</v>
      </c>
      <c r="AK125" s="44">
        <f>AK$5*Teams!$G$64*Teams!$G$16*IF(AK$4&gt;=Teams!$G$80,1,0)</f>
        <v>0</v>
      </c>
      <c r="AL125" s="44">
        <f>AL$5*Teams!$G$64*Teams!$G$16*IF(AL$4&gt;=Teams!$G$80,1,0)</f>
        <v>0</v>
      </c>
      <c r="AM125" s="44">
        <f>AM$5*Teams!$G$64*Teams!$G$16*IF(AM$4&gt;=Teams!$G$80,1,0)</f>
        <v>0</v>
      </c>
      <c r="AN125" s="44">
        <f>AN$5*Teams!$G$64*Teams!$G$16*IF(AN$4&gt;=Teams!$G$80,1,0)</f>
        <v>0</v>
      </c>
      <c r="AO125" s="44">
        <f>AO$5*Teams!$G$64*Teams!$G$16*IF(AO$4&gt;=Teams!$G$80,1,0)</f>
        <v>0</v>
      </c>
      <c r="AP125" s="44">
        <f>AP$5*Teams!$G$64*Teams!$G$16*IF(AP$4&gt;=Teams!$G$80,1,0)</f>
        <v>0</v>
      </c>
      <c r="AQ125" s="44">
        <f>AQ$5*Teams!$G$64*Teams!$G$16*IF(AQ$4&gt;=Teams!$G$80,1,0)</f>
        <v>0</v>
      </c>
      <c r="AR125" s="44">
        <f>AR$5*Teams!$G$64*Teams!$G$16*IF(AR$4&gt;=Teams!$G$80,1,0)</f>
        <v>0</v>
      </c>
      <c r="AS125" s="44">
        <f>AS$5*Teams!$G$64*Teams!$G$16*IF(AS$4&gt;=Teams!$G$80,1,0)</f>
        <v>0</v>
      </c>
      <c r="AT125" s="44">
        <f>AT$5*Teams!$G$64*Teams!$G$16*IF(AT$4&gt;=Teams!$G$80,1,0)</f>
        <v>0</v>
      </c>
      <c r="AU125" s="44">
        <f>AU$5*Teams!$G$64*Teams!$G$16*IF(AU$4&gt;=Teams!$G$80,1,0)</f>
        <v>0</v>
      </c>
      <c r="AV125" s="44">
        <f>AV$5*Teams!$G$64*Teams!$G$16*IF(AV$4&gt;=Teams!$G$80,1,0)</f>
        <v>0</v>
      </c>
      <c r="AW125" s="44">
        <f>AW$5*Teams!$G$64*Teams!$G$16*IF(AW$4&gt;=Teams!$G$80,1,0)</f>
        <v>0</v>
      </c>
      <c r="AX125" s="44">
        <f>AX$5*Teams!$G$64*Teams!$G$16*IF(AX$4&gt;=Teams!$G$80,1,0)</f>
        <v>0</v>
      </c>
      <c r="AY125" s="44">
        <f>AY$5*Teams!$G$64*Teams!$G$16*IF(AY$4&gt;=Teams!$G$80,1,0)</f>
        <v>0</v>
      </c>
      <c r="AZ125" s="44">
        <f>AZ$5*Teams!$G$64*Teams!$G$16*IF(AZ$4&gt;=Teams!$G$80,1,0)</f>
        <v>0</v>
      </c>
      <c r="BA125" s="44">
        <f>BA$5*Teams!$G$64*Teams!$G$16*IF(BA$4&gt;=Teams!$G$80,1,0)</f>
        <v>0</v>
      </c>
      <c r="BB125" s="44">
        <f>BB$5*Teams!$G$64*Teams!$G$16*IF(BB$4&gt;=Teams!$G$80,1,0)</f>
        <v>0</v>
      </c>
      <c r="BC125" s="44">
        <f>BC$5*Teams!$G$64*Teams!$G$16*IF(BC$4&gt;=Teams!$G$80,1,0)</f>
        <v>0</v>
      </c>
      <c r="BD125" s="44">
        <f>BD$5*Teams!$G$64*Teams!$G$16*IF(BD$4&gt;=Teams!$G$80,1,0)</f>
        <v>0</v>
      </c>
      <c r="BE125" s="44">
        <f>BE$5*Teams!$G$64*Teams!$G$16*IF(BE$4&gt;=Teams!$G$80,1,0)</f>
        <v>0</v>
      </c>
      <c r="BF125" s="44">
        <f>BF$5*Teams!$G$64*Teams!$G$16*IF(BF$4&gt;=Teams!$G$80,1,0)</f>
        <v>0</v>
      </c>
      <c r="BG125" s="44">
        <f>BG$5*Teams!$G$64*Teams!$G$16*IF(BG$4&gt;=Teams!$G$80,1,0)</f>
        <v>0</v>
      </c>
      <c r="BH125" s="44">
        <f>BH$5*Teams!$G$64*Teams!$G$16*IF(BH$4&gt;=Teams!$G$80,1,0)</f>
        <v>0</v>
      </c>
      <c r="BI125" s="44">
        <f>BI$5*Teams!$G$64*Teams!$G$16*IF(BI$4&gt;=Teams!$G$80,1,0)</f>
        <v>0</v>
      </c>
      <c r="BJ125" s="44">
        <f>BJ$5*Teams!$G$64*Teams!$G$16*IF(BJ$4&gt;=Teams!$G$80,1,0)</f>
        <v>0</v>
      </c>
      <c r="BK125" s="44">
        <f>BK$5*Teams!$G$64*Teams!$G$16*IF(BK$4&gt;=Teams!$G$80,1,0)</f>
        <v>0</v>
      </c>
      <c r="BL125" s="44">
        <f>BL$5*Teams!$G$64*Teams!$G$16*IF(BL$4&gt;=Teams!$G$80,1,0)</f>
        <v>0</v>
      </c>
    </row>
    <row r="126" spans="1:64" x14ac:dyDescent="0.3">
      <c r="A126" s="8" t="s">
        <v>670</v>
      </c>
      <c r="B126" s="18" t="s">
        <v>435</v>
      </c>
      <c r="C126" s="44">
        <f t="shared" si="38"/>
        <v>2280.0239999999994</v>
      </c>
      <c r="E126" s="44">
        <f>E$5*IF(AND(E$4&gt;=Teams!$G$80,Teams!$G$49=1),Teams!$G$44*Params!$F$10*Teams!$G$45*Teams!$G$75+Teams!$G$44*Params!$F$10*Teams!$G$47*Teams!$G$76/1000000+Teams!$G$77+Teams!$G$50*Teams!$G$78+E120*Teams!$G$51*Teams!$G$79/1000000,0)</f>
        <v>61.360666666666667</v>
      </c>
      <c r="F126" s="44">
        <f>F$5*IF(AND(F$4&gt;=Teams!$G$80,Teams!$G$49=1),Teams!$G$44*Params!$F$10*Teams!$G$45*Teams!$G$75+Teams!$G$44*Params!$F$10*Teams!$G$47*Teams!$G$76/1000000+Teams!$G$77+Teams!$G$50*Teams!$G$78+F120*Teams!$G$51*Teams!$G$79/1000000,0)</f>
        <v>61.787333333333329</v>
      </c>
      <c r="G126" s="44">
        <f>G$5*IF(AND(G$4&gt;=Teams!$G$80,Teams!$G$49=1),Teams!$G$44*Params!$F$10*Teams!$G$45*Teams!$G$75+Teams!$G$44*Params!$F$10*Teams!$G$47*Teams!$G$76/1000000+Teams!$G$77+Teams!$G$50*Teams!$G$78+G120*Teams!$G$51*Teams!$G$79/1000000,0)</f>
        <v>62.341999999999999</v>
      </c>
      <c r="H126" s="44">
        <f>H$5*IF(AND(H$4&gt;=Teams!$G$80,Teams!$G$49=1),Teams!$G$44*Params!$F$10*Teams!$G$45*Teams!$G$75+Teams!$G$44*Params!$F$10*Teams!$G$47*Teams!$G$76/1000000+Teams!$G$77+Teams!$G$50*Teams!$G$78+H120*Teams!$G$51*Teams!$G$79/1000000,0)</f>
        <v>62.896666666666661</v>
      </c>
      <c r="I126" s="44">
        <f>I$5*IF(AND(I$4&gt;=Teams!$G$80,Teams!$G$49=1),Teams!$G$44*Params!$F$10*Teams!$G$45*Teams!$G$75+Teams!$G$44*Params!$F$10*Teams!$G$47*Teams!$G$76/1000000+Teams!$G$77+Teams!$G$50*Teams!$G$78+I120*Teams!$G$51*Teams!$G$79/1000000,0)</f>
        <v>63.323333333333331</v>
      </c>
      <c r="J126" s="44">
        <f>J$5*IF(AND(J$4&gt;=Teams!$G$80,Teams!$G$49=1),Teams!$G$44*Params!$F$10*Teams!$G$45*Teams!$G$75+Teams!$G$44*Params!$F$10*Teams!$G$47*Teams!$G$76/1000000+Teams!$G$77+Teams!$G$50*Teams!$G$78+J120*Teams!$G$51*Teams!$G$79/1000000,0)</f>
        <v>63.494</v>
      </c>
      <c r="K126" s="44">
        <f>K$5*IF(AND(K$4&gt;=Teams!$G$80,Teams!$G$49=1),Teams!$G$44*Params!$F$10*Teams!$G$45*Teams!$G$75+Teams!$G$44*Params!$F$10*Teams!$G$47*Teams!$G$76/1000000+Teams!$G$77+Teams!$G$50*Teams!$G$78+K120*Teams!$G$51*Teams!$G$79/1000000,0)</f>
        <v>63.494</v>
      </c>
      <c r="L126" s="44">
        <f>L$5*IF(AND(L$4&gt;=Teams!$G$80,Teams!$G$49=1),Teams!$G$44*Params!$F$10*Teams!$G$45*Teams!$G$75+Teams!$G$44*Params!$F$10*Teams!$G$47*Teams!$G$76/1000000+Teams!$G$77+Teams!$G$50*Teams!$G$78+L120*Teams!$G$51*Teams!$G$79/1000000,0)</f>
        <v>63.494</v>
      </c>
      <c r="M126" s="44">
        <f>M$5*IF(AND(M$4&gt;=Teams!$G$80,Teams!$G$49=1),Teams!$G$44*Params!$F$10*Teams!$G$45*Teams!$G$75+Teams!$G$44*Params!$F$10*Teams!$G$47*Teams!$G$76/1000000+Teams!$G$77+Teams!$G$50*Teams!$G$78+M120*Teams!$G$51*Teams!$G$79/1000000,0)</f>
        <v>63.494</v>
      </c>
      <c r="N126" s="44">
        <f>N$5*IF(AND(N$4&gt;=Teams!$G$80,Teams!$G$49=1),Teams!$G$44*Params!$F$10*Teams!$G$45*Teams!$G$75+Teams!$G$44*Params!$F$10*Teams!$G$47*Teams!$G$76/1000000+Teams!$G$77+Teams!$G$50*Teams!$G$78+N120*Teams!$G$51*Teams!$G$79/1000000,0)</f>
        <v>63.494</v>
      </c>
      <c r="O126" s="44">
        <f>O$5*IF(AND(O$4&gt;=Teams!$G$80,Teams!$G$49=1),Teams!$G$44*Params!$F$10*Teams!$G$45*Teams!$G$75+Teams!$G$44*Params!$F$10*Teams!$G$47*Teams!$G$76/1000000+Teams!$G$77+Teams!$G$50*Teams!$G$78+O120*Teams!$G$51*Teams!$G$79/1000000,0)</f>
        <v>63.494</v>
      </c>
      <c r="P126" s="44">
        <f>P$5*IF(AND(P$4&gt;=Teams!$G$80,Teams!$G$49=1),Teams!$G$44*Params!$F$10*Teams!$G$45*Teams!$G$75+Teams!$G$44*Params!$F$10*Teams!$G$47*Teams!$G$76/1000000+Teams!$G$77+Teams!$G$50*Teams!$G$78+P120*Teams!$G$51*Teams!$G$79/1000000,0)</f>
        <v>63.494</v>
      </c>
      <c r="Q126" s="44">
        <f>Q$5*IF(AND(Q$4&gt;=Teams!$G$80,Teams!$G$49=1),Teams!$G$44*Params!$F$10*Teams!$G$45*Teams!$G$75+Teams!$G$44*Params!$F$10*Teams!$G$47*Teams!$G$76/1000000+Teams!$G$77+Teams!$G$50*Teams!$G$78+Q120*Teams!$G$51*Teams!$G$79/1000000,0)</f>
        <v>63.494</v>
      </c>
      <c r="R126" s="44">
        <f>R$5*IF(AND(R$4&gt;=Teams!$G$80,Teams!$G$49=1),Teams!$G$44*Params!$F$10*Teams!$G$45*Teams!$G$75+Teams!$G$44*Params!$F$10*Teams!$G$47*Teams!$G$76/1000000+Teams!$G$77+Teams!$G$50*Teams!$G$78+R120*Teams!$G$51*Teams!$G$79/1000000,0)</f>
        <v>63.494</v>
      </c>
      <c r="S126" s="44">
        <f>S$5*IF(AND(S$4&gt;=Teams!$G$80,Teams!$G$49=1),Teams!$G$44*Params!$F$10*Teams!$G$45*Teams!$G$75+Teams!$G$44*Params!$F$10*Teams!$G$47*Teams!$G$76/1000000+Teams!$G$77+Teams!$G$50*Teams!$G$78+S120*Teams!$G$51*Teams!$G$79/1000000,0)</f>
        <v>63.494</v>
      </c>
      <c r="T126" s="44">
        <f>T$5*IF(AND(T$4&gt;=Teams!$G$80,Teams!$G$49=1),Teams!$G$44*Params!$F$10*Teams!$G$45*Teams!$G$75+Teams!$G$44*Params!$F$10*Teams!$G$47*Teams!$G$76/1000000+Teams!$G$77+Teams!$G$50*Teams!$G$78+T120*Teams!$G$51*Teams!$G$79/1000000,0)</f>
        <v>63.494</v>
      </c>
      <c r="U126" s="44">
        <f>U$5*IF(AND(U$4&gt;=Teams!$G$80,Teams!$G$49=1),Teams!$G$44*Params!$F$10*Teams!$G$45*Teams!$G$75+Teams!$G$44*Params!$F$10*Teams!$G$47*Teams!$G$76/1000000+Teams!$G$77+Teams!$G$50*Teams!$G$78+U120*Teams!$G$51*Teams!$G$79/1000000,0)</f>
        <v>63.494</v>
      </c>
      <c r="V126" s="44">
        <f>V$5*IF(AND(V$4&gt;=Teams!$G$80,Teams!$G$49=1),Teams!$G$44*Params!$F$10*Teams!$G$45*Teams!$G$75+Teams!$G$44*Params!$F$10*Teams!$G$47*Teams!$G$76/1000000+Teams!$G$77+Teams!$G$50*Teams!$G$78+V120*Teams!$G$51*Teams!$G$79/1000000,0)</f>
        <v>63.494</v>
      </c>
      <c r="W126" s="44">
        <f>W$5*IF(AND(W$4&gt;=Teams!$G$80,Teams!$G$49=1),Teams!$G$44*Params!$F$10*Teams!$G$45*Teams!$G$75+Teams!$G$44*Params!$F$10*Teams!$G$47*Teams!$G$76/1000000+Teams!$G$77+Teams!$G$50*Teams!$G$78+W120*Teams!$G$51*Teams!$G$79/1000000,0)</f>
        <v>63.494</v>
      </c>
      <c r="X126" s="44">
        <f>X$5*IF(AND(X$4&gt;=Teams!$G$80,Teams!$G$49=1),Teams!$G$44*Params!$F$10*Teams!$G$45*Teams!$G$75+Teams!$G$44*Params!$F$10*Teams!$G$47*Teams!$G$76/1000000+Teams!$G$77+Teams!$G$50*Teams!$G$78+X120*Teams!$G$51*Teams!$G$79/1000000,0)</f>
        <v>63.494</v>
      </c>
      <c r="Y126" s="44">
        <f>Y$5*IF(AND(Y$4&gt;=Teams!$G$80,Teams!$G$49=1),Teams!$G$44*Params!$F$10*Teams!$G$45*Teams!$G$75+Teams!$G$44*Params!$F$10*Teams!$G$47*Teams!$G$76/1000000+Teams!$G$77+Teams!$G$50*Teams!$G$78+Y120*Teams!$G$51*Teams!$G$79/1000000,0)</f>
        <v>63.494</v>
      </c>
      <c r="Z126" s="44">
        <f>Z$5*IF(AND(Z$4&gt;=Teams!$G$80,Teams!$G$49=1),Teams!$G$44*Params!$F$10*Teams!$G$45*Teams!$G$75+Teams!$G$44*Params!$F$10*Teams!$G$47*Teams!$G$76/1000000+Teams!$G$77+Teams!$G$50*Teams!$G$78+Z120*Teams!$G$51*Teams!$G$79/1000000,0)</f>
        <v>63.494</v>
      </c>
      <c r="AA126" s="44">
        <f>AA$5*IF(AND(AA$4&gt;=Teams!$G$80,Teams!$G$49=1),Teams!$G$44*Params!$F$10*Teams!$G$45*Teams!$G$75+Teams!$G$44*Params!$F$10*Teams!$G$47*Teams!$G$76/1000000+Teams!$G$77+Teams!$G$50*Teams!$G$78+AA120*Teams!$G$51*Teams!$G$79/1000000,0)</f>
        <v>63.494</v>
      </c>
      <c r="AB126" s="44">
        <f>AB$5*IF(AND(AB$4&gt;=Teams!$G$80,Teams!$G$49=1),Teams!$G$44*Params!$F$10*Teams!$G$45*Teams!$G$75+Teams!$G$44*Params!$F$10*Teams!$G$47*Teams!$G$76/1000000+Teams!$G$77+Teams!$G$50*Teams!$G$78+AB120*Teams!$G$51*Teams!$G$79/1000000,0)</f>
        <v>63.494</v>
      </c>
      <c r="AC126" s="44">
        <f>AC$5*IF(AND(AC$4&gt;=Teams!$G$80,Teams!$G$49=1),Teams!$G$44*Params!$F$10*Teams!$G$45*Teams!$G$75+Teams!$G$44*Params!$F$10*Teams!$G$47*Teams!$G$76/1000000+Teams!$G$77+Teams!$G$50*Teams!$G$78+AC120*Teams!$G$51*Teams!$G$79/1000000,0)</f>
        <v>63.494</v>
      </c>
      <c r="AD126" s="44">
        <f>AD$5*IF(AND(AD$4&gt;=Teams!$G$80,Teams!$G$49=1),Teams!$G$44*Params!$F$10*Teams!$G$45*Teams!$G$75+Teams!$G$44*Params!$F$10*Teams!$G$47*Teams!$G$76/1000000+Teams!$G$77+Teams!$G$50*Teams!$G$78+AD120*Teams!$G$51*Teams!$G$79/1000000,0)</f>
        <v>63.494</v>
      </c>
      <c r="AE126" s="44">
        <f>AE$5*IF(AND(AE$4&gt;=Teams!$G$80,Teams!$G$49=1),Teams!$G$44*Params!$F$10*Teams!$G$45*Teams!$G$75+Teams!$G$44*Params!$F$10*Teams!$G$47*Teams!$G$76/1000000+Teams!$G$77+Teams!$G$50*Teams!$G$78+AE120*Teams!$G$51*Teams!$G$79/1000000,0)</f>
        <v>63.494</v>
      </c>
      <c r="AF126" s="44">
        <f>AF$5*IF(AND(AF$4&gt;=Teams!$G$80,Teams!$G$49=1),Teams!$G$44*Params!$F$10*Teams!$G$45*Teams!$G$75+Teams!$G$44*Params!$F$10*Teams!$G$47*Teams!$G$76/1000000+Teams!$G$77+Teams!$G$50*Teams!$G$78+AF120*Teams!$G$51*Teams!$G$79/1000000,0)</f>
        <v>63.494</v>
      </c>
      <c r="AG126" s="44">
        <f>AG$5*IF(AND(AG$4&gt;=Teams!$G$80,Teams!$G$49=1),Teams!$G$44*Params!$F$10*Teams!$G$45*Teams!$G$75+Teams!$G$44*Params!$F$10*Teams!$G$47*Teams!$G$76/1000000+Teams!$G$77+Teams!$G$50*Teams!$G$78+AG120*Teams!$G$51*Teams!$G$79/1000000,0)</f>
        <v>63.494</v>
      </c>
      <c r="AH126" s="44">
        <f>AH$5*IF(AND(AH$4&gt;=Teams!$G$80,Teams!$G$49=1),Teams!$G$44*Params!$F$10*Teams!$G$45*Teams!$G$75+Teams!$G$44*Params!$F$10*Teams!$G$47*Teams!$G$76/1000000+Teams!$G$77+Teams!$G$50*Teams!$G$78+AH120*Teams!$G$51*Teams!$G$79/1000000,0)</f>
        <v>63.494</v>
      </c>
      <c r="AI126" s="44">
        <f>AI$5*IF(AND(AI$4&gt;=Teams!$G$80,Teams!$G$49=1),Teams!$G$44*Params!$F$10*Teams!$G$45*Teams!$G$75+Teams!$G$44*Params!$F$10*Teams!$G$47*Teams!$G$76/1000000+Teams!$G$77+Teams!$G$50*Teams!$G$78+AI120*Teams!$G$51*Teams!$G$79/1000000,0)</f>
        <v>63.494</v>
      </c>
      <c r="AJ126" s="44">
        <f>AJ$5*IF(AND(AJ$4&gt;=Teams!$G$80,Teams!$G$49=1),Teams!$G$44*Params!$F$10*Teams!$G$45*Teams!$G$75+Teams!$G$44*Params!$F$10*Teams!$G$47*Teams!$G$76/1000000+Teams!$G$77+Teams!$G$50*Teams!$G$78+AJ120*Teams!$G$51*Teams!$G$79/1000000,0)</f>
        <v>63.494</v>
      </c>
      <c r="AK126" s="44">
        <f>AK$5*IF(AND(AK$4&gt;=Teams!$G$80,Teams!$G$49=1),Teams!$G$44*Params!$F$10*Teams!$G$45*Teams!$G$75+Teams!$G$44*Params!$F$10*Teams!$G$47*Teams!$G$76/1000000+Teams!$G$77+Teams!$G$50*Teams!$G$78+AK120*Teams!$G$51*Teams!$G$79/1000000,0)</f>
        <v>63.494</v>
      </c>
      <c r="AL126" s="44">
        <f>AL$5*IF(AND(AL$4&gt;=Teams!$G$80,Teams!$G$49=1),Teams!$G$44*Params!$F$10*Teams!$G$45*Teams!$G$75+Teams!$G$44*Params!$F$10*Teams!$G$47*Teams!$G$76/1000000+Teams!$G$77+Teams!$G$50*Teams!$G$78+AL120*Teams!$G$51*Teams!$G$79/1000000,0)</f>
        <v>63.494</v>
      </c>
      <c r="AM126" s="44">
        <f>AM$5*IF(AND(AM$4&gt;=Teams!$G$80,Teams!$G$49=1),Teams!$G$44*Params!$F$10*Teams!$G$45*Teams!$G$75+Teams!$G$44*Params!$F$10*Teams!$G$47*Teams!$G$76/1000000+Teams!$G$77+Teams!$G$50*Teams!$G$78+AM120*Teams!$G$51*Teams!$G$79/1000000,0)</f>
        <v>63.494</v>
      </c>
      <c r="AN126" s="44">
        <f>AN$5*IF(AND(AN$4&gt;=Teams!$G$80,Teams!$G$49=1),Teams!$G$44*Params!$F$10*Teams!$G$45*Teams!$G$75+Teams!$G$44*Params!$F$10*Teams!$G$47*Teams!$G$76/1000000+Teams!$G$77+Teams!$G$50*Teams!$G$78+AN120*Teams!$G$51*Teams!$G$79/1000000,0)</f>
        <v>63.494</v>
      </c>
      <c r="AO126" s="44">
        <f>AO$5*IF(AND(AO$4&gt;=Teams!$G$80,Teams!$G$49=1),Teams!$G$44*Params!$F$10*Teams!$G$45*Teams!$G$75+Teams!$G$44*Params!$F$10*Teams!$G$47*Teams!$G$76/1000000+Teams!$G$77+Teams!$G$50*Teams!$G$78+AO120*Teams!$G$51*Teams!$G$79/1000000,0)</f>
        <v>0</v>
      </c>
      <c r="AP126" s="44">
        <f>AP$5*IF(AND(AP$4&gt;=Teams!$G$80,Teams!$G$49=1),Teams!$G$44*Params!$F$10*Teams!$G$45*Teams!$G$75+Teams!$G$44*Params!$F$10*Teams!$G$47*Teams!$G$76/1000000+Teams!$G$77+Teams!$G$50*Teams!$G$78+AP120*Teams!$G$51*Teams!$G$79/1000000,0)</f>
        <v>0</v>
      </c>
      <c r="AQ126" s="44">
        <f>AQ$5*IF(AND(AQ$4&gt;=Teams!$G$80,Teams!$G$49=1),Teams!$G$44*Params!$F$10*Teams!$G$45*Teams!$G$75+Teams!$G$44*Params!$F$10*Teams!$G$47*Teams!$G$76/1000000+Teams!$G$77+Teams!$G$50*Teams!$G$78+AQ120*Teams!$G$51*Teams!$G$79/1000000,0)</f>
        <v>0</v>
      </c>
      <c r="AR126" s="44">
        <f>AR$5*IF(AND(AR$4&gt;=Teams!$G$80,Teams!$G$49=1),Teams!$G$44*Params!$F$10*Teams!$G$45*Teams!$G$75+Teams!$G$44*Params!$F$10*Teams!$G$47*Teams!$G$76/1000000+Teams!$G$77+Teams!$G$50*Teams!$G$78+AR120*Teams!$G$51*Teams!$G$79/1000000,0)</f>
        <v>0</v>
      </c>
      <c r="AS126" s="44">
        <f>AS$5*IF(AND(AS$4&gt;=Teams!$G$80,Teams!$G$49=1),Teams!$G$44*Params!$F$10*Teams!$G$45*Teams!$G$75+Teams!$G$44*Params!$F$10*Teams!$G$47*Teams!$G$76/1000000+Teams!$G$77+Teams!$G$50*Teams!$G$78+AS120*Teams!$G$51*Teams!$G$79/1000000,0)</f>
        <v>0</v>
      </c>
      <c r="AT126" s="44">
        <f>AT$5*IF(AND(AT$4&gt;=Teams!$G$80,Teams!$G$49=1),Teams!$G$44*Params!$F$10*Teams!$G$45*Teams!$G$75+Teams!$G$44*Params!$F$10*Teams!$G$47*Teams!$G$76/1000000+Teams!$G$77+Teams!$G$50*Teams!$G$78+AT120*Teams!$G$51*Teams!$G$79/1000000,0)</f>
        <v>0</v>
      </c>
      <c r="AU126" s="44">
        <f>AU$5*IF(AND(AU$4&gt;=Teams!$G$80,Teams!$G$49=1),Teams!$G$44*Params!$F$10*Teams!$G$45*Teams!$G$75+Teams!$G$44*Params!$F$10*Teams!$G$47*Teams!$G$76/1000000+Teams!$G$77+Teams!$G$50*Teams!$G$78+AU120*Teams!$G$51*Teams!$G$79/1000000,0)</f>
        <v>0</v>
      </c>
      <c r="AV126" s="44">
        <f>AV$5*IF(AND(AV$4&gt;=Teams!$G$80,Teams!$G$49=1),Teams!$G$44*Params!$F$10*Teams!$G$45*Teams!$G$75+Teams!$G$44*Params!$F$10*Teams!$G$47*Teams!$G$76/1000000+Teams!$G$77+Teams!$G$50*Teams!$G$78+AV120*Teams!$G$51*Teams!$G$79/1000000,0)</f>
        <v>0</v>
      </c>
      <c r="AW126" s="44">
        <f>AW$5*IF(AND(AW$4&gt;=Teams!$G$80,Teams!$G$49=1),Teams!$G$44*Params!$F$10*Teams!$G$45*Teams!$G$75+Teams!$G$44*Params!$F$10*Teams!$G$47*Teams!$G$76/1000000+Teams!$G$77+Teams!$G$50*Teams!$G$78+AW120*Teams!$G$51*Teams!$G$79/1000000,0)</f>
        <v>0</v>
      </c>
      <c r="AX126" s="44">
        <f>AX$5*IF(AND(AX$4&gt;=Teams!$G$80,Teams!$G$49=1),Teams!$G$44*Params!$F$10*Teams!$G$45*Teams!$G$75+Teams!$G$44*Params!$F$10*Teams!$G$47*Teams!$G$76/1000000+Teams!$G$77+Teams!$G$50*Teams!$G$78+AX120*Teams!$G$51*Teams!$G$79/1000000,0)</f>
        <v>0</v>
      </c>
      <c r="AY126" s="44">
        <f>AY$5*IF(AND(AY$4&gt;=Teams!$G$80,Teams!$G$49=1),Teams!$G$44*Params!$F$10*Teams!$G$45*Teams!$G$75+Teams!$G$44*Params!$F$10*Teams!$G$47*Teams!$G$76/1000000+Teams!$G$77+Teams!$G$50*Teams!$G$78+AY120*Teams!$G$51*Teams!$G$79/1000000,0)</f>
        <v>0</v>
      </c>
      <c r="AZ126" s="44">
        <f>AZ$5*IF(AND(AZ$4&gt;=Teams!$G$80,Teams!$G$49=1),Teams!$G$44*Params!$F$10*Teams!$G$45*Teams!$G$75+Teams!$G$44*Params!$F$10*Teams!$G$47*Teams!$G$76/1000000+Teams!$G$77+Teams!$G$50*Teams!$G$78+AZ120*Teams!$G$51*Teams!$G$79/1000000,0)</f>
        <v>0</v>
      </c>
      <c r="BA126" s="44">
        <f>BA$5*IF(AND(BA$4&gt;=Teams!$G$80,Teams!$G$49=1),Teams!$G$44*Params!$F$10*Teams!$G$45*Teams!$G$75+Teams!$G$44*Params!$F$10*Teams!$G$47*Teams!$G$76/1000000+Teams!$G$77+Teams!$G$50*Teams!$G$78+BA120*Teams!$G$51*Teams!$G$79/1000000,0)</f>
        <v>0</v>
      </c>
      <c r="BB126" s="44">
        <f>BB$5*IF(AND(BB$4&gt;=Teams!$G$80,Teams!$G$49=1),Teams!$G$44*Params!$F$10*Teams!$G$45*Teams!$G$75+Teams!$G$44*Params!$F$10*Teams!$G$47*Teams!$G$76/1000000+Teams!$G$77+Teams!$G$50*Teams!$G$78+BB120*Teams!$G$51*Teams!$G$79/1000000,0)</f>
        <v>0</v>
      </c>
      <c r="BC126" s="44">
        <f>BC$5*IF(AND(BC$4&gt;=Teams!$G$80,Teams!$G$49=1),Teams!$G$44*Params!$F$10*Teams!$G$45*Teams!$G$75+Teams!$G$44*Params!$F$10*Teams!$G$47*Teams!$G$76/1000000+Teams!$G$77+Teams!$G$50*Teams!$G$78+BC120*Teams!$G$51*Teams!$G$79/1000000,0)</f>
        <v>0</v>
      </c>
      <c r="BD126" s="44">
        <f>BD$5*IF(AND(BD$4&gt;=Teams!$G$80,Teams!$G$49=1),Teams!$G$44*Params!$F$10*Teams!$G$45*Teams!$G$75+Teams!$G$44*Params!$F$10*Teams!$G$47*Teams!$G$76/1000000+Teams!$G$77+Teams!$G$50*Teams!$G$78+BD120*Teams!$G$51*Teams!$G$79/1000000,0)</f>
        <v>0</v>
      </c>
      <c r="BE126" s="44">
        <f>BE$5*IF(AND(BE$4&gt;=Teams!$G$80,Teams!$G$49=1),Teams!$G$44*Params!$F$10*Teams!$G$45*Teams!$G$75+Teams!$G$44*Params!$F$10*Teams!$G$47*Teams!$G$76/1000000+Teams!$G$77+Teams!$G$50*Teams!$G$78+BE120*Teams!$G$51*Teams!$G$79/1000000,0)</f>
        <v>0</v>
      </c>
      <c r="BF126" s="44">
        <f>BF$5*IF(AND(BF$4&gt;=Teams!$G$80,Teams!$G$49=1),Teams!$G$44*Params!$F$10*Teams!$G$45*Teams!$G$75+Teams!$G$44*Params!$F$10*Teams!$G$47*Teams!$G$76/1000000+Teams!$G$77+Teams!$G$50*Teams!$G$78+BF120*Teams!$G$51*Teams!$G$79/1000000,0)</f>
        <v>0</v>
      </c>
      <c r="BG126" s="44">
        <f>BG$5*IF(AND(BG$4&gt;=Teams!$G$80,Teams!$G$49=1),Teams!$G$44*Params!$F$10*Teams!$G$45*Teams!$G$75+Teams!$G$44*Params!$F$10*Teams!$G$47*Teams!$G$76/1000000+Teams!$G$77+Teams!$G$50*Teams!$G$78+BG120*Teams!$G$51*Teams!$G$79/1000000,0)</f>
        <v>0</v>
      </c>
      <c r="BH126" s="44">
        <f>BH$5*IF(AND(BH$4&gt;=Teams!$G$80,Teams!$G$49=1),Teams!$G$44*Params!$F$10*Teams!$G$45*Teams!$G$75+Teams!$G$44*Params!$F$10*Teams!$G$47*Teams!$G$76/1000000+Teams!$G$77+Teams!$G$50*Teams!$G$78+BH120*Teams!$G$51*Teams!$G$79/1000000,0)</f>
        <v>0</v>
      </c>
      <c r="BI126" s="44">
        <f>BI$5*IF(AND(BI$4&gt;=Teams!$G$80,Teams!$G$49=1),Teams!$G$44*Params!$F$10*Teams!$G$45*Teams!$G$75+Teams!$G$44*Params!$F$10*Teams!$G$47*Teams!$G$76/1000000+Teams!$G$77+Teams!$G$50*Teams!$G$78+BI120*Teams!$G$51*Teams!$G$79/1000000,0)</f>
        <v>0</v>
      </c>
      <c r="BJ126" s="44">
        <f>BJ$5*IF(AND(BJ$4&gt;=Teams!$G$80,Teams!$G$49=1),Teams!$G$44*Params!$F$10*Teams!$G$45*Teams!$G$75+Teams!$G$44*Params!$F$10*Teams!$G$47*Teams!$G$76/1000000+Teams!$G$77+Teams!$G$50*Teams!$G$78+BJ120*Teams!$G$51*Teams!$G$79/1000000,0)</f>
        <v>0</v>
      </c>
      <c r="BK126" s="44">
        <f>BK$5*IF(AND(BK$4&gt;=Teams!$G$80,Teams!$G$49=1),Teams!$G$44*Params!$F$10*Teams!$G$45*Teams!$G$75+Teams!$G$44*Params!$F$10*Teams!$G$47*Teams!$G$76/1000000+Teams!$G$77+Teams!$G$50*Teams!$G$78+BK120*Teams!$G$51*Teams!$G$79/1000000,0)</f>
        <v>0</v>
      </c>
      <c r="BL126" s="44">
        <f>BL$5*IF(AND(BL$4&gt;=Teams!$G$80,Teams!$G$49=1),Teams!$G$44*Params!$F$10*Teams!$G$45*Teams!$G$75+Teams!$G$44*Params!$F$10*Teams!$G$47*Teams!$G$76/1000000+Teams!$G$77+Teams!$G$50*Teams!$G$78+BL120*Teams!$G$51*Teams!$G$79/1000000,0)</f>
        <v>0</v>
      </c>
    </row>
    <row r="127" spans="1:64" x14ac:dyDescent="0.3">
      <c r="A127" s="8" t="s">
        <v>671</v>
      </c>
      <c r="B127" s="18" t="s">
        <v>169</v>
      </c>
      <c r="C127" s="44">
        <f t="shared" si="38"/>
        <v>29999.999999999985</v>
      </c>
      <c r="E127" s="44">
        <f>E$5*IF(E$4&gt;=Teams!$G$80,Teams!$G$43*Params!$F$6*Org!$B$10*Params!$F$7/12,0)</f>
        <v>833.33333333333337</v>
      </c>
      <c r="F127" s="44">
        <f>F$5*IF(F$4&gt;=Teams!$G$80,Teams!$G$43*Params!$F$6*Org!$B$10*Params!$F$7/12,0)</f>
        <v>833.33333333333337</v>
      </c>
      <c r="G127" s="44">
        <f>G$5*IF(G$4&gt;=Teams!$G$80,Teams!$G$43*Params!$F$6*Org!$B$10*Params!$F$7/12,0)</f>
        <v>833.33333333333337</v>
      </c>
      <c r="H127" s="44">
        <f>H$5*IF(H$4&gt;=Teams!$G$80,Teams!$G$43*Params!$F$6*Org!$B$10*Params!$F$7/12,0)</f>
        <v>833.33333333333337</v>
      </c>
      <c r="I127" s="44">
        <f>I$5*IF(I$4&gt;=Teams!$G$80,Teams!$G$43*Params!$F$6*Org!$B$10*Params!$F$7/12,0)</f>
        <v>833.33333333333337</v>
      </c>
      <c r="J127" s="44">
        <f>J$5*IF(J$4&gt;=Teams!$G$80,Teams!$G$43*Params!$F$6*Org!$B$10*Params!$F$7/12,0)</f>
        <v>833.33333333333337</v>
      </c>
      <c r="K127" s="44">
        <f>K$5*IF(K$4&gt;=Teams!$G$80,Teams!$G$43*Params!$F$6*Org!$B$10*Params!$F$7/12,0)</f>
        <v>833.33333333333337</v>
      </c>
      <c r="L127" s="44">
        <f>L$5*IF(L$4&gt;=Teams!$G$80,Teams!$G$43*Params!$F$6*Org!$B$10*Params!$F$7/12,0)</f>
        <v>833.33333333333337</v>
      </c>
      <c r="M127" s="44">
        <f>M$5*IF(M$4&gt;=Teams!$G$80,Teams!$G$43*Params!$F$6*Org!$B$10*Params!$F$7/12,0)</f>
        <v>833.33333333333337</v>
      </c>
      <c r="N127" s="44">
        <f>N$5*IF(N$4&gt;=Teams!$G$80,Teams!$G$43*Params!$F$6*Org!$B$10*Params!$F$7/12,0)</f>
        <v>833.33333333333337</v>
      </c>
      <c r="O127" s="44">
        <f>O$5*IF(O$4&gt;=Teams!$G$80,Teams!$G$43*Params!$F$6*Org!$B$10*Params!$F$7/12,0)</f>
        <v>833.33333333333337</v>
      </c>
      <c r="P127" s="44">
        <f>P$5*IF(P$4&gt;=Teams!$G$80,Teams!$G$43*Params!$F$6*Org!$B$10*Params!$F$7/12,0)</f>
        <v>833.33333333333337</v>
      </c>
      <c r="Q127" s="44">
        <f>Q$5*IF(Q$4&gt;=Teams!$G$80,Teams!$G$43*Params!$F$6*Org!$B$10*Params!$F$7/12,0)</f>
        <v>833.33333333333337</v>
      </c>
      <c r="R127" s="44">
        <f>R$5*IF(R$4&gt;=Teams!$G$80,Teams!$G$43*Params!$F$6*Org!$B$10*Params!$F$7/12,0)</f>
        <v>833.33333333333337</v>
      </c>
      <c r="S127" s="44">
        <f>S$5*IF(S$4&gt;=Teams!$G$80,Teams!$G$43*Params!$F$6*Org!$B$10*Params!$F$7/12,0)</f>
        <v>833.33333333333337</v>
      </c>
      <c r="T127" s="44">
        <f>T$5*IF(T$4&gt;=Teams!$G$80,Teams!$G$43*Params!$F$6*Org!$B$10*Params!$F$7/12,0)</f>
        <v>833.33333333333337</v>
      </c>
      <c r="U127" s="44">
        <f>U$5*IF(U$4&gt;=Teams!$G$80,Teams!$G$43*Params!$F$6*Org!$B$10*Params!$F$7/12,0)</f>
        <v>833.33333333333337</v>
      </c>
      <c r="V127" s="44">
        <f>V$5*IF(V$4&gt;=Teams!$G$80,Teams!$G$43*Params!$F$6*Org!$B$10*Params!$F$7/12,0)</f>
        <v>833.33333333333337</v>
      </c>
      <c r="W127" s="44">
        <f>W$5*IF(W$4&gt;=Teams!$G$80,Teams!$G$43*Params!$F$6*Org!$B$10*Params!$F$7/12,0)</f>
        <v>833.33333333333337</v>
      </c>
      <c r="X127" s="44">
        <f>X$5*IF(X$4&gt;=Teams!$G$80,Teams!$G$43*Params!$F$6*Org!$B$10*Params!$F$7/12,0)</f>
        <v>833.33333333333337</v>
      </c>
      <c r="Y127" s="44">
        <f>Y$5*IF(Y$4&gt;=Teams!$G$80,Teams!$G$43*Params!$F$6*Org!$B$10*Params!$F$7/12,0)</f>
        <v>833.33333333333337</v>
      </c>
      <c r="Z127" s="44">
        <f>Z$5*IF(Z$4&gt;=Teams!$G$80,Teams!$G$43*Params!$F$6*Org!$B$10*Params!$F$7/12,0)</f>
        <v>833.33333333333337</v>
      </c>
      <c r="AA127" s="44">
        <f>AA$5*IF(AA$4&gt;=Teams!$G$80,Teams!$G$43*Params!$F$6*Org!$B$10*Params!$F$7/12,0)</f>
        <v>833.33333333333337</v>
      </c>
      <c r="AB127" s="44">
        <f>AB$5*IF(AB$4&gt;=Teams!$G$80,Teams!$G$43*Params!$F$6*Org!$B$10*Params!$F$7/12,0)</f>
        <v>833.33333333333337</v>
      </c>
      <c r="AC127" s="44">
        <f>AC$5*IF(AC$4&gt;=Teams!$G$80,Teams!$G$43*Params!$F$6*Org!$B$10*Params!$F$7/12,0)</f>
        <v>833.33333333333337</v>
      </c>
      <c r="AD127" s="44">
        <f>AD$5*IF(AD$4&gt;=Teams!$G$80,Teams!$G$43*Params!$F$6*Org!$B$10*Params!$F$7/12,0)</f>
        <v>833.33333333333337</v>
      </c>
      <c r="AE127" s="44">
        <f>AE$5*IF(AE$4&gt;=Teams!$G$80,Teams!$G$43*Params!$F$6*Org!$B$10*Params!$F$7/12,0)</f>
        <v>833.33333333333337</v>
      </c>
      <c r="AF127" s="44">
        <f>AF$5*IF(AF$4&gt;=Teams!$G$80,Teams!$G$43*Params!$F$6*Org!$B$10*Params!$F$7/12,0)</f>
        <v>833.33333333333337</v>
      </c>
      <c r="AG127" s="44">
        <f>AG$5*IF(AG$4&gt;=Teams!$G$80,Teams!$G$43*Params!$F$6*Org!$B$10*Params!$F$7/12,0)</f>
        <v>833.33333333333337</v>
      </c>
      <c r="AH127" s="44">
        <f>AH$5*IF(AH$4&gt;=Teams!$G$80,Teams!$G$43*Params!$F$6*Org!$B$10*Params!$F$7/12,0)</f>
        <v>833.33333333333337</v>
      </c>
      <c r="AI127" s="44">
        <f>AI$5*IF(AI$4&gt;=Teams!$G$80,Teams!$G$43*Params!$F$6*Org!$B$10*Params!$F$7/12,0)</f>
        <v>833.33333333333337</v>
      </c>
      <c r="AJ127" s="44">
        <f>AJ$5*IF(AJ$4&gt;=Teams!$G$80,Teams!$G$43*Params!$F$6*Org!$B$10*Params!$F$7/12,0)</f>
        <v>833.33333333333337</v>
      </c>
      <c r="AK127" s="44">
        <f>AK$5*IF(AK$4&gt;=Teams!$G$80,Teams!$G$43*Params!$F$6*Org!$B$10*Params!$F$7/12,0)</f>
        <v>833.33333333333337</v>
      </c>
      <c r="AL127" s="44">
        <f>AL$5*IF(AL$4&gt;=Teams!$G$80,Teams!$G$43*Params!$F$6*Org!$B$10*Params!$F$7/12,0)</f>
        <v>833.33333333333337</v>
      </c>
      <c r="AM127" s="44">
        <f>AM$5*IF(AM$4&gt;=Teams!$G$80,Teams!$G$43*Params!$F$6*Org!$B$10*Params!$F$7/12,0)</f>
        <v>833.33333333333337</v>
      </c>
      <c r="AN127" s="44">
        <f>AN$5*IF(AN$4&gt;=Teams!$G$80,Teams!$G$43*Params!$F$6*Org!$B$10*Params!$F$7/12,0)</f>
        <v>833.33333333333337</v>
      </c>
      <c r="AO127" s="44">
        <f>AO$5*IF(AO$4&gt;=Teams!$G$80,Teams!$G$43*Params!$F$6*Org!$B$10*Params!$F$7/12,0)</f>
        <v>0</v>
      </c>
      <c r="AP127" s="44">
        <f>AP$5*IF(AP$4&gt;=Teams!$G$80,Teams!$G$43*Params!$F$6*Org!$B$10*Params!$F$7/12,0)</f>
        <v>0</v>
      </c>
      <c r="AQ127" s="44">
        <f>AQ$5*IF(AQ$4&gt;=Teams!$G$80,Teams!$G$43*Params!$F$6*Org!$B$10*Params!$F$7/12,0)</f>
        <v>0</v>
      </c>
      <c r="AR127" s="44">
        <f>AR$5*IF(AR$4&gt;=Teams!$G$80,Teams!$G$43*Params!$F$6*Org!$B$10*Params!$F$7/12,0)</f>
        <v>0</v>
      </c>
      <c r="AS127" s="44">
        <f>AS$5*IF(AS$4&gt;=Teams!$G$80,Teams!$G$43*Params!$F$6*Org!$B$10*Params!$F$7/12,0)</f>
        <v>0</v>
      </c>
      <c r="AT127" s="44">
        <f>AT$5*IF(AT$4&gt;=Teams!$G$80,Teams!$G$43*Params!$F$6*Org!$B$10*Params!$F$7/12,0)</f>
        <v>0</v>
      </c>
      <c r="AU127" s="44">
        <f>AU$5*IF(AU$4&gt;=Teams!$G$80,Teams!$G$43*Params!$F$6*Org!$B$10*Params!$F$7/12,0)</f>
        <v>0</v>
      </c>
      <c r="AV127" s="44">
        <f>AV$5*IF(AV$4&gt;=Teams!$G$80,Teams!$G$43*Params!$F$6*Org!$B$10*Params!$F$7/12,0)</f>
        <v>0</v>
      </c>
      <c r="AW127" s="44">
        <f>AW$5*IF(AW$4&gt;=Teams!$G$80,Teams!$G$43*Params!$F$6*Org!$B$10*Params!$F$7/12,0)</f>
        <v>0</v>
      </c>
      <c r="AX127" s="44">
        <f>AX$5*IF(AX$4&gt;=Teams!$G$80,Teams!$G$43*Params!$F$6*Org!$B$10*Params!$F$7/12,0)</f>
        <v>0</v>
      </c>
      <c r="AY127" s="44">
        <f>AY$5*IF(AY$4&gt;=Teams!$G$80,Teams!$G$43*Params!$F$6*Org!$B$10*Params!$F$7/12,0)</f>
        <v>0</v>
      </c>
      <c r="AZ127" s="44">
        <f>AZ$5*IF(AZ$4&gt;=Teams!$G$80,Teams!$G$43*Params!$F$6*Org!$B$10*Params!$F$7/12,0)</f>
        <v>0</v>
      </c>
      <c r="BA127" s="44">
        <f>BA$5*IF(BA$4&gt;=Teams!$G$80,Teams!$G$43*Params!$F$6*Org!$B$10*Params!$F$7/12,0)</f>
        <v>0</v>
      </c>
      <c r="BB127" s="44">
        <f>BB$5*IF(BB$4&gt;=Teams!$G$80,Teams!$G$43*Params!$F$6*Org!$B$10*Params!$F$7/12,0)</f>
        <v>0</v>
      </c>
      <c r="BC127" s="44">
        <f>BC$5*IF(BC$4&gt;=Teams!$G$80,Teams!$G$43*Params!$F$6*Org!$B$10*Params!$F$7/12,0)</f>
        <v>0</v>
      </c>
      <c r="BD127" s="44">
        <f>BD$5*IF(BD$4&gt;=Teams!$G$80,Teams!$G$43*Params!$F$6*Org!$B$10*Params!$F$7/12,0)</f>
        <v>0</v>
      </c>
      <c r="BE127" s="44">
        <f>BE$5*IF(BE$4&gt;=Teams!$G$80,Teams!$G$43*Params!$F$6*Org!$B$10*Params!$F$7/12,0)</f>
        <v>0</v>
      </c>
      <c r="BF127" s="44">
        <f>BF$5*IF(BF$4&gt;=Teams!$G$80,Teams!$G$43*Params!$F$6*Org!$B$10*Params!$F$7/12,0)</f>
        <v>0</v>
      </c>
      <c r="BG127" s="44">
        <f>BG$5*IF(BG$4&gt;=Teams!$G$80,Teams!$G$43*Params!$F$6*Org!$B$10*Params!$F$7/12,0)</f>
        <v>0</v>
      </c>
      <c r="BH127" s="44">
        <f>BH$5*IF(BH$4&gt;=Teams!$G$80,Teams!$G$43*Params!$F$6*Org!$B$10*Params!$F$7/12,0)</f>
        <v>0</v>
      </c>
      <c r="BI127" s="44">
        <f>BI$5*IF(BI$4&gt;=Teams!$G$80,Teams!$G$43*Params!$F$6*Org!$B$10*Params!$F$7/12,0)</f>
        <v>0</v>
      </c>
      <c r="BJ127" s="44">
        <f>BJ$5*IF(BJ$4&gt;=Teams!$G$80,Teams!$G$43*Params!$F$6*Org!$B$10*Params!$F$7/12,0)</f>
        <v>0</v>
      </c>
      <c r="BK127" s="44">
        <f>BK$5*IF(BK$4&gt;=Teams!$G$80,Teams!$G$43*Params!$F$6*Org!$B$10*Params!$F$7/12,0)</f>
        <v>0</v>
      </c>
      <c r="BL127" s="44">
        <f>BL$5*IF(BL$4&gt;=Teams!$G$80,Teams!$G$43*Params!$F$6*Org!$B$10*Params!$F$7/12,0)</f>
        <v>0</v>
      </c>
    </row>
    <row r="128" spans="1:64" x14ac:dyDescent="0.3">
      <c r="A128" s="8" t="s">
        <v>672</v>
      </c>
      <c r="B128" s="18" t="s">
        <v>169</v>
      </c>
      <c r="C128" s="44">
        <f t="shared" si="38"/>
        <v>1754399.9999999991</v>
      </c>
      <c r="E128" s="44">
        <f>E$5*IF(E$4&gt;=Teams!$G$80,Params!$F$23*Params!$F$24/60*(Org!$B$10/Org!$B$11)+Params!$F$27/12*Params!$F$13*Org!$B$10+E119/1000*Params!$F$28*Params!$F$29*(Org!$B$10/Org!$B$11),0)</f>
        <v>36399.999999999993</v>
      </c>
      <c r="F128" s="44">
        <f>F$5*IF(F$4&gt;=Teams!$G$80,Params!$F$23*Params!$F$24/60*(Org!$B$10/Org!$B$11)+Params!$F$27/12*Params!$F$13*Org!$B$10+F119/1000*Params!$F$28*Params!$F$29*(Org!$B$10/Org!$B$11),0)</f>
        <v>39066.666666666664</v>
      </c>
      <c r="G128" s="44">
        <f>G$5*IF(G$4&gt;=Teams!$G$80,Params!$F$23*Params!$F$24/60*(Org!$B$10/Org!$B$11)+Params!$F$27/12*Params!$F$13*Org!$B$10+G119/1000*Params!$F$28*Params!$F$29*(Org!$B$10/Org!$B$11),0)</f>
        <v>42533.333333333328</v>
      </c>
      <c r="H128" s="44">
        <f>H$5*IF(H$4&gt;=Teams!$G$80,Params!$F$23*Params!$F$24/60*(Org!$B$10/Org!$B$11)+Params!$F$27/12*Params!$F$13*Org!$B$10+H119/1000*Params!$F$28*Params!$F$29*(Org!$B$10/Org!$B$11),0)</f>
        <v>45999.999999999993</v>
      </c>
      <c r="I128" s="44">
        <f>I$5*IF(I$4&gt;=Teams!$G$80,Params!$F$23*Params!$F$24/60*(Org!$B$10/Org!$B$11)+Params!$F$27/12*Params!$F$13*Org!$B$10+I119/1000*Params!$F$28*Params!$F$29*(Org!$B$10/Org!$B$11),0)</f>
        <v>48666.666666666664</v>
      </c>
      <c r="J128" s="44">
        <f>J$5*IF(J$4&gt;=Teams!$G$80,Params!$F$23*Params!$F$24/60*(Org!$B$10/Org!$B$11)+Params!$F$27/12*Params!$F$13*Org!$B$10+J119/1000*Params!$F$28*Params!$F$29*(Org!$B$10/Org!$B$11),0)</f>
        <v>49733.333333333328</v>
      </c>
      <c r="K128" s="44">
        <f>K$5*IF(K$4&gt;=Teams!$G$80,Params!$F$23*Params!$F$24/60*(Org!$B$10/Org!$B$11)+Params!$F$27/12*Params!$F$13*Org!$B$10+K119/1000*Params!$F$28*Params!$F$29*(Org!$B$10/Org!$B$11),0)</f>
        <v>49733.333333333328</v>
      </c>
      <c r="L128" s="44">
        <f>L$5*IF(L$4&gt;=Teams!$G$80,Params!$F$23*Params!$F$24/60*(Org!$B$10/Org!$B$11)+Params!$F$27/12*Params!$F$13*Org!$B$10+L119/1000*Params!$F$28*Params!$F$29*(Org!$B$10/Org!$B$11),0)</f>
        <v>49733.333333333328</v>
      </c>
      <c r="M128" s="44">
        <f>M$5*IF(M$4&gt;=Teams!$G$80,Params!$F$23*Params!$F$24/60*(Org!$B$10/Org!$B$11)+Params!$F$27/12*Params!$F$13*Org!$B$10+M119/1000*Params!$F$28*Params!$F$29*(Org!$B$10/Org!$B$11),0)</f>
        <v>49733.333333333328</v>
      </c>
      <c r="N128" s="44">
        <f>N$5*IF(N$4&gt;=Teams!$G$80,Params!$F$23*Params!$F$24/60*(Org!$B$10/Org!$B$11)+Params!$F$27/12*Params!$F$13*Org!$B$10+N119/1000*Params!$F$28*Params!$F$29*(Org!$B$10/Org!$B$11),0)</f>
        <v>49733.333333333328</v>
      </c>
      <c r="O128" s="44">
        <f>O$5*IF(O$4&gt;=Teams!$G$80,Params!$F$23*Params!$F$24/60*(Org!$B$10/Org!$B$11)+Params!$F$27/12*Params!$F$13*Org!$B$10+O119/1000*Params!$F$28*Params!$F$29*(Org!$B$10/Org!$B$11),0)</f>
        <v>49733.333333333328</v>
      </c>
      <c r="P128" s="44">
        <f>P$5*IF(P$4&gt;=Teams!$G$80,Params!$F$23*Params!$F$24/60*(Org!$B$10/Org!$B$11)+Params!$F$27/12*Params!$F$13*Org!$B$10+P119/1000*Params!$F$28*Params!$F$29*(Org!$B$10/Org!$B$11),0)</f>
        <v>49733.333333333328</v>
      </c>
      <c r="Q128" s="44">
        <f>Q$5*IF(Q$4&gt;=Teams!$G$80,Params!$F$23*Params!$F$24/60*(Org!$B$10/Org!$B$11)+Params!$F$27/12*Params!$F$13*Org!$B$10+Q119/1000*Params!$F$28*Params!$F$29*(Org!$B$10/Org!$B$11),0)</f>
        <v>49733.333333333328</v>
      </c>
      <c r="R128" s="44">
        <f>R$5*IF(R$4&gt;=Teams!$G$80,Params!$F$23*Params!$F$24/60*(Org!$B$10/Org!$B$11)+Params!$F$27/12*Params!$F$13*Org!$B$10+R119/1000*Params!$F$28*Params!$F$29*(Org!$B$10/Org!$B$11),0)</f>
        <v>49733.333333333328</v>
      </c>
      <c r="S128" s="44">
        <f>S$5*IF(S$4&gt;=Teams!$G$80,Params!$F$23*Params!$F$24/60*(Org!$B$10/Org!$B$11)+Params!$F$27/12*Params!$F$13*Org!$B$10+S119/1000*Params!$F$28*Params!$F$29*(Org!$B$10/Org!$B$11),0)</f>
        <v>49733.333333333328</v>
      </c>
      <c r="T128" s="44">
        <f>T$5*IF(T$4&gt;=Teams!$G$80,Params!$F$23*Params!$F$24/60*(Org!$B$10/Org!$B$11)+Params!$F$27/12*Params!$F$13*Org!$B$10+T119/1000*Params!$F$28*Params!$F$29*(Org!$B$10/Org!$B$11),0)</f>
        <v>49733.333333333328</v>
      </c>
      <c r="U128" s="44">
        <f>U$5*IF(U$4&gt;=Teams!$G$80,Params!$F$23*Params!$F$24/60*(Org!$B$10/Org!$B$11)+Params!$F$27/12*Params!$F$13*Org!$B$10+U119/1000*Params!$F$28*Params!$F$29*(Org!$B$10/Org!$B$11),0)</f>
        <v>49733.333333333328</v>
      </c>
      <c r="V128" s="44">
        <f>V$5*IF(V$4&gt;=Teams!$G$80,Params!$F$23*Params!$F$24/60*(Org!$B$10/Org!$B$11)+Params!$F$27/12*Params!$F$13*Org!$B$10+V119/1000*Params!$F$28*Params!$F$29*(Org!$B$10/Org!$B$11),0)</f>
        <v>49733.333333333328</v>
      </c>
      <c r="W128" s="44">
        <f>W$5*IF(W$4&gt;=Teams!$G$80,Params!$F$23*Params!$F$24/60*(Org!$B$10/Org!$B$11)+Params!$F$27/12*Params!$F$13*Org!$B$10+W119/1000*Params!$F$28*Params!$F$29*(Org!$B$10/Org!$B$11),0)</f>
        <v>49733.333333333328</v>
      </c>
      <c r="X128" s="44">
        <f>X$5*IF(X$4&gt;=Teams!$G$80,Params!$F$23*Params!$F$24/60*(Org!$B$10/Org!$B$11)+Params!$F$27/12*Params!$F$13*Org!$B$10+X119/1000*Params!$F$28*Params!$F$29*(Org!$B$10/Org!$B$11),0)</f>
        <v>49733.333333333328</v>
      </c>
      <c r="Y128" s="44">
        <f>Y$5*IF(Y$4&gt;=Teams!$G$80,Params!$F$23*Params!$F$24/60*(Org!$B$10/Org!$B$11)+Params!$F$27/12*Params!$F$13*Org!$B$10+Y119/1000*Params!$F$28*Params!$F$29*(Org!$B$10/Org!$B$11),0)</f>
        <v>49733.333333333328</v>
      </c>
      <c r="Z128" s="44">
        <f>Z$5*IF(Z$4&gt;=Teams!$G$80,Params!$F$23*Params!$F$24/60*(Org!$B$10/Org!$B$11)+Params!$F$27/12*Params!$F$13*Org!$B$10+Z119/1000*Params!$F$28*Params!$F$29*(Org!$B$10/Org!$B$11),0)</f>
        <v>49733.333333333328</v>
      </c>
      <c r="AA128" s="44">
        <f>AA$5*IF(AA$4&gt;=Teams!$G$80,Params!$F$23*Params!$F$24/60*(Org!$B$10/Org!$B$11)+Params!$F$27/12*Params!$F$13*Org!$B$10+AA119/1000*Params!$F$28*Params!$F$29*(Org!$B$10/Org!$B$11),0)</f>
        <v>49733.333333333328</v>
      </c>
      <c r="AB128" s="44">
        <f>AB$5*IF(AB$4&gt;=Teams!$G$80,Params!$F$23*Params!$F$24/60*(Org!$B$10/Org!$B$11)+Params!$F$27/12*Params!$F$13*Org!$B$10+AB119/1000*Params!$F$28*Params!$F$29*(Org!$B$10/Org!$B$11),0)</f>
        <v>49733.333333333328</v>
      </c>
      <c r="AC128" s="44">
        <f>AC$5*IF(AC$4&gt;=Teams!$G$80,Params!$F$23*Params!$F$24/60*(Org!$B$10/Org!$B$11)+Params!$F$27/12*Params!$F$13*Org!$B$10+AC119/1000*Params!$F$28*Params!$F$29*(Org!$B$10/Org!$B$11),0)</f>
        <v>49733.333333333328</v>
      </c>
      <c r="AD128" s="44">
        <f>AD$5*IF(AD$4&gt;=Teams!$G$80,Params!$F$23*Params!$F$24/60*(Org!$B$10/Org!$B$11)+Params!$F$27/12*Params!$F$13*Org!$B$10+AD119/1000*Params!$F$28*Params!$F$29*(Org!$B$10/Org!$B$11),0)</f>
        <v>49733.333333333328</v>
      </c>
      <c r="AE128" s="44">
        <f>AE$5*IF(AE$4&gt;=Teams!$G$80,Params!$F$23*Params!$F$24/60*(Org!$B$10/Org!$B$11)+Params!$F$27/12*Params!$F$13*Org!$B$10+AE119/1000*Params!$F$28*Params!$F$29*(Org!$B$10/Org!$B$11),0)</f>
        <v>49733.333333333328</v>
      </c>
      <c r="AF128" s="44">
        <f>AF$5*IF(AF$4&gt;=Teams!$G$80,Params!$F$23*Params!$F$24/60*(Org!$B$10/Org!$B$11)+Params!$F$27/12*Params!$F$13*Org!$B$10+AF119/1000*Params!$F$28*Params!$F$29*(Org!$B$10/Org!$B$11),0)</f>
        <v>49733.333333333328</v>
      </c>
      <c r="AG128" s="44">
        <f>AG$5*IF(AG$4&gt;=Teams!$G$80,Params!$F$23*Params!$F$24/60*(Org!$B$10/Org!$B$11)+Params!$F$27/12*Params!$F$13*Org!$B$10+AG119/1000*Params!$F$28*Params!$F$29*(Org!$B$10/Org!$B$11),0)</f>
        <v>49733.333333333328</v>
      </c>
      <c r="AH128" s="44">
        <f>AH$5*IF(AH$4&gt;=Teams!$G$80,Params!$F$23*Params!$F$24/60*(Org!$B$10/Org!$B$11)+Params!$F$27/12*Params!$F$13*Org!$B$10+AH119/1000*Params!$F$28*Params!$F$29*(Org!$B$10/Org!$B$11),0)</f>
        <v>49733.333333333328</v>
      </c>
      <c r="AI128" s="44">
        <f>AI$5*IF(AI$4&gt;=Teams!$G$80,Params!$F$23*Params!$F$24/60*(Org!$B$10/Org!$B$11)+Params!$F$27/12*Params!$F$13*Org!$B$10+AI119/1000*Params!$F$28*Params!$F$29*(Org!$B$10/Org!$B$11),0)</f>
        <v>49733.333333333328</v>
      </c>
      <c r="AJ128" s="44">
        <f>AJ$5*IF(AJ$4&gt;=Teams!$G$80,Params!$F$23*Params!$F$24/60*(Org!$B$10/Org!$B$11)+Params!$F$27/12*Params!$F$13*Org!$B$10+AJ119/1000*Params!$F$28*Params!$F$29*(Org!$B$10/Org!$B$11),0)</f>
        <v>49733.333333333328</v>
      </c>
      <c r="AK128" s="44">
        <f>AK$5*IF(AK$4&gt;=Teams!$G$80,Params!$F$23*Params!$F$24/60*(Org!$B$10/Org!$B$11)+Params!$F$27/12*Params!$F$13*Org!$B$10+AK119/1000*Params!$F$28*Params!$F$29*(Org!$B$10/Org!$B$11),0)</f>
        <v>49733.333333333328</v>
      </c>
      <c r="AL128" s="44">
        <f>AL$5*IF(AL$4&gt;=Teams!$G$80,Params!$F$23*Params!$F$24/60*(Org!$B$10/Org!$B$11)+Params!$F$27/12*Params!$F$13*Org!$B$10+AL119/1000*Params!$F$28*Params!$F$29*(Org!$B$10/Org!$B$11),0)</f>
        <v>49733.333333333328</v>
      </c>
      <c r="AM128" s="44">
        <f>AM$5*IF(AM$4&gt;=Teams!$G$80,Params!$F$23*Params!$F$24/60*(Org!$B$10/Org!$B$11)+Params!$F$27/12*Params!$F$13*Org!$B$10+AM119/1000*Params!$F$28*Params!$F$29*(Org!$B$10/Org!$B$11),0)</f>
        <v>49733.333333333328</v>
      </c>
      <c r="AN128" s="44">
        <f>AN$5*IF(AN$4&gt;=Teams!$G$80,Params!$F$23*Params!$F$24/60*(Org!$B$10/Org!$B$11)+Params!$F$27/12*Params!$F$13*Org!$B$10+AN119/1000*Params!$F$28*Params!$F$29*(Org!$B$10/Org!$B$11),0)</f>
        <v>49733.333333333328</v>
      </c>
      <c r="AO128" s="44">
        <f>AO$5*IF(AO$4&gt;=Teams!$G$80,Params!$F$23*Params!$F$24/60*(Org!$B$10/Org!$B$11)+Params!$F$27/12*Params!$F$13*Org!$B$10+AO119/1000*Params!$F$28*Params!$F$29*(Org!$B$10/Org!$B$11),0)</f>
        <v>0</v>
      </c>
      <c r="AP128" s="44">
        <f>AP$5*IF(AP$4&gt;=Teams!$G$80,Params!$F$23*Params!$F$24/60*(Org!$B$10/Org!$B$11)+Params!$F$27/12*Params!$F$13*Org!$B$10+AP119/1000*Params!$F$28*Params!$F$29*(Org!$B$10/Org!$B$11),0)</f>
        <v>0</v>
      </c>
      <c r="AQ128" s="44">
        <f>AQ$5*IF(AQ$4&gt;=Teams!$G$80,Params!$F$23*Params!$F$24/60*(Org!$B$10/Org!$B$11)+Params!$F$27/12*Params!$F$13*Org!$B$10+AQ119/1000*Params!$F$28*Params!$F$29*(Org!$B$10/Org!$B$11),0)</f>
        <v>0</v>
      </c>
      <c r="AR128" s="44">
        <f>AR$5*IF(AR$4&gt;=Teams!$G$80,Params!$F$23*Params!$F$24/60*(Org!$B$10/Org!$B$11)+Params!$F$27/12*Params!$F$13*Org!$B$10+AR119/1000*Params!$F$28*Params!$F$29*(Org!$B$10/Org!$B$11),0)</f>
        <v>0</v>
      </c>
      <c r="AS128" s="44">
        <f>AS$5*IF(AS$4&gt;=Teams!$G$80,Params!$F$23*Params!$F$24/60*(Org!$B$10/Org!$B$11)+Params!$F$27/12*Params!$F$13*Org!$B$10+AS119/1000*Params!$F$28*Params!$F$29*(Org!$B$10/Org!$B$11),0)</f>
        <v>0</v>
      </c>
      <c r="AT128" s="44">
        <f>AT$5*IF(AT$4&gt;=Teams!$G$80,Params!$F$23*Params!$F$24/60*(Org!$B$10/Org!$B$11)+Params!$F$27/12*Params!$F$13*Org!$B$10+AT119/1000*Params!$F$28*Params!$F$29*(Org!$B$10/Org!$B$11),0)</f>
        <v>0</v>
      </c>
      <c r="AU128" s="44">
        <f>AU$5*IF(AU$4&gt;=Teams!$G$80,Params!$F$23*Params!$F$24/60*(Org!$B$10/Org!$B$11)+Params!$F$27/12*Params!$F$13*Org!$B$10+AU119/1000*Params!$F$28*Params!$F$29*(Org!$B$10/Org!$B$11),0)</f>
        <v>0</v>
      </c>
      <c r="AV128" s="44">
        <f>AV$5*IF(AV$4&gt;=Teams!$G$80,Params!$F$23*Params!$F$24/60*(Org!$B$10/Org!$B$11)+Params!$F$27/12*Params!$F$13*Org!$B$10+AV119/1000*Params!$F$28*Params!$F$29*(Org!$B$10/Org!$B$11),0)</f>
        <v>0</v>
      </c>
      <c r="AW128" s="44">
        <f>AW$5*IF(AW$4&gt;=Teams!$G$80,Params!$F$23*Params!$F$24/60*(Org!$B$10/Org!$B$11)+Params!$F$27/12*Params!$F$13*Org!$B$10+AW119/1000*Params!$F$28*Params!$F$29*(Org!$B$10/Org!$B$11),0)</f>
        <v>0</v>
      </c>
      <c r="AX128" s="44">
        <f>AX$5*IF(AX$4&gt;=Teams!$G$80,Params!$F$23*Params!$F$24/60*(Org!$B$10/Org!$B$11)+Params!$F$27/12*Params!$F$13*Org!$B$10+AX119/1000*Params!$F$28*Params!$F$29*(Org!$B$10/Org!$B$11),0)</f>
        <v>0</v>
      </c>
      <c r="AY128" s="44">
        <f>AY$5*IF(AY$4&gt;=Teams!$G$80,Params!$F$23*Params!$F$24/60*(Org!$B$10/Org!$B$11)+Params!$F$27/12*Params!$F$13*Org!$B$10+AY119/1000*Params!$F$28*Params!$F$29*(Org!$B$10/Org!$B$11),0)</f>
        <v>0</v>
      </c>
      <c r="AZ128" s="44">
        <f>AZ$5*IF(AZ$4&gt;=Teams!$G$80,Params!$F$23*Params!$F$24/60*(Org!$B$10/Org!$B$11)+Params!$F$27/12*Params!$F$13*Org!$B$10+AZ119/1000*Params!$F$28*Params!$F$29*(Org!$B$10/Org!$B$11),0)</f>
        <v>0</v>
      </c>
      <c r="BA128" s="44">
        <f>BA$5*IF(BA$4&gt;=Teams!$G$80,Params!$F$23*Params!$F$24/60*(Org!$B$10/Org!$B$11)+Params!$F$27/12*Params!$F$13*Org!$B$10+BA119/1000*Params!$F$28*Params!$F$29*(Org!$B$10/Org!$B$11),0)</f>
        <v>0</v>
      </c>
      <c r="BB128" s="44">
        <f>BB$5*IF(BB$4&gt;=Teams!$G$80,Params!$F$23*Params!$F$24/60*(Org!$B$10/Org!$B$11)+Params!$F$27/12*Params!$F$13*Org!$B$10+BB119/1000*Params!$F$28*Params!$F$29*(Org!$B$10/Org!$B$11),0)</f>
        <v>0</v>
      </c>
      <c r="BC128" s="44">
        <f>BC$5*IF(BC$4&gt;=Teams!$G$80,Params!$F$23*Params!$F$24/60*(Org!$B$10/Org!$B$11)+Params!$F$27/12*Params!$F$13*Org!$B$10+BC119/1000*Params!$F$28*Params!$F$29*(Org!$B$10/Org!$B$11),0)</f>
        <v>0</v>
      </c>
      <c r="BD128" s="44">
        <f>BD$5*IF(BD$4&gt;=Teams!$G$80,Params!$F$23*Params!$F$24/60*(Org!$B$10/Org!$B$11)+Params!$F$27/12*Params!$F$13*Org!$B$10+BD119/1000*Params!$F$28*Params!$F$29*(Org!$B$10/Org!$B$11),0)</f>
        <v>0</v>
      </c>
      <c r="BE128" s="44">
        <f>BE$5*IF(BE$4&gt;=Teams!$G$80,Params!$F$23*Params!$F$24/60*(Org!$B$10/Org!$B$11)+Params!$F$27/12*Params!$F$13*Org!$B$10+BE119/1000*Params!$F$28*Params!$F$29*(Org!$B$10/Org!$B$11),0)</f>
        <v>0</v>
      </c>
      <c r="BF128" s="44">
        <f>BF$5*IF(BF$4&gt;=Teams!$G$80,Params!$F$23*Params!$F$24/60*(Org!$B$10/Org!$B$11)+Params!$F$27/12*Params!$F$13*Org!$B$10+BF119/1000*Params!$F$28*Params!$F$29*(Org!$B$10/Org!$B$11),0)</f>
        <v>0</v>
      </c>
      <c r="BG128" s="44">
        <f>BG$5*IF(BG$4&gt;=Teams!$G$80,Params!$F$23*Params!$F$24/60*(Org!$B$10/Org!$B$11)+Params!$F$27/12*Params!$F$13*Org!$B$10+BG119/1000*Params!$F$28*Params!$F$29*(Org!$B$10/Org!$B$11),0)</f>
        <v>0</v>
      </c>
      <c r="BH128" s="44">
        <f>BH$5*IF(BH$4&gt;=Teams!$G$80,Params!$F$23*Params!$F$24/60*(Org!$B$10/Org!$B$11)+Params!$F$27/12*Params!$F$13*Org!$B$10+BH119/1000*Params!$F$28*Params!$F$29*(Org!$B$10/Org!$B$11),0)</f>
        <v>0</v>
      </c>
      <c r="BI128" s="44">
        <f>BI$5*IF(BI$4&gt;=Teams!$G$80,Params!$F$23*Params!$F$24/60*(Org!$B$10/Org!$B$11)+Params!$F$27/12*Params!$F$13*Org!$B$10+BI119/1000*Params!$F$28*Params!$F$29*(Org!$B$10/Org!$B$11),0)</f>
        <v>0</v>
      </c>
      <c r="BJ128" s="44">
        <f>BJ$5*IF(BJ$4&gt;=Teams!$G$80,Params!$F$23*Params!$F$24/60*(Org!$B$10/Org!$B$11)+Params!$F$27/12*Params!$F$13*Org!$B$10+BJ119/1000*Params!$F$28*Params!$F$29*(Org!$B$10/Org!$B$11),0)</f>
        <v>0</v>
      </c>
      <c r="BK128" s="44">
        <f>BK$5*IF(BK$4&gt;=Teams!$G$80,Params!$F$23*Params!$F$24/60*(Org!$B$10/Org!$B$11)+Params!$F$27/12*Params!$F$13*Org!$B$10+BK119/1000*Params!$F$28*Params!$F$29*(Org!$B$10/Org!$B$11),0)</f>
        <v>0</v>
      </c>
      <c r="BL128" s="44">
        <f>BL$5*IF(BL$4&gt;=Teams!$G$80,Params!$F$23*Params!$F$24/60*(Org!$B$10/Org!$B$11)+Params!$F$27/12*Params!$F$13*Org!$B$10+BL119/1000*Params!$F$28*Params!$F$29*(Org!$B$10/Org!$B$11),0)</f>
        <v>0</v>
      </c>
    </row>
    <row r="129" spans="1:64" x14ac:dyDescent="0.3">
      <c r="A129" s="8" t="s">
        <v>673</v>
      </c>
      <c r="B129" s="18" t="s">
        <v>604</v>
      </c>
      <c r="C129" s="44">
        <f t="shared" si="38"/>
        <v>54400</v>
      </c>
      <c r="E129" s="44">
        <f>E$5*IF(AND(E$4&gt;Teams!$G$80,MOD(E$4-Teams!$G$80,MAX(1,ROUND(Params!$F$25,0)))=0),(Params!$F$26+Params!$F$17*Params!$F$16)*Org!$B$10,0)</f>
        <v>0</v>
      </c>
      <c r="F129" s="44">
        <f>F$5*IF(AND(F$4&gt;Teams!$G$80,MOD(F$4-Teams!$G$80,MAX(1,ROUND(Params!$F$25,0)))=0),(Params!$F$26+Params!$F$17*Params!$F$16)*Org!$B$10,0)</f>
        <v>0</v>
      </c>
      <c r="G129" s="44">
        <f>G$5*IF(AND(G$4&gt;Teams!$G$80,MOD(G$4-Teams!$G$80,MAX(1,ROUND(Params!$F$25,0)))=0),(Params!$F$26+Params!$F$17*Params!$F$16)*Org!$B$10,0)</f>
        <v>0</v>
      </c>
      <c r="H129" s="44">
        <f>H$5*IF(AND(H$4&gt;Teams!$G$80,MOD(H$4-Teams!$G$80,MAX(1,ROUND(Params!$F$25,0)))=0),(Params!$F$26+Params!$F$17*Params!$F$16)*Org!$B$10,0)</f>
        <v>0</v>
      </c>
      <c r="I129" s="44">
        <f>I$5*IF(AND(I$4&gt;Teams!$G$80,MOD(I$4-Teams!$G$80,MAX(1,ROUND(Params!$F$25,0)))=0),(Params!$F$26+Params!$F$17*Params!$F$16)*Org!$B$10,0)</f>
        <v>0</v>
      </c>
      <c r="J129" s="44">
        <f>J$5*IF(AND(J$4&gt;Teams!$G$80,MOD(J$4-Teams!$G$80,MAX(1,ROUND(Params!$F$25,0)))=0),(Params!$F$26+Params!$F$17*Params!$F$16)*Org!$B$10,0)</f>
        <v>0</v>
      </c>
      <c r="K129" s="44">
        <f>K$5*IF(AND(K$4&gt;Teams!$G$80,MOD(K$4-Teams!$G$80,MAX(1,ROUND(Params!$F$25,0)))=0),(Params!$F$26+Params!$F$17*Params!$F$16)*Org!$B$10,0)</f>
        <v>0</v>
      </c>
      <c r="L129" s="44">
        <f>L$5*IF(AND(L$4&gt;Teams!$G$80,MOD(L$4-Teams!$G$80,MAX(1,ROUND(Params!$F$25,0)))=0),(Params!$F$26+Params!$F$17*Params!$F$16)*Org!$B$10,0)</f>
        <v>0</v>
      </c>
      <c r="M129" s="44">
        <f>M$5*IF(AND(M$4&gt;Teams!$G$80,MOD(M$4-Teams!$G$80,MAX(1,ROUND(Params!$F$25,0)))=0),(Params!$F$26+Params!$F$17*Params!$F$16)*Org!$B$10,0)</f>
        <v>0</v>
      </c>
      <c r="N129" s="44">
        <f>N$5*IF(AND(N$4&gt;Teams!$G$80,MOD(N$4-Teams!$G$80,MAX(1,ROUND(Params!$F$25,0)))=0),(Params!$F$26+Params!$F$17*Params!$F$16)*Org!$B$10,0)</f>
        <v>0</v>
      </c>
      <c r="O129" s="44">
        <f>O$5*IF(AND(O$4&gt;Teams!$G$80,MOD(O$4-Teams!$G$80,MAX(1,ROUND(Params!$F$25,0)))=0),(Params!$F$26+Params!$F$17*Params!$F$16)*Org!$B$10,0)</f>
        <v>0</v>
      </c>
      <c r="P129" s="44">
        <f>P$5*IF(AND(P$4&gt;Teams!$G$80,MOD(P$4-Teams!$G$80,MAX(1,ROUND(Params!$F$25,0)))=0),(Params!$F$26+Params!$F$17*Params!$F$16)*Org!$B$10,0)</f>
        <v>0</v>
      </c>
      <c r="Q129" s="44">
        <f>Q$5*IF(AND(Q$4&gt;Teams!$G$80,MOD(Q$4-Teams!$G$80,MAX(1,ROUND(Params!$F$25,0)))=0),(Params!$F$26+Params!$F$17*Params!$F$16)*Org!$B$10,0)</f>
        <v>27200</v>
      </c>
      <c r="R129" s="44">
        <f>R$5*IF(AND(R$4&gt;Teams!$G$80,MOD(R$4-Teams!$G$80,MAX(1,ROUND(Params!$F$25,0)))=0),(Params!$F$26+Params!$F$17*Params!$F$16)*Org!$B$10,0)</f>
        <v>0</v>
      </c>
      <c r="S129" s="44">
        <f>S$5*IF(AND(S$4&gt;Teams!$G$80,MOD(S$4-Teams!$G$80,MAX(1,ROUND(Params!$F$25,0)))=0),(Params!$F$26+Params!$F$17*Params!$F$16)*Org!$B$10,0)</f>
        <v>0</v>
      </c>
      <c r="T129" s="44">
        <f>T$5*IF(AND(T$4&gt;Teams!$G$80,MOD(T$4-Teams!$G$80,MAX(1,ROUND(Params!$F$25,0)))=0),(Params!$F$26+Params!$F$17*Params!$F$16)*Org!$B$10,0)</f>
        <v>0</v>
      </c>
      <c r="U129" s="44">
        <f>U$5*IF(AND(U$4&gt;Teams!$G$80,MOD(U$4-Teams!$G$80,MAX(1,ROUND(Params!$F$25,0)))=0),(Params!$F$26+Params!$F$17*Params!$F$16)*Org!$B$10,0)</f>
        <v>0</v>
      </c>
      <c r="V129" s="44">
        <f>V$5*IF(AND(V$4&gt;Teams!$G$80,MOD(V$4-Teams!$G$80,MAX(1,ROUND(Params!$F$25,0)))=0),(Params!$F$26+Params!$F$17*Params!$F$16)*Org!$B$10,0)</f>
        <v>0</v>
      </c>
      <c r="W129" s="44">
        <f>W$5*IF(AND(W$4&gt;Teams!$G$80,MOD(W$4-Teams!$G$80,MAX(1,ROUND(Params!$F$25,0)))=0),(Params!$F$26+Params!$F$17*Params!$F$16)*Org!$B$10,0)</f>
        <v>0</v>
      </c>
      <c r="X129" s="44">
        <f>X$5*IF(AND(X$4&gt;Teams!$G$80,MOD(X$4-Teams!$G$80,MAX(1,ROUND(Params!$F$25,0)))=0),(Params!$F$26+Params!$F$17*Params!$F$16)*Org!$B$10,0)</f>
        <v>0</v>
      </c>
      <c r="Y129" s="44">
        <f>Y$5*IF(AND(Y$4&gt;Teams!$G$80,MOD(Y$4-Teams!$G$80,MAX(1,ROUND(Params!$F$25,0)))=0),(Params!$F$26+Params!$F$17*Params!$F$16)*Org!$B$10,0)</f>
        <v>0</v>
      </c>
      <c r="Z129" s="44">
        <f>Z$5*IF(AND(Z$4&gt;Teams!$G$80,MOD(Z$4-Teams!$G$80,MAX(1,ROUND(Params!$F$25,0)))=0),(Params!$F$26+Params!$F$17*Params!$F$16)*Org!$B$10,0)</f>
        <v>0</v>
      </c>
      <c r="AA129" s="44">
        <f>AA$5*IF(AND(AA$4&gt;Teams!$G$80,MOD(AA$4-Teams!$G$80,MAX(1,ROUND(Params!$F$25,0)))=0),(Params!$F$26+Params!$F$17*Params!$F$16)*Org!$B$10,0)</f>
        <v>0</v>
      </c>
      <c r="AB129" s="44">
        <f>AB$5*IF(AND(AB$4&gt;Teams!$G$80,MOD(AB$4-Teams!$G$80,MAX(1,ROUND(Params!$F$25,0)))=0),(Params!$F$26+Params!$F$17*Params!$F$16)*Org!$B$10,0)</f>
        <v>0</v>
      </c>
      <c r="AC129" s="44">
        <f>AC$5*IF(AND(AC$4&gt;Teams!$G$80,MOD(AC$4-Teams!$G$80,MAX(1,ROUND(Params!$F$25,0)))=0),(Params!$F$26+Params!$F$17*Params!$F$16)*Org!$B$10,0)</f>
        <v>27200</v>
      </c>
      <c r="AD129" s="44">
        <f>AD$5*IF(AND(AD$4&gt;Teams!$G$80,MOD(AD$4-Teams!$G$80,MAX(1,ROUND(Params!$F$25,0)))=0),(Params!$F$26+Params!$F$17*Params!$F$16)*Org!$B$10,0)</f>
        <v>0</v>
      </c>
      <c r="AE129" s="44">
        <f>AE$5*IF(AND(AE$4&gt;Teams!$G$80,MOD(AE$4-Teams!$G$80,MAX(1,ROUND(Params!$F$25,0)))=0),(Params!$F$26+Params!$F$17*Params!$F$16)*Org!$B$10,0)</f>
        <v>0</v>
      </c>
      <c r="AF129" s="44">
        <f>AF$5*IF(AND(AF$4&gt;Teams!$G$80,MOD(AF$4-Teams!$G$80,MAX(1,ROUND(Params!$F$25,0)))=0),(Params!$F$26+Params!$F$17*Params!$F$16)*Org!$B$10,0)</f>
        <v>0</v>
      </c>
      <c r="AG129" s="44">
        <f>AG$5*IF(AND(AG$4&gt;Teams!$G$80,MOD(AG$4-Teams!$G$80,MAX(1,ROUND(Params!$F$25,0)))=0),(Params!$F$26+Params!$F$17*Params!$F$16)*Org!$B$10,0)</f>
        <v>0</v>
      </c>
      <c r="AH129" s="44">
        <f>AH$5*IF(AND(AH$4&gt;Teams!$G$80,MOD(AH$4-Teams!$G$80,MAX(1,ROUND(Params!$F$25,0)))=0),(Params!$F$26+Params!$F$17*Params!$F$16)*Org!$B$10,0)</f>
        <v>0</v>
      </c>
      <c r="AI129" s="44">
        <f>AI$5*IF(AND(AI$4&gt;Teams!$G$80,MOD(AI$4-Teams!$G$80,MAX(1,ROUND(Params!$F$25,0)))=0),(Params!$F$26+Params!$F$17*Params!$F$16)*Org!$B$10,0)</f>
        <v>0</v>
      </c>
      <c r="AJ129" s="44">
        <f>AJ$5*IF(AND(AJ$4&gt;Teams!$G$80,MOD(AJ$4-Teams!$G$80,MAX(1,ROUND(Params!$F$25,0)))=0),(Params!$F$26+Params!$F$17*Params!$F$16)*Org!$B$10,0)</f>
        <v>0</v>
      </c>
      <c r="AK129" s="44">
        <f>AK$5*IF(AND(AK$4&gt;Teams!$G$80,MOD(AK$4-Teams!$G$80,MAX(1,ROUND(Params!$F$25,0)))=0),(Params!$F$26+Params!$F$17*Params!$F$16)*Org!$B$10,0)</f>
        <v>0</v>
      </c>
      <c r="AL129" s="44">
        <f>AL$5*IF(AND(AL$4&gt;Teams!$G$80,MOD(AL$4-Teams!$G$80,MAX(1,ROUND(Params!$F$25,0)))=0),(Params!$F$26+Params!$F$17*Params!$F$16)*Org!$B$10,0)</f>
        <v>0</v>
      </c>
      <c r="AM129" s="44">
        <f>AM$5*IF(AND(AM$4&gt;Teams!$G$80,MOD(AM$4-Teams!$G$80,MAX(1,ROUND(Params!$F$25,0)))=0),(Params!$F$26+Params!$F$17*Params!$F$16)*Org!$B$10,0)</f>
        <v>0</v>
      </c>
      <c r="AN129" s="44">
        <f>AN$5*IF(AND(AN$4&gt;Teams!$G$80,MOD(AN$4-Teams!$G$80,MAX(1,ROUND(Params!$F$25,0)))=0),(Params!$F$26+Params!$F$17*Params!$F$16)*Org!$B$10,0)</f>
        <v>0</v>
      </c>
      <c r="AO129" s="44">
        <f>AO$5*IF(AND(AO$4&gt;Teams!$G$80,MOD(AO$4-Teams!$G$80,MAX(1,ROUND(Params!$F$25,0)))=0),(Params!$F$26+Params!$F$17*Params!$F$16)*Org!$B$10,0)</f>
        <v>0</v>
      </c>
      <c r="AP129" s="44">
        <f>AP$5*IF(AND(AP$4&gt;Teams!$G$80,MOD(AP$4-Teams!$G$80,MAX(1,ROUND(Params!$F$25,0)))=0),(Params!$F$26+Params!$F$17*Params!$F$16)*Org!$B$10,0)</f>
        <v>0</v>
      </c>
      <c r="AQ129" s="44">
        <f>AQ$5*IF(AND(AQ$4&gt;Teams!$G$80,MOD(AQ$4-Teams!$G$80,MAX(1,ROUND(Params!$F$25,0)))=0),(Params!$F$26+Params!$F$17*Params!$F$16)*Org!$B$10,0)</f>
        <v>0</v>
      </c>
      <c r="AR129" s="44">
        <f>AR$5*IF(AND(AR$4&gt;Teams!$G$80,MOD(AR$4-Teams!$G$80,MAX(1,ROUND(Params!$F$25,0)))=0),(Params!$F$26+Params!$F$17*Params!$F$16)*Org!$B$10,0)</f>
        <v>0</v>
      </c>
      <c r="AS129" s="44">
        <f>AS$5*IF(AND(AS$4&gt;Teams!$G$80,MOD(AS$4-Teams!$G$80,MAX(1,ROUND(Params!$F$25,0)))=0),(Params!$F$26+Params!$F$17*Params!$F$16)*Org!$B$10,0)</f>
        <v>0</v>
      </c>
      <c r="AT129" s="44">
        <f>AT$5*IF(AND(AT$4&gt;Teams!$G$80,MOD(AT$4-Teams!$G$80,MAX(1,ROUND(Params!$F$25,0)))=0),(Params!$F$26+Params!$F$17*Params!$F$16)*Org!$B$10,0)</f>
        <v>0</v>
      </c>
      <c r="AU129" s="44">
        <f>AU$5*IF(AND(AU$4&gt;Teams!$G$80,MOD(AU$4-Teams!$G$80,MAX(1,ROUND(Params!$F$25,0)))=0),(Params!$F$26+Params!$F$17*Params!$F$16)*Org!$B$10,0)</f>
        <v>0</v>
      </c>
      <c r="AV129" s="44">
        <f>AV$5*IF(AND(AV$4&gt;Teams!$G$80,MOD(AV$4-Teams!$G$80,MAX(1,ROUND(Params!$F$25,0)))=0),(Params!$F$26+Params!$F$17*Params!$F$16)*Org!$B$10,0)</f>
        <v>0</v>
      </c>
      <c r="AW129" s="44">
        <f>AW$5*IF(AND(AW$4&gt;Teams!$G$80,MOD(AW$4-Teams!$G$80,MAX(1,ROUND(Params!$F$25,0)))=0),(Params!$F$26+Params!$F$17*Params!$F$16)*Org!$B$10,0)</f>
        <v>0</v>
      </c>
      <c r="AX129" s="44">
        <f>AX$5*IF(AND(AX$4&gt;Teams!$G$80,MOD(AX$4-Teams!$G$80,MAX(1,ROUND(Params!$F$25,0)))=0),(Params!$F$26+Params!$F$17*Params!$F$16)*Org!$B$10,0)</f>
        <v>0</v>
      </c>
      <c r="AY129" s="44">
        <f>AY$5*IF(AND(AY$4&gt;Teams!$G$80,MOD(AY$4-Teams!$G$80,MAX(1,ROUND(Params!$F$25,0)))=0),(Params!$F$26+Params!$F$17*Params!$F$16)*Org!$B$10,0)</f>
        <v>0</v>
      </c>
      <c r="AZ129" s="44">
        <f>AZ$5*IF(AND(AZ$4&gt;Teams!$G$80,MOD(AZ$4-Teams!$G$80,MAX(1,ROUND(Params!$F$25,0)))=0),(Params!$F$26+Params!$F$17*Params!$F$16)*Org!$B$10,0)</f>
        <v>0</v>
      </c>
      <c r="BA129" s="44">
        <f>BA$5*IF(AND(BA$4&gt;Teams!$G$80,MOD(BA$4-Teams!$G$80,MAX(1,ROUND(Params!$F$25,0)))=0),(Params!$F$26+Params!$F$17*Params!$F$16)*Org!$B$10,0)</f>
        <v>0</v>
      </c>
      <c r="BB129" s="44">
        <f>BB$5*IF(AND(BB$4&gt;Teams!$G$80,MOD(BB$4-Teams!$G$80,MAX(1,ROUND(Params!$F$25,0)))=0),(Params!$F$26+Params!$F$17*Params!$F$16)*Org!$B$10,0)</f>
        <v>0</v>
      </c>
      <c r="BC129" s="44">
        <f>BC$5*IF(AND(BC$4&gt;Teams!$G$80,MOD(BC$4-Teams!$G$80,MAX(1,ROUND(Params!$F$25,0)))=0),(Params!$F$26+Params!$F$17*Params!$F$16)*Org!$B$10,0)</f>
        <v>0</v>
      </c>
      <c r="BD129" s="44">
        <f>BD$5*IF(AND(BD$4&gt;Teams!$G$80,MOD(BD$4-Teams!$G$80,MAX(1,ROUND(Params!$F$25,0)))=0),(Params!$F$26+Params!$F$17*Params!$F$16)*Org!$B$10,0)</f>
        <v>0</v>
      </c>
      <c r="BE129" s="44">
        <f>BE$5*IF(AND(BE$4&gt;Teams!$G$80,MOD(BE$4-Teams!$G$80,MAX(1,ROUND(Params!$F$25,0)))=0),(Params!$F$26+Params!$F$17*Params!$F$16)*Org!$B$10,0)</f>
        <v>0</v>
      </c>
      <c r="BF129" s="44">
        <f>BF$5*IF(AND(BF$4&gt;Teams!$G$80,MOD(BF$4-Teams!$G$80,MAX(1,ROUND(Params!$F$25,0)))=0),(Params!$F$26+Params!$F$17*Params!$F$16)*Org!$B$10,0)</f>
        <v>0</v>
      </c>
      <c r="BG129" s="44">
        <f>BG$5*IF(AND(BG$4&gt;Teams!$G$80,MOD(BG$4-Teams!$G$80,MAX(1,ROUND(Params!$F$25,0)))=0),(Params!$F$26+Params!$F$17*Params!$F$16)*Org!$B$10,0)</f>
        <v>0</v>
      </c>
      <c r="BH129" s="44">
        <f>BH$5*IF(AND(BH$4&gt;Teams!$G$80,MOD(BH$4-Teams!$G$80,MAX(1,ROUND(Params!$F$25,0)))=0),(Params!$F$26+Params!$F$17*Params!$F$16)*Org!$B$10,0)</f>
        <v>0</v>
      </c>
      <c r="BI129" s="44">
        <f>BI$5*IF(AND(BI$4&gt;Teams!$G$80,MOD(BI$4-Teams!$G$80,MAX(1,ROUND(Params!$F$25,0)))=0),(Params!$F$26+Params!$F$17*Params!$F$16)*Org!$B$10,0)</f>
        <v>0</v>
      </c>
      <c r="BJ129" s="44">
        <f>BJ$5*IF(AND(BJ$4&gt;Teams!$G$80,MOD(BJ$4-Teams!$G$80,MAX(1,ROUND(Params!$F$25,0)))=0),(Params!$F$26+Params!$F$17*Params!$F$16)*Org!$B$10,0)</f>
        <v>0</v>
      </c>
      <c r="BK129" s="44">
        <f>BK$5*IF(AND(BK$4&gt;Teams!$G$80,MOD(BK$4-Teams!$G$80,MAX(1,ROUND(Params!$F$25,0)))=0),(Params!$F$26+Params!$F$17*Params!$F$16)*Org!$B$10,0)</f>
        <v>0</v>
      </c>
      <c r="BL129" s="44">
        <f>BL$5*IF(AND(BL$4&gt;Teams!$G$80,MOD(BL$4-Teams!$G$80,MAX(1,ROUND(Params!$F$25,0)))=0),(Params!$F$26+Params!$F$17*Params!$F$16)*Org!$B$10,0)</f>
        <v>0</v>
      </c>
    </row>
    <row r="130" spans="1:64" x14ac:dyDescent="0.3">
      <c r="A130" s="8" t="s">
        <v>674</v>
      </c>
      <c r="B130" s="18" t="s">
        <v>604</v>
      </c>
      <c r="C130" s="44">
        <f t="shared" si="38"/>
        <v>1130986.8000000007</v>
      </c>
      <c r="E130" s="44">
        <f>E$5*E120*MIN(1,Teams!$G$41*Params!$F$35)*Params!$F$36/60*Teams!$G$42</f>
        <v>2500.8000000000002</v>
      </c>
      <c r="F130" s="44">
        <f>F$5*F120*MIN(1,Teams!$G$41*Params!$F$35)*Params!$F$36/60*Teams!$G$42</f>
        <v>8752.7999999999993</v>
      </c>
      <c r="G130" s="44">
        <f>G$5*G120*MIN(1,Teams!$G$41*Params!$F$35)*Params!$F$36/60*Teams!$G$42</f>
        <v>16880.400000000001</v>
      </c>
      <c r="H130" s="44">
        <f>H$5*H120*MIN(1,Teams!$G$41*Params!$F$35)*Params!$F$36/60*Teams!$G$42</f>
        <v>25008.000000000004</v>
      </c>
      <c r="I130" s="44">
        <f>I$5*I120*MIN(1,Teams!$G$41*Params!$F$35)*Params!$F$36/60*Teams!$G$42</f>
        <v>31260.000000000011</v>
      </c>
      <c r="J130" s="44">
        <f>J$5*J120*MIN(1,Teams!$G$41*Params!$F$35)*Params!$F$36/60*Teams!$G$42</f>
        <v>33760.800000000003</v>
      </c>
      <c r="K130" s="44">
        <f>K$5*K120*MIN(1,Teams!$G$41*Params!$F$35)*Params!$F$36/60*Teams!$G$42</f>
        <v>33760.800000000003</v>
      </c>
      <c r="L130" s="44">
        <f>L$5*L120*MIN(1,Teams!$G$41*Params!$F$35)*Params!$F$36/60*Teams!$G$42</f>
        <v>33760.800000000003</v>
      </c>
      <c r="M130" s="44">
        <f>M$5*M120*MIN(1,Teams!$G$41*Params!$F$35)*Params!$F$36/60*Teams!$G$42</f>
        <v>33760.800000000003</v>
      </c>
      <c r="N130" s="44">
        <f>N$5*N120*MIN(1,Teams!$G$41*Params!$F$35)*Params!$F$36/60*Teams!$G$42</f>
        <v>33760.800000000003</v>
      </c>
      <c r="O130" s="44">
        <f>O$5*O120*MIN(1,Teams!$G$41*Params!$F$35)*Params!$F$36/60*Teams!$G$42</f>
        <v>33760.800000000003</v>
      </c>
      <c r="P130" s="44">
        <f>P$5*P120*MIN(1,Teams!$G$41*Params!$F$35)*Params!$F$36/60*Teams!$G$42</f>
        <v>33760.800000000003</v>
      </c>
      <c r="Q130" s="44">
        <f>Q$5*Q120*MIN(1,Teams!$G$41*Params!$F$35)*Params!$F$36/60*Teams!$G$42</f>
        <v>33760.800000000003</v>
      </c>
      <c r="R130" s="44">
        <f>R$5*R120*MIN(1,Teams!$G$41*Params!$F$35)*Params!$F$36/60*Teams!$G$42</f>
        <v>33760.800000000003</v>
      </c>
      <c r="S130" s="44">
        <f>S$5*S120*MIN(1,Teams!$G$41*Params!$F$35)*Params!$F$36/60*Teams!$G$42</f>
        <v>33760.800000000003</v>
      </c>
      <c r="T130" s="44">
        <f>T$5*T120*MIN(1,Teams!$G$41*Params!$F$35)*Params!$F$36/60*Teams!$G$42</f>
        <v>33760.800000000003</v>
      </c>
      <c r="U130" s="44">
        <f>U$5*U120*MIN(1,Teams!$G$41*Params!$F$35)*Params!$F$36/60*Teams!$G$42</f>
        <v>33760.800000000003</v>
      </c>
      <c r="V130" s="44">
        <f>V$5*V120*MIN(1,Teams!$G$41*Params!$F$35)*Params!$F$36/60*Teams!$G$42</f>
        <v>33760.800000000003</v>
      </c>
      <c r="W130" s="44">
        <f>W$5*W120*MIN(1,Teams!$G$41*Params!$F$35)*Params!$F$36/60*Teams!$G$42</f>
        <v>33760.800000000003</v>
      </c>
      <c r="X130" s="44">
        <f>X$5*X120*MIN(1,Teams!$G$41*Params!$F$35)*Params!$F$36/60*Teams!$G$42</f>
        <v>33760.800000000003</v>
      </c>
      <c r="Y130" s="44">
        <f>Y$5*Y120*MIN(1,Teams!$G$41*Params!$F$35)*Params!$F$36/60*Teams!$G$42</f>
        <v>33760.800000000003</v>
      </c>
      <c r="Z130" s="44">
        <f>Z$5*Z120*MIN(1,Teams!$G$41*Params!$F$35)*Params!$F$36/60*Teams!$G$42</f>
        <v>33760.800000000003</v>
      </c>
      <c r="AA130" s="44">
        <f>AA$5*AA120*MIN(1,Teams!$G$41*Params!$F$35)*Params!$F$36/60*Teams!$G$42</f>
        <v>33760.800000000003</v>
      </c>
      <c r="AB130" s="44">
        <f>AB$5*AB120*MIN(1,Teams!$G$41*Params!$F$35)*Params!$F$36/60*Teams!$G$42</f>
        <v>33760.800000000003</v>
      </c>
      <c r="AC130" s="44">
        <f>AC$5*AC120*MIN(1,Teams!$G$41*Params!$F$35)*Params!$F$36/60*Teams!$G$42</f>
        <v>33760.800000000003</v>
      </c>
      <c r="AD130" s="44">
        <f>AD$5*AD120*MIN(1,Teams!$G$41*Params!$F$35)*Params!$F$36/60*Teams!$G$42</f>
        <v>33760.800000000003</v>
      </c>
      <c r="AE130" s="44">
        <f>AE$5*AE120*MIN(1,Teams!$G$41*Params!$F$35)*Params!$F$36/60*Teams!$G$42</f>
        <v>33760.800000000003</v>
      </c>
      <c r="AF130" s="44">
        <f>AF$5*AF120*MIN(1,Teams!$G$41*Params!$F$35)*Params!$F$36/60*Teams!$G$42</f>
        <v>33760.800000000003</v>
      </c>
      <c r="AG130" s="44">
        <f>AG$5*AG120*MIN(1,Teams!$G$41*Params!$F$35)*Params!$F$36/60*Teams!$G$42</f>
        <v>33760.800000000003</v>
      </c>
      <c r="AH130" s="44">
        <f>AH$5*AH120*MIN(1,Teams!$G$41*Params!$F$35)*Params!$F$36/60*Teams!$G$42</f>
        <v>33760.800000000003</v>
      </c>
      <c r="AI130" s="44">
        <f>AI$5*AI120*MIN(1,Teams!$G$41*Params!$F$35)*Params!$F$36/60*Teams!$G$42</f>
        <v>33760.800000000003</v>
      </c>
      <c r="AJ130" s="44">
        <f>AJ$5*AJ120*MIN(1,Teams!$G$41*Params!$F$35)*Params!$F$36/60*Teams!$G$42</f>
        <v>33760.800000000003</v>
      </c>
      <c r="AK130" s="44">
        <f>AK$5*AK120*MIN(1,Teams!$G$41*Params!$F$35)*Params!$F$36/60*Teams!$G$42</f>
        <v>33760.800000000003</v>
      </c>
      <c r="AL130" s="44">
        <f>AL$5*AL120*MIN(1,Teams!$G$41*Params!$F$35)*Params!$F$36/60*Teams!$G$42</f>
        <v>33760.800000000003</v>
      </c>
      <c r="AM130" s="44">
        <f>AM$5*AM120*MIN(1,Teams!$G$41*Params!$F$35)*Params!$F$36/60*Teams!$G$42</f>
        <v>33760.800000000003</v>
      </c>
      <c r="AN130" s="44">
        <f>AN$5*AN120*MIN(1,Teams!$G$41*Params!$F$35)*Params!$F$36/60*Teams!$G$42</f>
        <v>33760.800000000003</v>
      </c>
      <c r="AO130" s="44">
        <f>AO$5*AO120*MIN(1,Teams!$G$41*Params!$F$35)*Params!$F$36/60*Teams!$G$42</f>
        <v>0</v>
      </c>
      <c r="AP130" s="44">
        <f>AP$5*AP120*MIN(1,Teams!$G$41*Params!$F$35)*Params!$F$36/60*Teams!$G$42</f>
        <v>0</v>
      </c>
      <c r="AQ130" s="44">
        <f>AQ$5*AQ120*MIN(1,Teams!$G$41*Params!$F$35)*Params!$F$36/60*Teams!$G$42</f>
        <v>0</v>
      </c>
      <c r="AR130" s="44">
        <f>AR$5*AR120*MIN(1,Teams!$G$41*Params!$F$35)*Params!$F$36/60*Teams!$G$42</f>
        <v>0</v>
      </c>
      <c r="AS130" s="44">
        <f>AS$5*AS120*MIN(1,Teams!$G$41*Params!$F$35)*Params!$F$36/60*Teams!$G$42</f>
        <v>0</v>
      </c>
      <c r="AT130" s="44">
        <f>AT$5*AT120*MIN(1,Teams!$G$41*Params!$F$35)*Params!$F$36/60*Teams!$G$42</f>
        <v>0</v>
      </c>
      <c r="AU130" s="44">
        <f>AU$5*AU120*MIN(1,Teams!$G$41*Params!$F$35)*Params!$F$36/60*Teams!$G$42</f>
        <v>0</v>
      </c>
      <c r="AV130" s="44">
        <f>AV$5*AV120*MIN(1,Teams!$G$41*Params!$F$35)*Params!$F$36/60*Teams!$G$42</f>
        <v>0</v>
      </c>
      <c r="AW130" s="44">
        <f>AW$5*AW120*MIN(1,Teams!$G$41*Params!$F$35)*Params!$F$36/60*Teams!$G$42</f>
        <v>0</v>
      </c>
      <c r="AX130" s="44">
        <f>AX$5*AX120*MIN(1,Teams!$G$41*Params!$F$35)*Params!$F$36/60*Teams!$G$42</f>
        <v>0</v>
      </c>
      <c r="AY130" s="44">
        <f>AY$5*AY120*MIN(1,Teams!$G$41*Params!$F$35)*Params!$F$36/60*Teams!$G$42</f>
        <v>0</v>
      </c>
      <c r="AZ130" s="44">
        <f>AZ$5*AZ120*MIN(1,Teams!$G$41*Params!$F$35)*Params!$F$36/60*Teams!$G$42</f>
        <v>0</v>
      </c>
      <c r="BA130" s="44">
        <f>BA$5*BA120*MIN(1,Teams!$G$41*Params!$F$35)*Params!$F$36/60*Teams!$G$42</f>
        <v>0</v>
      </c>
      <c r="BB130" s="44">
        <f>BB$5*BB120*MIN(1,Teams!$G$41*Params!$F$35)*Params!$F$36/60*Teams!$G$42</f>
        <v>0</v>
      </c>
      <c r="BC130" s="44">
        <f>BC$5*BC120*MIN(1,Teams!$G$41*Params!$F$35)*Params!$F$36/60*Teams!$G$42</f>
        <v>0</v>
      </c>
      <c r="BD130" s="44">
        <f>BD$5*BD120*MIN(1,Teams!$G$41*Params!$F$35)*Params!$F$36/60*Teams!$G$42</f>
        <v>0</v>
      </c>
      <c r="BE130" s="44">
        <f>BE$5*BE120*MIN(1,Teams!$G$41*Params!$F$35)*Params!$F$36/60*Teams!$G$42</f>
        <v>0</v>
      </c>
      <c r="BF130" s="44">
        <f>BF$5*BF120*MIN(1,Teams!$G$41*Params!$F$35)*Params!$F$36/60*Teams!$G$42</f>
        <v>0</v>
      </c>
      <c r="BG130" s="44">
        <f>BG$5*BG120*MIN(1,Teams!$G$41*Params!$F$35)*Params!$F$36/60*Teams!$G$42</f>
        <v>0</v>
      </c>
      <c r="BH130" s="44">
        <f>BH$5*BH120*MIN(1,Teams!$G$41*Params!$F$35)*Params!$F$36/60*Teams!$G$42</f>
        <v>0</v>
      </c>
      <c r="BI130" s="44">
        <f>BI$5*BI120*MIN(1,Teams!$G$41*Params!$F$35)*Params!$F$36/60*Teams!$G$42</f>
        <v>0</v>
      </c>
      <c r="BJ130" s="44">
        <f>BJ$5*BJ120*MIN(1,Teams!$G$41*Params!$F$35)*Params!$F$36/60*Teams!$G$42</f>
        <v>0</v>
      </c>
      <c r="BK130" s="44">
        <f>BK$5*BK120*MIN(1,Teams!$G$41*Params!$F$35)*Params!$F$36/60*Teams!$G$42</f>
        <v>0</v>
      </c>
      <c r="BL130" s="44">
        <f>BL$5*BL120*MIN(1,Teams!$G$41*Params!$F$35)*Params!$F$36/60*Teams!$G$42</f>
        <v>0</v>
      </c>
    </row>
    <row r="131" spans="1:64" x14ac:dyDescent="0.3">
      <c r="A131" s="8" t="s">
        <v>675</v>
      </c>
      <c r="B131" s="18" t="s">
        <v>169</v>
      </c>
      <c r="C131" s="44">
        <f t="shared" si="38"/>
        <v>352000.00000000017</v>
      </c>
      <c r="E131" s="44">
        <f>E$5*IF(E$4&gt;=Teams!$G$80,E118/1000*IF(E$4-Teams!$G$80&lt;6,Params!$F$37,Params!$F$38)*Org!$B$10*Org!$B$12/12,0)</f>
        <v>29333.333333333332</v>
      </c>
      <c r="F131" s="44">
        <f>F$5*IF(F$4&gt;=Teams!$G$80,F118/1000*IF(F$4-Teams!$G$80&lt;6,Params!$F$37,Params!$F$38)*Org!$B$10*Org!$B$12/12,0)</f>
        <v>29333.333333333332</v>
      </c>
      <c r="G131" s="44">
        <f>G$5*IF(G$4&gt;=Teams!$G$80,G118/1000*IF(G$4-Teams!$G$80&lt;6,Params!$F$37,Params!$F$38)*Org!$B$10*Org!$B$12/12,0)</f>
        <v>29333.333333333332</v>
      </c>
      <c r="H131" s="44">
        <f>H$5*IF(H$4&gt;=Teams!$G$80,H118/1000*IF(H$4-Teams!$G$80&lt;6,Params!$F$37,Params!$F$38)*Org!$B$10*Org!$B$12/12,0)</f>
        <v>29333.333333333332</v>
      </c>
      <c r="I131" s="44">
        <f>I$5*IF(I$4&gt;=Teams!$G$80,I118/1000*IF(I$4-Teams!$G$80&lt;6,Params!$F$37,Params!$F$38)*Org!$B$10*Org!$B$12/12,0)</f>
        <v>29333.333333333332</v>
      </c>
      <c r="J131" s="44">
        <f>J$5*IF(J$4&gt;=Teams!$G$80,J118/1000*IF(J$4-Teams!$G$80&lt;6,Params!$F$37,Params!$F$38)*Org!$B$10*Org!$B$12/12,0)</f>
        <v>29333.333333333332</v>
      </c>
      <c r="K131" s="44">
        <f>K$5*IF(K$4&gt;=Teams!$G$80,K118/1000*IF(K$4-Teams!$G$80&lt;6,Params!$F$37,Params!$F$38)*Org!$B$10*Org!$B$12/12,0)</f>
        <v>5866.666666666667</v>
      </c>
      <c r="L131" s="44">
        <f>L$5*IF(L$4&gt;=Teams!$G$80,L118/1000*IF(L$4-Teams!$G$80&lt;6,Params!$F$37,Params!$F$38)*Org!$B$10*Org!$B$12/12,0)</f>
        <v>5866.666666666667</v>
      </c>
      <c r="M131" s="44">
        <f>M$5*IF(M$4&gt;=Teams!$G$80,M118/1000*IF(M$4-Teams!$G$80&lt;6,Params!$F$37,Params!$F$38)*Org!$B$10*Org!$B$12/12,0)</f>
        <v>5866.666666666667</v>
      </c>
      <c r="N131" s="44">
        <f>N$5*IF(N$4&gt;=Teams!$G$80,N118/1000*IF(N$4-Teams!$G$80&lt;6,Params!$F$37,Params!$F$38)*Org!$B$10*Org!$B$12/12,0)</f>
        <v>5866.666666666667</v>
      </c>
      <c r="O131" s="44">
        <f>O$5*IF(O$4&gt;=Teams!$G$80,O118/1000*IF(O$4-Teams!$G$80&lt;6,Params!$F$37,Params!$F$38)*Org!$B$10*Org!$B$12/12,0)</f>
        <v>5866.666666666667</v>
      </c>
      <c r="P131" s="44">
        <f>P$5*IF(P$4&gt;=Teams!$G$80,P118/1000*IF(P$4-Teams!$G$80&lt;6,Params!$F$37,Params!$F$38)*Org!$B$10*Org!$B$12/12,0)</f>
        <v>5866.666666666667</v>
      </c>
      <c r="Q131" s="44">
        <f>Q$5*IF(Q$4&gt;=Teams!$G$80,Q118/1000*IF(Q$4-Teams!$G$80&lt;6,Params!$F$37,Params!$F$38)*Org!$B$10*Org!$B$12/12,0)</f>
        <v>5866.666666666667</v>
      </c>
      <c r="R131" s="44">
        <f>R$5*IF(R$4&gt;=Teams!$G$80,R118/1000*IF(R$4-Teams!$G$80&lt;6,Params!$F$37,Params!$F$38)*Org!$B$10*Org!$B$12/12,0)</f>
        <v>5866.666666666667</v>
      </c>
      <c r="S131" s="44">
        <f>S$5*IF(S$4&gt;=Teams!$G$80,S118/1000*IF(S$4-Teams!$G$80&lt;6,Params!$F$37,Params!$F$38)*Org!$B$10*Org!$B$12/12,0)</f>
        <v>5866.666666666667</v>
      </c>
      <c r="T131" s="44">
        <f>T$5*IF(T$4&gt;=Teams!$G$80,T118/1000*IF(T$4-Teams!$G$80&lt;6,Params!$F$37,Params!$F$38)*Org!$B$10*Org!$B$12/12,0)</f>
        <v>5866.666666666667</v>
      </c>
      <c r="U131" s="44">
        <f>U$5*IF(U$4&gt;=Teams!$G$80,U118/1000*IF(U$4-Teams!$G$80&lt;6,Params!$F$37,Params!$F$38)*Org!$B$10*Org!$B$12/12,0)</f>
        <v>5866.666666666667</v>
      </c>
      <c r="V131" s="44">
        <f>V$5*IF(V$4&gt;=Teams!$G$80,V118/1000*IF(V$4-Teams!$G$80&lt;6,Params!$F$37,Params!$F$38)*Org!$B$10*Org!$B$12/12,0)</f>
        <v>5866.666666666667</v>
      </c>
      <c r="W131" s="44">
        <f>W$5*IF(W$4&gt;=Teams!$G$80,W118/1000*IF(W$4-Teams!$G$80&lt;6,Params!$F$37,Params!$F$38)*Org!$B$10*Org!$B$12/12,0)</f>
        <v>5866.666666666667</v>
      </c>
      <c r="X131" s="44">
        <f>X$5*IF(X$4&gt;=Teams!$G$80,X118/1000*IF(X$4-Teams!$G$80&lt;6,Params!$F$37,Params!$F$38)*Org!$B$10*Org!$B$12/12,0)</f>
        <v>5866.666666666667</v>
      </c>
      <c r="Y131" s="44">
        <f>Y$5*IF(Y$4&gt;=Teams!$G$80,Y118/1000*IF(Y$4-Teams!$G$80&lt;6,Params!$F$37,Params!$F$38)*Org!$B$10*Org!$B$12/12,0)</f>
        <v>5866.666666666667</v>
      </c>
      <c r="Z131" s="44">
        <f>Z$5*IF(Z$4&gt;=Teams!$G$80,Z118/1000*IF(Z$4-Teams!$G$80&lt;6,Params!$F$37,Params!$F$38)*Org!$B$10*Org!$B$12/12,0)</f>
        <v>5866.666666666667</v>
      </c>
      <c r="AA131" s="44">
        <f>AA$5*IF(AA$4&gt;=Teams!$G$80,AA118/1000*IF(AA$4-Teams!$G$80&lt;6,Params!$F$37,Params!$F$38)*Org!$B$10*Org!$B$12/12,0)</f>
        <v>5866.666666666667</v>
      </c>
      <c r="AB131" s="44">
        <f>AB$5*IF(AB$4&gt;=Teams!$G$80,AB118/1000*IF(AB$4-Teams!$G$80&lt;6,Params!$F$37,Params!$F$38)*Org!$B$10*Org!$B$12/12,0)</f>
        <v>5866.666666666667</v>
      </c>
      <c r="AC131" s="44">
        <f>AC$5*IF(AC$4&gt;=Teams!$G$80,AC118/1000*IF(AC$4-Teams!$G$80&lt;6,Params!$F$37,Params!$F$38)*Org!$B$10*Org!$B$12/12,0)</f>
        <v>5866.666666666667</v>
      </c>
      <c r="AD131" s="44">
        <f>AD$5*IF(AD$4&gt;=Teams!$G$80,AD118/1000*IF(AD$4-Teams!$G$80&lt;6,Params!$F$37,Params!$F$38)*Org!$B$10*Org!$B$12/12,0)</f>
        <v>5866.666666666667</v>
      </c>
      <c r="AE131" s="44">
        <f>AE$5*IF(AE$4&gt;=Teams!$G$80,AE118/1000*IF(AE$4-Teams!$G$80&lt;6,Params!$F$37,Params!$F$38)*Org!$B$10*Org!$B$12/12,0)</f>
        <v>5866.666666666667</v>
      </c>
      <c r="AF131" s="44">
        <f>AF$5*IF(AF$4&gt;=Teams!$G$80,AF118/1000*IF(AF$4-Teams!$G$80&lt;6,Params!$F$37,Params!$F$38)*Org!$B$10*Org!$B$12/12,0)</f>
        <v>5866.666666666667</v>
      </c>
      <c r="AG131" s="44">
        <f>AG$5*IF(AG$4&gt;=Teams!$G$80,AG118/1000*IF(AG$4-Teams!$G$80&lt;6,Params!$F$37,Params!$F$38)*Org!$B$10*Org!$B$12/12,0)</f>
        <v>5866.666666666667</v>
      </c>
      <c r="AH131" s="44">
        <f>AH$5*IF(AH$4&gt;=Teams!$G$80,AH118/1000*IF(AH$4-Teams!$G$80&lt;6,Params!$F$37,Params!$F$38)*Org!$B$10*Org!$B$12/12,0)</f>
        <v>5866.666666666667</v>
      </c>
      <c r="AI131" s="44">
        <f>AI$5*IF(AI$4&gt;=Teams!$G$80,AI118/1000*IF(AI$4-Teams!$G$80&lt;6,Params!$F$37,Params!$F$38)*Org!$B$10*Org!$B$12/12,0)</f>
        <v>5866.666666666667</v>
      </c>
      <c r="AJ131" s="44">
        <f>AJ$5*IF(AJ$4&gt;=Teams!$G$80,AJ118/1000*IF(AJ$4-Teams!$G$80&lt;6,Params!$F$37,Params!$F$38)*Org!$B$10*Org!$B$12/12,0)</f>
        <v>5866.666666666667</v>
      </c>
      <c r="AK131" s="44">
        <f>AK$5*IF(AK$4&gt;=Teams!$G$80,AK118/1000*IF(AK$4-Teams!$G$80&lt;6,Params!$F$37,Params!$F$38)*Org!$B$10*Org!$B$12/12,0)</f>
        <v>5866.666666666667</v>
      </c>
      <c r="AL131" s="44">
        <f>AL$5*IF(AL$4&gt;=Teams!$G$80,AL118/1000*IF(AL$4-Teams!$G$80&lt;6,Params!$F$37,Params!$F$38)*Org!$B$10*Org!$B$12/12,0)</f>
        <v>5866.666666666667</v>
      </c>
      <c r="AM131" s="44">
        <f>AM$5*IF(AM$4&gt;=Teams!$G$80,AM118/1000*IF(AM$4-Teams!$G$80&lt;6,Params!$F$37,Params!$F$38)*Org!$B$10*Org!$B$12/12,0)</f>
        <v>5866.666666666667</v>
      </c>
      <c r="AN131" s="44">
        <f>AN$5*IF(AN$4&gt;=Teams!$G$80,AN118/1000*IF(AN$4-Teams!$G$80&lt;6,Params!$F$37,Params!$F$38)*Org!$B$10*Org!$B$12/12,0)</f>
        <v>5866.666666666667</v>
      </c>
      <c r="AO131" s="44">
        <f>AO$5*IF(AO$4&gt;=Teams!$G$80,AO118/1000*IF(AO$4-Teams!$G$80&lt;6,Params!$F$37,Params!$F$38)*Org!$B$10*Org!$B$12/12,0)</f>
        <v>0</v>
      </c>
      <c r="AP131" s="44">
        <f>AP$5*IF(AP$4&gt;=Teams!$G$80,AP118/1000*IF(AP$4-Teams!$G$80&lt;6,Params!$F$37,Params!$F$38)*Org!$B$10*Org!$B$12/12,0)</f>
        <v>0</v>
      </c>
      <c r="AQ131" s="44">
        <f>AQ$5*IF(AQ$4&gt;=Teams!$G$80,AQ118/1000*IF(AQ$4-Teams!$G$80&lt;6,Params!$F$37,Params!$F$38)*Org!$B$10*Org!$B$12/12,0)</f>
        <v>0</v>
      </c>
      <c r="AR131" s="44">
        <f>AR$5*IF(AR$4&gt;=Teams!$G$80,AR118/1000*IF(AR$4-Teams!$G$80&lt;6,Params!$F$37,Params!$F$38)*Org!$B$10*Org!$B$12/12,0)</f>
        <v>0</v>
      </c>
      <c r="AS131" s="44">
        <f>AS$5*IF(AS$4&gt;=Teams!$G$80,AS118/1000*IF(AS$4-Teams!$G$80&lt;6,Params!$F$37,Params!$F$38)*Org!$B$10*Org!$B$12/12,0)</f>
        <v>0</v>
      </c>
      <c r="AT131" s="44">
        <f>AT$5*IF(AT$4&gt;=Teams!$G$80,AT118/1000*IF(AT$4-Teams!$G$80&lt;6,Params!$F$37,Params!$F$38)*Org!$B$10*Org!$B$12/12,0)</f>
        <v>0</v>
      </c>
      <c r="AU131" s="44">
        <f>AU$5*IF(AU$4&gt;=Teams!$G$80,AU118/1000*IF(AU$4-Teams!$G$80&lt;6,Params!$F$37,Params!$F$38)*Org!$B$10*Org!$B$12/12,0)</f>
        <v>0</v>
      </c>
      <c r="AV131" s="44">
        <f>AV$5*IF(AV$4&gt;=Teams!$G$80,AV118/1000*IF(AV$4-Teams!$G$80&lt;6,Params!$F$37,Params!$F$38)*Org!$B$10*Org!$B$12/12,0)</f>
        <v>0</v>
      </c>
      <c r="AW131" s="44">
        <f>AW$5*IF(AW$4&gt;=Teams!$G$80,AW118/1000*IF(AW$4-Teams!$G$80&lt;6,Params!$F$37,Params!$F$38)*Org!$B$10*Org!$B$12/12,0)</f>
        <v>0</v>
      </c>
      <c r="AX131" s="44">
        <f>AX$5*IF(AX$4&gt;=Teams!$G$80,AX118/1000*IF(AX$4-Teams!$G$80&lt;6,Params!$F$37,Params!$F$38)*Org!$B$10*Org!$B$12/12,0)</f>
        <v>0</v>
      </c>
      <c r="AY131" s="44">
        <f>AY$5*IF(AY$4&gt;=Teams!$G$80,AY118/1000*IF(AY$4-Teams!$G$80&lt;6,Params!$F$37,Params!$F$38)*Org!$B$10*Org!$B$12/12,0)</f>
        <v>0</v>
      </c>
      <c r="AZ131" s="44">
        <f>AZ$5*IF(AZ$4&gt;=Teams!$G$80,AZ118/1000*IF(AZ$4-Teams!$G$80&lt;6,Params!$F$37,Params!$F$38)*Org!$B$10*Org!$B$12/12,0)</f>
        <v>0</v>
      </c>
      <c r="BA131" s="44">
        <f>BA$5*IF(BA$4&gt;=Teams!$G$80,BA118/1000*IF(BA$4-Teams!$G$80&lt;6,Params!$F$37,Params!$F$38)*Org!$B$10*Org!$B$12/12,0)</f>
        <v>0</v>
      </c>
      <c r="BB131" s="44">
        <f>BB$5*IF(BB$4&gt;=Teams!$G$80,BB118/1000*IF(BB$4-Teams!$G$80&lt;6,Params!$F$37,Params!$F$38)*Org!$B$10*Org!$B$12/12,0)</f>
        <v>0</v>
      </c>
      <c r="BC131" s="44">
        <f>BC$5*IF(BC$4&gt;=Teams!$G$80,BC118/1000*IF(BC$4-Teams!$G$80&lt;6,Params!$F$37,Params!$F$38)*Org!$B$10*Org!$B$12/12,0)</f>
        <v>0</v>
      </c>
      <c r="BD131" s="44">
        <f>BD$5*IF(BD$4&gt;=Teams!$G$80,BD118/1000*IF(BD$4-Teams!$G$80&lt;6,Params!$F$37,Params!$F$38)*Org!$B$10*Org!$B$12/12,0)</f>
        <v>0</v>
      </c>
      <c r="BE131" s="44">
        <f>BE$5*IF(BE$4&gt;=Teams!$G$80,BE118/1000*IF(BE$4-Teams!$G$80&lt;6,Params!$F$37,Params!$F$38)*Org!$B$10*Org!$B$12/12,0)</f>
        <v>0</v>
      </c>
      <c r="BF131" s="44">
        <f>BF$5*IF(BF$4&gt;=Teams!$G$80,BF118/1000*IF(BF$4-Teams!$G$80&lt;6,Params!$F$37,Params!$F$38)*Org!$B$10*Org!$B$12/12,0)</f>
        <v>0</v>
      </c>
      <c r="BG131" s="44">
        <f>BG$5*IF(BG$4&gt;=Teams!$G$80,BG118/1000*IF(BG$4-Teams!$G$80&lt;6,Params!$F$37,Params!$F$38)*Org!$B$10*Org!$B$12/12,0)</f>
        <v>0</v>
      </c>
      <c r="BH131" s="44">
        <f>BH$5*IF(BH$4&gt;=Teams!$G$80,BH118/1000*IF(BH$4-Teams!$G$80&lt;6,Params!$F$37,Params!$F$38)*Org!$B$10*Org!$B$12/12,0)</f>
        <v>0</v>
      </c>
      <c r="BI131" s="44">
        <f>BI$5*IF(BI$4&gt;=Teams!$G$80,BI118/1000*IF(BI$4-Teams!$G$80&lt;6,Params!$F$37,Params!$F$38)*Org!$B$10*Org!$B$12/12,0)</f>
        <v>0</v>
      </c>
      <c r="BJ131" s="44">
        <f>BJ$5*IF(BJ$4&gt;=Teams!$G$80,BJ118/1000*IF(BJ$4-Teams!$G$80&lt;6,Params!$F$37,Params!$F$38)*Org!$B$10*Org!$B$12/12,0)</f>
        <v>0</v>
      </c>
      <c r="BK131" s="44">
        <f>BK$5*IF(BK$4&gt;=Teams!$G$80,BK118/1000*IF(BK$4-Teams!$G$80&lt;6,Params!$F$37,Params!$F$38)*Org!$B$10*Org!$B$12/12,0)</f>
        <v>0</v>
      </c>
      <c r="BL131" s="44">
        <f>BL$5*IF(BL$4&gt;=Teams!$G$80,BL118/1000*IF(BL$4-Teams!$G$80&lt;6,Params!$F$37,Params!$F$38)*Org!$B$10*Org!$B$12/12,0)</f>
        <v>0</v>
      </c>
    </row>
    <row r="132" spans="1:64" x14ac:dyDescent="0.3">
      <c r="A132" s="8" t="s">
        <v>676</v>
      </c>
      <c r="B132" s="18" t="s">
        <v>169</v>
      </c>
      <c r="C132" s="44">
        <f t="shared" si="38"/>
        <v>57600</v>
      </c>
      <c r="D132" s="44">
        <f>Teams!$G$5*((Teams!$G$43*Params!$F$4+Teams!$G$44/100000*Params!$F$5+Teams!$G$43*Params!$F$6)*Org!$B$10)</f>
        <v>57600</v>
      </c>
    </row>
    <row r="133" spans="1:64" x14ac:dyDescent="0.3">
      <c r="A133" s="8" t="s">
        <v>677</v>
      </c>
      <c r="B133" s="18" t="s">
        <v>435</v>
      </c>
      <c r="C133" s="44">
        <f t="shared" si="38"/>
        <v>78.900000000000006</v>
      </c>
      <c r="D133" s="44">
        <f>Teams!$G$5*(Teams!$G$49*(Teams!$G$44*Teams!$G$45*Teams!$G$75+Teams!$G$44*Teams!$G$47*Teams!$G$76/1000000))</f>
        <v>78.900000000000006</v>
      </c>
    </row>
    <row r="134" spans="1:64" x14ac:dyDescent="0.3">
      <c r="A134" s="8" t="s">
        <v>678</v>
      </c>
      <c r="B134" s="18" t="s">
        <v>169</v>
      </c>
      <c r="C134" s="44">
        <f t="shared" si="38"/>
        <v>144000</v>
      </c>
      <c r="D134" s="44">
        <f>Teams!$G$5*((Params!$F$13+Params!$F$16)*Org!$B$10)</f>
        <v>144000</v>
      </c>
    </row>
    <row r="135" spans="1:64" x14ac:dyDescent="0.3">
      <c r="A135" s="8" t="s">
        <v>679</v>
      </c>
      <c r="B135" s="18" t="s">
        <v>169</v>
      </c>
      <c r="C135" s="44">
        <f t="shared" si="38"/>
        <v>1440000</v>
      </c>
      <c r="D135" s="44">
        <f>Teams!$G$5*(Teams!$G$18*Teams!$G$19*Params!$F$34*(Org!$B$10/Org!$B$11))</f>
        <v>1440000</v>
      </c>
    </row>
    <row r="136" spans="1:64" x14ac:dyDescent="0.3">
      <c r="A136" s="8" t="s">
        <v>11</v>
      </c>
      <c r="C136" s="44">
        <f t="shared" si="38"/>
        <v>5937680.7000000039</v>
      </c>
      <c r="E136" s="44">
        <f>E$5*E120*Teams!$G$55/60*Teams!$G$56*INDEX(Params!$D$41:$F$41,Org!$B$17)*Teams!$G$57</f>
        <v>13129.199999999999</v>
      </c>
      <c r="F136" s="44">
        <f>F$5*F120*Teams!$G$55/60*Teams!$G$56*INDEX(Params!$D$41:$F$41,Org!$B$17)*Teams!$G$57</f>
        <v>45952.200000000004</v>
      </c>
      <c r="G136" s="44">
        <f>G$5*G120*Teams!$G$55/60*Teams!$G$56*INDEX(Params!$D$41:$F$41,Org!$B$17)*Teams!$G$57</f>
        <v>88622.1</v>
      </c>
      <c r="H136" s="44">
        <f>H$5*H120*Teams!$G$55/60*Teams!$G$56*INDEX(Params!$D$41:$F$41,Org!$B$17)*Teams!$G$57</f>
        <v>131292</v>
      </c>
      <c r="I136" s="44">
        <f>I$5*I120*Teams!$G$55/60*Teams!$G$56*INDEX(Params!$D$41:$F$41,Org!$B$17)*Teams!$G$57</f>
        <v>164115.00000000006</v>
      </c>
      <c r="J136" s="44">
        <f>J$5*J120*Teams!$G$55/60*Teams!$G$56*INDEX(Params!$D$41:$F$41,Org!$B$17)*Teams!$G$57</f>
        <v>177244.2</v>
      </c>
      <c r="K136" s="44">
        <f>K$5*K120*Teams!$G$55/60*Teams!$G$56*INDEX(Params!$D$41:$F$41,Org!$B$17)*Teams!$G$57</f>
        <v>177244.2</v>
      </c>
      <c r="L136" s="44">
        <f>L$5*L120*Teams!$G$55/60*Teams!$G$56*INDEX(Params!$D$41:$F$41,Org!$B$17)*Teams!$G$57</f>
        <v>177244.2</v>
      </c>
      <c r="M136" s="44">
        <f>M$5*M120*Teams!$G$55/60*Teams!$G$56*INDEX(Params!$D$41:$F$41,Org!$B$17)*Teams!$G$57</f>
        <v>177244.2</v>
      </c>
      <c r="N136" s="44">
        <f>N$5*N120*Teams!$G$55/60*Teams!$G$56*INDEX(Params!$D$41:$F$41,Org!$B$17)*Teams!$G$57</f>
        <v>177244.2</v>
      </c>
      <c r="O136" s="44">
        <f>O$5*O120*Teams!$G$55/60*Teams!$G$56*INDEX(Params!$D$41:$F$41,Org!$B$17)*Teams!$G$57</f>
        <v>177244.2</v>
      </c>
      <c r="P136" s="44">
        <f>P$5*P120*Teams!$G$55/60*Teams!$G$56*INDEX(Params!$D$41:$F$41,Org!$B$17)*Teams!$G$57</f>
        <v>177244.2</v>
      </c>
      <c r="Q136" s="44">
        <f>Q$5*Q120*Teams!$G$55/60*Teams!$G$56*INDEX(Params!$D$41:$F$41,Org!$B$17)*Teams!$G$57</f>
        <v>177244.2</v>
      </c>
      <c r="R136" s="44">
        <f>R$5*R120*Teams!$G$55/60*Teams!$G$56*INDEX(Params!$D$41:$F$41,Org!$B$17)*Teams!$G$57</f>
        <v>177244.2</v>
      </c>
      <c r="S136" s="44">
        <f>S$5*S120*Teams!$G$55/60*Teams!$G$56*INDEX(Params!$D$41:$F$41,Org!$B$17)*Teams!$G$57</f>
        <v>177244.2</v>
      </c>
      <c r="T136" s="44">
        <f>T$5*T120*Teams!$G$55/60*Teams!$G$56*INDEX(Params!$D$41:$F$41,Org!$B$17)*Teams!$G$57</f>
        <v>177244.2</v>
      </c>
      <c r="U136" s="44">
        <f>U$5*U120*Teams!$G$55/60*Teams!$G$56*INDEX(Params!$D$41:$F$41,Org!$B$17)*Teams!$G$57</f>
        <v>177244.2</v>
      </c>
      <c r="V136" s="44">
        <f>V$5*V120*Teams!$G$55/60*Teams!$G$56*INDEX(Params!$D$41:$F$41,Org!$B$17)*Teams!$G$57</f>
        <v>177244.2</v>
      </c>
      <c r="W136" s="44">
        <f>W$5*W120*Teams!$G$55/60*Teams!$G$56*INDEX(Params!$D$41:$F$41,Org!$B$17)*Teams!$G$57</f>
        <v>177244.2</v>
      </c>
      <c r="X136" s="44">
        <f>X$5*X120*Teams!$G$55/60*Teams!$G$56*INDEX(Params!$D$41:$F$41,Org!$B$17)*Teams!$G$57</f>
        <v>177244.2</v>
      </c>
      <c r="Y136" s="44">
        <f>Y$5*Y120*Teams!$G$55/60*Teams!$G$56*INDEX(Params!$D$41:$F$41,Org!$B$17)*Teams!$G$57</f>
        <v>177244.2</v>
      </c>
      <c r="Z136" s="44">
        <f>Z$5*Z120*Teams!$G$55/60*Teams!$G$56*INDEX(Params!$D$41:$F$41,Org!$B$17)*Teams!$G$57</f>
        <v>177244.2</v>
      </c>
      <c r="AA136" s="44">
        <f>AA$5*AA120*Teams!$G$55/60*Teams!$G$56*INDEX(Params!$D$41:$F$41,Org!$B$17)*Teams!$G$57</f>
        <v>177244.2</v>
      </c>
      <c r="AB136" s="44">
        <f>AB$5*AB120*Teams!$G$55/60*Teams!$G$56*INDEX(Params!$D$41:$F$41,Org!$B$17)*Teams!$G$57</f>
        <v>177244.2</v>
      </c>
      <c r="AC136" s="44">
        <f>AC$5*AC120*Teams!$G$55/60*Teams!$G$56*INDEX(Params!$D$41:$F$41,Org!$B$17)*Teams!$G$57</f>
        <v>177244.2</v>
      </c>
      <c r="AD136" s="44">
        <f>AD$5*AD120*Teams!$G$55/60*Teams!$G$56*INDEX(Params!$D$41:$F$41,Org!$B$17)*Teams!$G$57</f>
        <v>177244.2</v>
      </c>
      <c r="AE136" s="44">
        <f>AE$5*AE120*Teams!$G$55/60*Teams!$G$56*INDEX(Params!$D$41:$F$41,Org!$B$17)*Teams!$G$57</f>
        <v>177244.2</v>
      </c>
      <c r="AF136" s="44">
        <f>AF$5*AF120*Teams!$G$55/60*Teams!$G$56*INDEX(Params!$D$41:$F$41,Org!$B$17)*Teams!$G$57</f>
        <v>177244.2</v>
      </c>
      <c r="AG136" s="44">
        <f>AG$5*AG120*Teams!$G$55/60*Teams!$G$56*INDEX(Params!$D$41:$F$41,Org!$B$17)*Teams!$G$57</f>
        <v>177244.2</v>
      </c>
      <c r="AH136" s="44">
        <f>AH$5*AH120*Teams!$G$55/60*Teams!$G$56*INDEX(Params!$D$41:$F$41,Org!$B$17)*Teams!$G$57</f>
        <v>177244.2</v>
      </c>
      <c r="AI136" s="44">
        <f>AI$5*AI120*Teams!$G$55/60*Teams!$G$56*INDEX(Params!$D$41:$F$41,Org!$B$17)*Teams!$G$57</f>
        <v>177244.2</v>
      </c>
      <c r="AJ136" s="44">
        <f>AJ$5*AJ120*Teams!$G$55/60*Teams!$G$56*INDEX(Params!$D$41:$F$41,Org!$B$17)*Teams!$G$57</f>
        <v>177244.2</v>
      </c>
      <c r="AK136" s="44">
        <f>AK$5*AK120*Teams!$G$55/60*Teams!$G$56*INDEX(Params!$D$41:$F$41,Org!$B$17)*Teams!$G$57</f>
        <v>177244.2</v>
      </c>
      <c r="AL136" s="44">
        <f>AL$5*AL120*Teams!$G$55/60*Teams!$G$56*INDEX(Params!$D$41:$F$41,Org!$B$17)*Teams!$G$57</f>
        <v>177244.2</v>
      </c>
      <c r="AM136" s="44">
        <f>AM$5*AM120*Teams!$G$55/60*Teams!$G$56*INDEX(Params!$D$41:$F$41,Org!$B$17)*Teams!$G$57</f>
        <v>177244.2</v>
      </c>
      <c r="AN136" s="44">
        <f>AN$5*AN120*Teams!$G$55/60*Teams!$G$56*INDEX(Params!$D$41:$F$41,Org!$B$17)*Teams!$G$57</f>
        <v>177244.2</v>
      </c>
      <c r="AO136" s="44">
        <f>AO$5*AO120*Teams!$G$55/60*Teams!$G$56*INDEX(Params!$D$41:$F$41,Org!$B$17)*Teams!$G$57</f>
        <v>0</v>
      </c>
      <c r="AP136" s="44">
        <f>AP$5*AP120*Teams!$G$55/60*Teams!$G$56*INDEX(Params!$D$41:$F$41,Org!$B$17)*Teams!$G$57</f>
        <v>0</v>
      </c>
      <c r="AQ136" s="44">
        <f>AQ$5*AQ120*Teams!$G$55/60*Teams!$G$56*INDEX(Params!$D$41:$F$41,Org!$B$17)*Teams!$G$57</f>
        <v>0</v>
      </c>
      <c r="AR136" s="44">
        <f>AR$5*AR120*Teams!$G$55/60*Teams!$G$56*INDEX(Params!$D$41:$F$41,Org!$B$17)*Teams!$G$57</f>
        <v>0</v>
      </c>
      <c r="AS136" s="44">
        <f>AS$5*AS120*Teams!$G$55/60*Teams!$G$56*INDEX(Params!$D$41:$F$41,Org!$B$17)*Teams!$G$57</f>
        <v>0</v>
      </c>
      <c r="AT136" s="44">
        <f>AT$5*AT120*Teams!$G$55/60*Teams!$G$56*INDEX(Params!$D$41:$F$41,Org!$B$17)*Teams!$G$57</f>
        <v>0</v>
      </c>
      <c r="AU136" s="44">
        <f>AU$5*AU120*Teams!$G$55/60*Teams!$G$56*INDEX(Params!$D$41:$F$41,Org!$B$17)*Teams!$G$57</f>
        <v>0</v>
      </c>
      <c r="AV136" s="44">
        <f>AV$5*AV120*Teams!$G$55/60*Teams!$G$56*INDEX(Params!$D$41:$F$41,Org!$B$17)*Teams!$G$57</f>
        <v>0</v>
      </c>
      <c r="AW136" s="44">
        <f>AW$5*AW120*Teams!$G$55/60*Teams!$G$56*INDEX(Params!$D$41:$F$41,Org!$B$17)*Teams!$G$57</f>
        <v>0</v>
      </c>
      <c r="AX136" s="44">
        <f>AX$5*AX120*Teams!$G$55/60*Teams!$G$56*INDEX(Params!$D$41:$F$41,Org!$B$17)*Teams!$G$57</f>
        <v>0</v>
      </c>
      <c r="AY136" s="44">
        <f>AY$5*AY120*Teams!$G$55/60*Teams!$G$56*INDEX(Params!$D$41:$F$41,Org!$B$17)*Teams!$G$57</f>
        <v>0</v>
      </c>
      <c r="AZ136" s="44">
        <f>AZ$5*AZ120*Teams!$G$55/60*Teams!$G$56*INDEX(Params!$D$41:$F$41,Org!$B$17)*Teams!$G$57</f>
        <v>0</v>
      </c>
      <c r="BA136" s="44">
        <f>BA$5*BA120*Teams!$G$55/60*Teams!$G$56*INDEX(Params!$D$41:$F$41,Org!$B$17)*Teams!$G$57</f>
        <v>0</v>
      </c>
      <c r="BB136" s="44">
        <f>BB$5*BB120*Teams!$G$55/60*Teams!$G$56*INDEX(Params!$D$41:$F$41,Org!$B$17)*Teams!$G$57</f>
        <v>0</v>
      </c>
      <c r="BC136" s="44">
        <f>BC$5*BC120*Teams!$G$55/60*Teams!$G$56*INDEX(Params!$D$41:$F$41,Org!$B$17)*Teams!$G$57</f>
        <v>0</v>
      </c>
      <c r="BD136" s="44">
        <f>BD$5*BD120*Teams!$G$55/60*Teams!$G$56*INDEX(Params!$D$41:$F$41,Org!$B$17)*Teams!$G$57</f>
        <v>0</v>
      </c>
      <c r="BE136" s="44">
        <f>BE$5*BE120*Teams!$G$55/60*Teams!$G$56*INDEX(Params!$D$41:$F$41,Org!$B$17)*Teams!$G$57</f>
        <v>0</v>
      </c>
      <c r="BF136" s="44">
        <f>BF$5*BF120*Teams!$G$55/60*Teams!$G$56*INDEX(Params!$D$41:$F$41,Org!$B$17)*Teams!$G$57</f>
        <v>0</v>
      </c>
      <c r="BG136" s="44">
        <f>BG$5*BG120*Teams!$G$55/60*Teams!$G$56*INDEX(Params!$D$41:$F$41,Org!$B$17)*Teams!$G$57</f>
        <v>0</v>
      </c>
      <c r="BH136" s="44">
        <f>BH$5*BH120*Teams!$G$55/60*Teams!$G$56*INDEX(Params!$D$41:$F$41,Org!$B$17)*Teams!$G$57</f>
        <v>0</v>
      </c>
      <c r="BI136" s="44">
        <f>BI$5*BI120*Teams!$G$55/60*Teams!$G$56*INDEX(Params!$D$41:$F$41,Org!$B$17)*Teams!$G$57</f>
        <v>0</v>
      </c>
      <c r="BJ136" s="44">
        <f>BJ$5*BJ120*Teams!$G$55/60*Teams!$G$56*INDEX(Params!$D$41:$F$41,Org!$B$17)*Teams!$G$57</f>
        <v>0</v>
      </c>
      <c r="BK136" s="44">
        <f>BK$5*BK120*Teams!$G$55/60*Teams!$G$56*INDEX(Params!$D$41:$F$41,Org!$B$17)*Teams!$G$57</f>
        <v>0</v>
      </c>
      <c r="BL136" s="44">
        <f>BL$5*BL120*Teams!$G$55/60*Teams!$G$56*INDEX(Params!$D$41:$F$41,Org!$B$17)*Teams!$G$57</f>
        <v>0</v>
      </c>
    </row>
    <row r="137" spans="1:64" x14ac:dyDescent="0.3">
      <c r="A137" s="8" t="s">
        <v>701</v>
      </c>
      <c r="C137" s="44">
        <f t="shared" si="38"/>
        <v>6981745.7240000069</v>
      </c>
      <c r="D137" s="44">
        <f t="shared" ref="D137:AI137" si="39">SUM(D121:D135)</f>
        <v>1641678.9</v>
      </c>
      <c r="E137" s="44">
        <f t="shared" si="39"/>
        <v>125128.82733333332</v>
      </c>
      <c r="F137" s="44">
        <f t="shared" si="39"/>
        <v>134047.92066666667</v>
      </c>
      <c r="G137" s="44">
        <f t="shared" si="39"/>
        <v>145642.742</v>
      </c>
      <c r="H137" s="44">
        <f t="shared" si="39"/>
        <v>157237.56333333332</v>
      </c>
      <c r="I137" s="44">
        <f t="shared" si="39"/>
        <v>166156.65666666668</v>
      </c>
      <c r="J137" s="44">
        <f t="shared" si="39"/>
        <v>169724.29400000002</v>
      </c>
      <c r="K137" s="44">
        <f t="shared" si="39"/>
        <v>146257.62733333334</v>
      </c>
      <c r="L137" s="44">
        <f t="shared" si="39"/>
        <v>146257.62733333334</v>
      </c>
      <c r="M137" s="44">
        <f t="shared" si="39"/>
        <v>146257.62733333334</v>
      </c>
      <c r="N137" s="44">
        <f t="shared" si="39"/>
        <v>146257.62733333334</v>
      </c>
      <c r="O137" s="44">
        <f t="shared" si="39"/>
        <v>146257.62733333334</v>
      </c>
      <c r="P137" s="44">
        <f t="shared" si="39"/>
        <v>146257.62733333334</v>
      </c>
      <c r="Q137" s="44">
        <f t="shared" si="39"/>
        <v>173457.62733333334</v>
      </c>
      <c r="R137" s="44">
        <f t="shared" si="39"/>
        <v>146257.62733333334</v>
      </c>
      <c r="S137" s="44">
        <f t="shared" si="39"/>
        <v>146257.62733333334</v>
      </c>
      <c r="T137" s="44">
        <f t="shared" si="39"/>
        <v>146257.62733333334</v>
      </c>
      <c r="U137" s="44">
        <f t="shared" si="39"/>
        <v>146257.62733333334</v>
      </c>
      <c r="V137" s="44">
        <f t="shared" si="39"/>
        <v>146257.62733333334</v>
      </c>
      <c r="W137" s="44">
        <f t="shared" si="39"/>
        <v>146257.62733333334</v>
      </c>
      <c r="X137" s="44">
        <f t="shared" si="39"/>
        <v>146257.62733333334</v>
      </c>
      <c r="Y137" s="44">
        <f t="shared" si="39"/>
        <v>146257.62733333334</v>
      </c>
      <c r="Z137" s="44">
        <f t="shared" si="39"/>
        <v>146257.62733333334</v>
      </c>
      <c r="AA137" s="44">
        <f t="shared" si="39"/>
        <v>146257.62733333334</v>
      </c>
      <c r="AB137" s="44">
        <f t="shared" si="39"/>
        <v>146257.62733333334</v>
      </c>
      <c r="AC137" s="44">
        <f t="shared" si="39"/>
        <v>173457.62733333334</v>
      </c>
      <c r="AD137" s="44">
        <f t="shared" si="39"/>
        <v>146257.62733333334</v>
      </c>
      <c r="AE137" s="44">
        <f t="shared" si="39"/>
        <v>146257.62733333334</v>
      </c>
      <c r="AF137" s="44">
        <f t="shared" si="39"/>
        <v>146257.62733333334</v>
      </c>
      <c r="AG137" s="44">
        <f t="shared" si="39"/>
        <v>146257.62733333334</v>
      </c>
      <c r="AH137" s="44">
        <f t="shared" si="39"/>
        <v>146257.62733333334</v>
      </c>
      <c r="AI137" s="44">
        <f t="shared" si="39"/>
        <v>146257.62733333334</v>
      </c>
      <c r="AJ137" s="44">
        <f t="shared" ref="AJ137:BL137" si="40">SUM(AJ121:AJ135)</f>
        <v>146257.62733333334</v>
      </c>
      <c r="AK137" s="44">
        <f t="shared" si="40"/>
        <v>146257.62733333334</v>
      </c>
      <c r="AL137" s="44">
        <f t="shared" si="40"/>
        <v>146257.62733333334</v>
      </c>
      <c r="AM137" s="44">
        <f t="shared" si="40"/>
        <v>146257.62733333334</v>
      </c>
      <c r="AN137" s="44">
        <f t="shared" si="40"/>
        <v>146257.62733333334</v>
      </c>
      <c r="AO137" s="44">
        <f t="shared" si="40"/>
        <v>0</v>
      </c>
      <c r="AP137" s="44">
        <f t="shared" si="40"/>
        <v>0</v>
      </c>
      <c r="AQ137" s="44">
        <f t="shared" si="40"/>
        <v>0</v>
      </c>
      <c r="AR137" s="44">
        <f t="shared" si="40"/>
        <v>0</v>
      </c>
      <c r="AS137" s="44">
        <f t="shared" si="40"/>
        <v>0</v>
      </c>
      <c r="AT137" s="44">
        <f t="shared" si="40"/>
        <v>0</v>
      </c>
      <c r="AU137" s="44">
        <f t="shared" si="40"/>
        <v>0</v>
      </c>
      <c r="AV137" s="44">
        <f t="shared" si="40"/>
        <v>0</v>
      </c>
      <c r="AW137" s="44">
        <f t="shared" si="40"/>
        <v>0</v>
      </c>
      <c r="AX137" s="44">
        <f t="shared" si="40"/>
        <v>0</v>
      </c>
      <c r="AY137" s="44">
        <f t="shared" si="40"/>
        <v>0</v>
      </c>
      <c r="AZ137" s="44">
        <f t="shared" si="40"/>
        <v>0</v>
      </c>
      <c r="BA137" s="44">
        <f t="shared" si="40"/>
        <v>0</v>
      </c>
      <c r="BB137" s="44">
        <f t="shared" si="40"/>
        <v>0</v>
      </c>
      <c r="BC137" s="44">
        <f t="shared" si="40"/>
        <v>0</v>
      </c>
      <c r="BD137" s="44">
        <f t="shared" si="40"/>
        <v>0</v>
      </c>
      <c r="BE137" s="44">
        <f t="shared" si="40"/>
        <v>0</v>
      </c>
      <c r="BF137" s="44">
        <f t="shared" si="40"/>
        <v>0</v>
      </c>
      <c r="BG137" s="44">
        <f t="shared" si="40"/>
        <v>0</v>
      </c>
      <c r="BH137" s="44">
        <f t="shared" si="40"/>
        <v>0</v>
      </c>
      <c r="BI137" s="44">
        <f t="shared" si="40"/>
        <v>0</v>
      </c>
      <c r="BJ137" s="44">
        <f t="shared" si="40"/>
        <v>0</v>
      </c>
      <c r="BK137" s="44">
        <f t="shared" si="40"/>
        <v>0</v>
      </c>
      <c r="BL137" s="44">
        <f t="shared" si="40"/>
        <v>0</v>
      </c>
    </row>
    <row r="138" spans="1:64" x14ac:dyDescent="0.3">
      <c r="A138" s="8" t="s">
        <v>702</v>
      </c>
      <c r="C138" s="44">
        <f t="shared" si="38"/>
        <v>1813573.3101899703</v>
      </c>
      <c r="D138" s="44">
        <f t="shared" ref="D138:AI138" si="41">$F$169*D158</f>
        <v>123089.58614558984</v>
      </c>
      <c r="E138" s="44">
        <f t="shared" si="41"/>
        <v>46934.681262963815</v>
      </c>
      <c r="F138" s="44">
        <f t="shared" si="41"/>
        <v>46940.104851896976</v>
      </c>
      <c r="G138" s="44">
        <f t="shared" si="41"/>
        <v>46946.779574560736</v>
      </c>
      <c r="H138" s="44">
        <f t="shared" si="41"/>
        <v>46953.774856036609</v>
      </c>
      <c r="I138" s="44">
        <f t="shared" si="41"/>
        <v>46957.482835553514</v>
      </c>
      <c r="J138" s="44">
        <f t="shared" si="41"/>
        <v>46959.378061058618</v>
      </c>
      <c r="K138" s="44">
        <f t="shared" si="41"/>
        <v>46959.717420077039</v>
      </c>
      <c r="L138" s="44">
        <f t="shared" si="41"/>
        <v>46959.717420077039</v>
      </c>
      <c r="M138" s="44">
        <f t="shared" si="41"/>
        <v>46959.717420077039</v>
      </c>
      <c r="N138" s="44">
        <f t="shared" si="41"/>
        <v>46959.717420077039</v>
      </c>
      <c r="O138" s="44">
        <f t="shared" si="41"/>
        <v>46959.717420077039</v>
      </c>
      <c r="P138" s="44">
        <f t="shared" si="41"/>
        <v>46959.717420077039</v>
      </c>
      <c r="Q138" s="44">
        <f t="shared" si="41"/>
        <v>46959.717420077039</v>
      </c>
      <c r="R138" s="44">
        <f t="shared" si="41"/>
        <v>46959.717420077039</v>
      </c>
      <c r="S138" s="44">
        <f t="shared" si="41"/>
        <v>46959.717420077039</v>
      </c>
      <c r="T138" s="44">
        <f t="shared" si="41"/>
        <v>46959.717420077039</v>
      </c>
      <c r="U138" s="44">
        <f t="shared" si="41"/>
        <v>46959.717420077039</v>
      </c>
      <c r="V138" s="44">
        <f t="shared" si="41"/>
        <v>46959.717420077039</v>
      </c>
      <c r="W138" s="44">
        <f t="shared" si="41"/>
        <v>46959.717420077039</v>
      </c>
      <c r="X138" s="44">
        <f t="shared" si="41"/>
        <v>46959.717420077039</v>
      </c>
      <c r="Y138" s="44">
        <f t="shared" si="41"/>
        <v>46959.717420077039</v>
      </c>
      <c r="Z138" s="44">
        <f t="shared" si="41"/>
        <v>46959.717420077039</v>
      </c>
      <c r="AA138" s="44">
        <f t="shared" si="41"/>
        <v>46959.717420077039</v>
      </c>
      <c r="AB138" s="44">
        <f t="shared" si="41"/>
        <v>46959.717420077039</v>
      </c>
      <c r="AC138" s="44">
        <f t="shared" si="41"/>
        <v>46959.717420077039</v>
      </c>
      <c r="AD138" s="44">
        <f t="shared" si="41"/>
        <v>46959.717420077039</v>
      </c>
      <c r="AE138" s="44">
        <f t="shared" si="41"/>
        <v>46959.717420077039</v>
      </c>
      <c r="AF138" s="44">
        <f t="shared" si="41"/>
        <v>46959.717420077039</v>
      </c>
      <c r="AG138" s="44">
        <f t="shared" si="41"/>
        <v>46959.717420077039</v>
      </c>
      <c r="AH138" s="44">
        <f t="shared" si="41"/>
        <v>46959.717420077039</v>
      </c>
      <c r="AI138" s="44">
        <f t="shared" si="41"/>
        <v>46959.717420077039</v>
      </c>
      <c r="AJ138" s="44">
        <f t="shared" ref="AJ138:BL138" si="42">$F$169*AJ158</f>
        <v>46959.717420077039</v>
      </c>
      <c r="AK138" s="44">
        <f t="shared" si="42"/>
        <v>46959.717420077039</v>
      </c>
      <c r="AL138" s="44">
        <f t="shared" si="42"/>
        <v>46959.717420077039</v>
      </c>
      <c r="AM138" s="44">
        <f t="shared" si="42"/>
        <v>46959.717420077039</v>
      </c>
      <c r="AN138" s="44">
        <f t="shared" si="42"/>
        <v>46959.717420077039</v>
      </c>
      <c r="AO138" s="44">
        <f t="shared" si="42"/>
        <v>0</v>
      </c>
      <c r="AP138" s="44">
        <f t="shared" si="42"/>
        <v>0</v>
      </c>
      <c r="AQ138" s="44">
        <f t="shared" si="42"/>
        <v>0</v>
      </c>
      <c r="AR138" s="44">
        <f t="shared" si="42"/>
        <v>0</v>
      </c>
      <c r="AS138" s="44">
        <f t="shared" si="42"/>
        <v>0</v>
      </c>
      <c r="AT138" s="44">
        <f t="shared" si="42"/>
        <v>0</v>
      </c>
      <c r="AU138" s="44">
        <f t="shared" si="42"/>
        <v>0</v>
      </c>
      <c r="AV138" s="44">
        <f t="shared" si="42"/>
        <v>0</v>
      </c>
      <c r="AW138" s="44">
        <f t="shared" si="42"/>
        <v>0</v>
      </c>
      <c r="AX138" s="44">
        <f t="shared" si="42"/>
        <v>0</v>
      </c>
      <c r="AY138" s="44">
        <f t="shared" si="42"/>
        <v>0</v>
      </c>
      <c r="AZ138" s="44">
        <f t="shared" si="42"/>
        <v>0</v>
      </c>
      <c r="BA138" s="44">
        <f t="shared" si="42"/>
        <v>0</v>
      </c>
      <c r="BB138" s="44">
        <f t="shared" si="42"/>
        <v>0</v>
      </c>
      <c r="BC138" s="44">
        <f t="shared" si="42"/>
        <v>0</v>
      </c>
      <c r="BD138" s="44">
        <f t="shared" si="42"/>
        <v>0</v>
      </c>
      <c r="BE138" s="44">
        <f t="shared" si="42"/>
        <v>0</v>
      </c>
      <c r="BF138" s="44">
        <f t="shared" si="42"/>
        <v>0</v>
      </c>
      <c r="BG138" s="44">
        <f t="shared" si="42"/>
        <v>0</v>
      </c>
      <c r="BH138" s="44">
        <f t="shared" si="42"/>
        <v>0</v>
      </c>
      <c r="BI138" s="44">
        <f t="shared" si="42"/>
        <v>0</v>
      </c>
      <c r="BJ138" s="44">
        <f t="shared" si="42"/>
        <v>0</v>
      </c>
      <c r="BK138" s="44">
        <f t="shared" si="42"/>
        <v>0</v>
      </c>
      <c r="BL138" s="44">
        <f t="shared" si="42"/>
        <v>0</v>
      </c>
    </row>
    <row r="139" spans="1:64" x14ac:dyDescent="0.3">
      <c r="A139" s="8" t="s">
        <v>1012</v>
      </c>
      <c r="C139" s="44">
        <f t="shared" si="38"/>
        <v>-2857638.3341899747</v>
      </c>
      <c r="D139" s="44">
        <f t="shared" ref="D139:AI139" si="43">D136-D137-D138</f>
        <v>-1764768.4861455897</v>
      </c>
      <c r="E139" s="44">
        <f t="shared" si="43"/>
        <v>-158934.30859629714</v>
      </c>
      <c r="F139" s="44">
        <f t="shared" si="43"/>
        <v>-135035.82551856362</v>
      </c>
      <c r="G139" s="44">
        <f t="shared" si="43"/>
        <v>-103967.42157456072</v>
      </c>
      <c r="H139" s="44">
        <f t="shared" si="43"/>
        <v>-72899.338189369941</v>
      </c>
      <c r="I139" s="44">
        <f t="shared" si="43"/>
        <v>-48999.139502220132</v>
      </c>
      <c r="J139" s="44">
        <f t="shared" si="43"/>
        <v>-39439.47206105863</v>
      </c>
      <c r="K139" s="44">
        <f t="shared" si="43"/>
        <v>-15973.144753410365</v>
      </c>
      <c r="L139" s="44">
        <f t="shared" si="43"/>
        <v>-15973.144753410365</v>
      </c>
      <c r="M139" s="44">
        <f t="shared" si="43"/>
        <v>-15973.144753410365</v>
      </c>
      <c r="N139" s="44">
        <f t="shared" si="43"/>
        <v>-15973.144753410365</v>
      </c>
      <c r="O139" s="44">
        <f t="shared" si="43"/>
        <v>-15973.144753410365</v>
      </c>
      <c r="P139" s="44">
        <f t="shared" si="43"/>
        <v>-15973.144753410365</v>
      </c>
      <c r="Q139" s="44">
        <f t="shared" si="43"/>
        <v>-43173.144753410365</v>
      </c>
      <c r="R139" s="44">
        <f t="shared" si="43"/>
        <v>-15973.144753410365</v>
      </c>
      <c r="S139" s="44">
        <f t="shared" si="43"/>
        <v>-15973.144753410365</v>
      </c>
      <c r="T139" s="44">
        <f t="shared" si="43"/>
        <v>-15973.144753410365</v>
      </c>
      <c r="U139" s="44">
        <f t="shared" si="43"/>
        <v>-15973.144753410365</v>
      </c>
      <c r="V139" s="44">
        <f t="shared" si="43"/>
        <v>-15973.144753410365</v>
      </c>
      <c r="W139" s="44">
        <f t="shared" si="43"/>
        <v>-15973.144753410365</v>
      </c>
      <c r="X139" s="44">
        <f t="shared" si="43"/>
        <v>-15973.144753410365</v>
      </c>
      <c r="Y139" s="44">
        <f t="shared" si="43"/>
        <v>-15973.144753410365</v>
      </c>
      <c r="Z139" s="44">
        <f t="shared" si="43"/>
        <v>-15973.144753410365</v>
      </c>
      <c r="AA139" s="44">
        <f t="shared" si="43"/>
        <v>-15973.144753410365</v>
      </c>
      <c r="AB139" s="44">
        <f t="shared" si="43"/>
        <v>-15973.144753410365</v>
      </c>
      <c r="AC139" s="44">
        <f t="shared" si="43"/>
        <v>-43173.144753410365</v>
      </c>
      <c r="AD139" s="44">
        <f t="shared" si="43"/>
        <v>-15973.144753410365</v>
      </c>
      <c r="AE139" s="44">
        <f t="shared" si="43"/>
        <v>-15973.144753410365</v>
      </c>
      <c r="AF139" s="44">
        <f t="shared" si="43"/>
        <v>-15973.144753410365</v>
      </c>
      <c r="AG139" s="44">
        <f t="shared" si="43"/>
        <v>-15973.144753410365</v>
      </c>
      <c r="AH139" s="44">
        <f t="shared" si="43"/>
        <v>-15973.144753410365</v>
      </c>
      <c r="AI139" s="44">
        <f t="shared" si="43"/>
        <v>-15973.144753410365</v>
      </c>
      <c r="AJ139" s="44">
        <f t="shared" ref="AJ139:BO139" si="44">AJ136-AJ137-AJ138</f>
        <v>-15973.144753410365</v>
      </c>
      <c r="AK139" s="44">
        <f t="shared" si="44"/>
        <v>-15973.144753410365</v>
      </c>
      <c r="AL139" s="44">
        <f t="shared" si="44"/>
        <v>-15973.144753410365</v>
      </c>
      <c r="AM139" s="44">
        <f t="shared" si="44"/>
        <v>-15973.144753410365</v>
      </c>
      <c r="AN139" s="44">
        <f t="shared" si="44"/>
        <v>-15973.144753410365</v>
      </c>
      <c r="AO139" s="44">
        <f t="shared" si="44"/>
        <v>0</v>
      </c>
      <c r="AP139" s="44">
        <f t="shared" si="44"/>
        <v>0</v>
      </c>
      <c r="AQ139" s="44">
        <f t="shared" si="44"/>
        <v>0</v>
      </c>
      <c r="AR139" s="44">
        <f t="shared" si="44"/>
        <v>0</v>
      </c>
      <c r="AS139" s="44">
        <f t="shared" si="44"/>
        <v>0</v>
      </c>
      <c r="AT139" s="44">
        <f t="shared" si="44"/>
        <v>0</v>
      </c>
      <c r="AU139" s="44">
        <f t="shared" si="44"/>
        <v>0</v>
      </c>
      <c r="AV139" s="44">
        <f t="shared" si="44"/>
        <v>0</v>
      </c>
      <c r="AW139" s="44">
        <f t="shared" si="44"/>
        <v>0</v>
      </c>
      <c r="AX139" s="44">
        <f t="shared" si="44"/>
        <v>0</v>
      </c>
      <c r="AY139" s="44">
        <f t="shared" si="44"/>
        <v>0</v>
      </c>
      <c r="AZ139" s="44">
        <f t="shared" si="44"/>
        <v>0</v>
      </c>
      <c r="BA139" s="44">
        <f t="shared" si="44"/>
        <v>0</v>
      </c>
      <c r="BB139" s="44">
        <f t="shared" si="44"/>
        <v>0</v>
      </c>
      <c r="BC139" s="44">
        <f t="shared" si="44"/>
        <v>0</v>
      </c>
      <c r="BD139" s="44">
        <f t="shared" si="44"/>
        <v>0</v>
      </c>
      <c r="BE139" s="44">
        <f t="shared" si="44"/>
        <v>0</v>
      </c>
      <c r="BF139" s="44">
        <f t="shared" si="44"/>
        <v>0</v>
      </c>
      <c r="BG139" s="44">
        <f t="shared" si="44"/>
        <v>0</v>
      </c>
      <c r="BH139" s="44">
        <f t="shared" si="44"/>
        <v>0</v>
      </c>
      <c r="BI139" s="44">
        <f t="shared" si="44"/>
        <v>0</v>
      </c>
      <c r="BJ139" s="44">
        <f t="shared" si="44"/>
        <v>0</v>
      </c>
      <c r="BK139" s="44">
        <f t="shared" si="44"/>
        <v>0</v>
      </c>
      <c r="BL139" s="44">
        <f t="shared" si="44"/>
        <v>0</v>
      </c>
    </row>
    <row r="140" spans="1:64" x14ac:dyDescent="0.3">
      <c r="A140" s="8" t="s">
        <v>1013</v>
      </c>
      <c r="D140" s="44">
        <f>D139</f>
        <v>-1764768.4861455897</v>
      </c>
      <c r="E140" s="44">
        <f t="shared" ref="E140:AJ140" si="45">D140+E139</f>
        <v>-1923702.7947418869</v>
      </c>
      <c r="F140" s="44">
        <f t="shared" si="45"/>
        <v>-2058738.6202604505</v>
      </c>
      <c r="G140" s="44">
        <f t="shared" si="45"/>
        <v>-2162706.0418350114</v>
      </c>
      <c r="H140" s="44">
        <f t="shared" si="45"/>
        <v>-2235605.3800243814</v>
      </c>
      <c r="I140" s="44">
        <f t="shared" si="45"/>
        <v>-2284604.5195266018</v>
      </c>
      <c r="J140" s="44">
        <f t="shared" si="45"/>
        <v>-2324043.9915876603</v>
      </c>
      <c r="K140" s="44">
        <f t="shared" si="45"/>
        <v>-2340017.1363410708</v>
      </c>
      <c r="L140" s="44">
        <f t="shared" si="45"/>
        <v>-2355990.2810944812</v>
      </c>
      <c r="M140" s="44">
        <f t="shared" si="45"/>
        <v>-2371963.4258478917</v>
      </c>
      <c r="N140" s="44">
        <f t="shared" si="45"/>
        <v>-2387936.5706013022</v>
      </c>
      <c r="O140" s="44">
        <f t="shared" si="45"/>
        <v>-2403909.7153547127</v>
      </c>
      <c r="P140" s="44">
        <f t="shared" si="45"/>
        <v>-2419882.8601081232</v>
      </c>
      <c r="Q140" s="44">
        <f t="shared" si="45"/>
        <v>-2463056.0048615336</v>
      </c>
      <c r="R140" s="44">
        <f t="shared" si="45"/>
        <v>-2479029.1496149441</v>
      </c>
      <c r="S140" s="44">
        <f t="shared" si="45"/>
        <v>-2495002.2943683546</v>
      </c>
      <c r="T140" s="44">
        <f t="shared" si="45"/>
        <v>-2510975.4391217651</v>
      </c>
      <c r="U140" s="44">
        <f t="shared" si="45"/>
        <v>-2526948.5838751756</v>
      </c>
      <c r="V140" s="44">
        <f t="shared" si="45"/>
        <v>-2542921.728628586</v>
      </c>
      <c r="W140" s="44">
        <f t="shared" si="45"/>
        <v>-2558894.8733819965</v>
      </c>
      <c r="X140" s="44">
        <f t="shared" si="45"/>
        <v>-2574868.018135407</v>
      </c>
      <c r="Y140" s="44">
        <f t="shared" si="45"/>
        <v>-2590841.1628888175</v>
      </c>
      <c r="Z140" s="44">
        <f t="shared" si="45"/>
        <v>-2606814.307642228</v>
      </c>
      <c r="AA140" s="44">
        <f t="shared" si="45"/>
        <v>-2622787.4523956385</v>
      </c>
      <c r="AB140" s="44">
        <f t="shared" si="45"/>
        <v>-2638760.5971490489</v>
      </c>
      <c r="AC140" s="44">
        <f t="shared" si="45"/>
        <v>-2681933.7419024594</v>
      </c>
      <c r="AD140" s="44">
        <f t="shared" si="45"/>
        <v>-2697906.8866558699</v>
      </c>
      <c r="AE140" s="44">
        <f t="shared" si="45"/>
        <v>-2713880.0314092804</v>
      </c>
      <c r="AF140" s="44">
        <f t="shared" si="45"/>
        <v>-2729853.1761626909</v>
      </c>
      <c r="AG140" s="44">
        <f t="shared" si="45"/>
        <v>-2745826.3209161013</v>
      </c>
      <c r="AH140" s="44">
        <f t="shared" si="45"/>
        <v>-2761799.4656695118</v>
      </c>
      <c r="AI140" s="44">
        <f t="shared" si="45"/>
        <v>-2777772.6104229223</v>
      </c>
      <c r="AJ140" s="44">
        <f t="shared" si="45"/>
        <v>-2793745.7551763328</v>
      </c>
      <c r="AK140" s="44">
        <f t="shared" ref="AK140:BP140" si="46">AJ140+AK139</f>
        <v>-2809718.8999297433</v>
      </c>
      <c r="AL140" s="44">
        <f t="shared" si="46"/>
        <v>-2825692.0446831537</v>
      </c>
      <c r="AM140" s="44">
        <f t="shared" si="46"/>
        <v>-2841665.1894365642</v>
      </c>
      <c r="AN140" s="44">
        <f t="shared" si="46"/>
        <v>-2857638.3341899747</v>
      </c>
      <c r="AO140" s="44">
        <f t="shared" si="46"/>
        <v>-2857638.3341899747</v>
      </c>
      <c r="AP140" s="44">
        <f t="shared" si="46"/>
        <v>-2857638.3341899747</v>
      </c>
      <c r="AQ140" s="44">
        <f t="shared" si="46"/>
        <v>-2857638.3341899747</v>
      </c>
      <c r="AR140" s="44">
        <f t="shared" si="46"/>
        <v>-2857638.3341899747</v>
      </c>
      <c r="AS140" s="44">
        <f t="shared" si="46"/>
        <v>-2857638.3341899747</v>
      </c>
      <c r="AT140" s="44">
        <f t="shared" si="46"/>
        <v>-2857638.3341899747</v>
      </c>
      <c r="AU140" s="44">
        <f t="shared" si="46"/>
        <v>-2857638.3341899747</v>
      </c>
      <c r="AV140" s="44">
        <f t="shared" si="46"/>
        <v>-2857638.3341899747</v>
      </c>
      <c r="AW140" s="44">
        <f t="shared" si="46"/>
        <v>-2857638.3341899747</v>
      </c>
      <c r="AX140" s="44">
        <f t="shared" si="46"/>
        <v>-2857638.3341899747</v>
      </c>
      <c r="AY140" s="44">
        <f t="shared" si="46"/>
        <v>-2857638.3341899747</v>
      </c>
      <c r="AZ140" s="44">
        <f t="shared" si="46"/>
        <v>-2857638.3341899747</v>
      </c>
      <c r="BA140" s="44">
        <f t="shared" si="46"/>
        <v>-2857638.3341899747</v>
      </c>
      <c r="BB140" s="44">
        <f t="shared" si="46"/>
        <v>-2857638.3341899747</v>
      </c>
      <c r="BC140" s="44">
        <f t="shared" si="46"/>
        <v>-2857638.3341899747</v>
      </c>
      <c r="BD140" s="44">
        <f t="shared" si="46"/>
        <v>-2857638.3341899747</v>
      </c>
      <c r="BE140" s="44">
        <f t="shared" si="46"/>
        <v>-2857638.3341899747</v>
      </c>
      <c r="BF140" s="44">
        <f t="shared" si="46"/>
        <v>-2857638.3341899747</v>
      </c>
      <c r="BG140" s="44">
        <f t="shared" si="46"/>
        <v>-2857638.3341899747</v>
      </c>
      <c r="BH140" s="44">
        <f t="shared" si="46"/>
        <v>-2857638.3341899747</v>
      </c>
      <c r="BI140" s="44">
        <f t="shared" si="46"/>
        <v>-2857638.3341899747</v>
      </c>
      <c r="BJ140" s="44">
        <f t="shared" si="46"/>
        <v>-2857638.3341899747</v>
      </c>
      <c r="BK140" s="44">
        <f t="shared" si="46"/>
        <v>-2857638.3341899747</v>
      </c>
      <c r="BL140" s="44">
        <f t="shared" si="46"/>
        <v>-2857638.3341899747</v>
      </c>
    </row>
    <row r="141" spans="1:64" x14ac:dyDescent="0.3">
      <c r="A141" s="8" t="s">
        <v>1014</v>
      </c>
      <c r="C141" s="22" t="str">
        <f>IF(COUNT(E141:BL141)=0,"None",MIN(E141:BL141))</f>
        <v>None</v>
      </c>
      <c r="E141" s="22" t="str">
        <f>IF(AND(E$4&lt;=Org!$B$5,E140&gt;=0),E$4,"")</f>
        <v/>
      </c>
      <c r="F141" s="22" t="str">
        <f>IF(AND(F$4&lt;=Org!$B$5,F140&gt;=0),F$4,"")</f>
        <v/>
      </c>
      <c r="G141" s="22" t="str">
        <f>IF(AND(G$4&lt;=Org!$B$5,G140&gt;=0),G$4,"")</f>
        <v/>
      </c>
      <c r="H141" s="22" t="str">
        <f>IF(AND(H$4&lt;=Org!$B$5,H140&gt;=0),H$4,"")</f>
        <v/>
      </c>
      <c r="I141" s="22" t="str">
        <f>IF(AND(I$4&lt;=Org!$B$5,I140&gt;=0),I$4,"")</f>
        <v/>
      </c>
      <c r="J141" s="22" t="str">
        <f>IF(AND(J$4&lt;=Org!$B$5,J140&gt;=0),J$4,"")</f>
        <v/>
      </c>
      <c r="K141" s="22" t="str">
        <f>IF(AND(K$4&lt;=Org!$B$5,K140&gt;=0),K$4,"")</f>
        <v/>
      </c>
      <c r="L141" s="22" t="str">
        <f>IF(AND(L$4&lt;=Org!$B$5,L140&gt;=0),L$4,"")</f>
        <v/>
      </c>
      <c r="M141" s="22" t="str">
        <f>IF(AND(M$4&lt;=Org!$B$5,M140&gt;=0),M$4,"")</f>
        <v/>
      </c>
      <c r="N141" s="22" t="str">
        <f>IF(AND(N$4&lt;=Org!$B$5,N140&gt;=0),N$4,"")</f>
        <v/>
      </c>
      <c r="O141" s="22" t="str">
        <f>IF(AND(O$4&lt;=Org!$B$5,O140&gt;=0),O$4,"")</f>
        <v/>
      </c>
      <c r="P141" s="22" t="str">
        <f>IF(AND(P$4&lt;=Org!$B$5,P140&gt;=0),P$4,"")</f>
        <v/>
      </c>
      <c r="Q141" s="22" t="str">
        <f>IF(AND(Q$4&lt;=Org!$B$5,Q140&gt;=0),Q$4,"")</f>
        <v/>
      </c>
      <c r="R141" s="22" t="str">
        <f>IF(AND(R$4&lt;=Org!$B$5,R140&gt;=0),R$4,"")</f>
        <v/>
      </c>
      <c r="S141" s="22" t="str">
        <f>IF(AND(S$4&lt;=Org!$B$5,S140&gt;=0),S$4,"")</f>
        <v/>
      </c>
      <c r="T141" s="22" t="str">
        <f>IF(AND(T$4&lt;=Org!$B$5,T140&gt;=0),T$4,"")</f>
        <v/>
      </c>
      <c r="U141" s="22" t="str">
        <f>IF(AND(U$4&lt;=Org!$B$5,U140&gt;=0),U$4,"")</f>
        <v/>
      </c>
      <c r="V141" s="22" t="str">
        <f>IF(AND(V$4&lt;=Org!$B$5,V140&gt;=0),V$4,"")</f>
        <v/>
      </c>
      <c r="W141" s="22" t="str">
        <f>IF(AND(W$4&lt;=Org!$B$5,W140&gt;=0),W$4,"")</f>
        <v/>
      </c>
      <c r="X141" s="22" t="str">
        <f>IF(AND(X$4&lt;=Org!$B$5,X140&gt;=0),X$4,"")</f>
        <v/>
      </c>
      <c r="Y141" s="22" t="str">
        <f>IF(AND(Y$4&lt;=Org!$B$5,Y140&gt;=0),Y$4,"")</f>
        <v/>
      </c>
      <c r="Z141" s="22" t="str">
        <f>IF(AND(Z$4&lt;=Org!$B$5,Z140&gt;=0),Z$4,"")</f>
        <v/>
      </c>
      <c r="AA141" s="22" t="str">
        <f>IF(AND(AA$4&lt;=Org!$B$5,AA140&gt;=0),AA$4,"")</f>
        <v/>
      </c>
      <c r="AB141" s="22" t="str">
        <f>IF(AND(AB$4&lt;=Org!$B$5,AB140&gt;=0),AB$4,"")</f>
        <v/>
      </c>
      <c r="AC141" s="22" t="str">
        <f>IF(AND(AC$4&lt;=Org!$B$5,AC140&gt;=0),AC$4,"")</f>
        <v/>
      </c>
      <c r="AD141" s="22" t="str">
        <f>IF(AND(AD$4&lt;=Org!$B$5,AD140&gt;=0),AD$4,"")</f>
        <v/>
      </c>
      <c r="AE141" s="22" t="str">
        <f>IF(AND(AE$4&lt;=Org!$B$5,AE140&gt;=0),AE$4,"")</f>
        <v/>
      </c>
      <c r="AF141" s="22" t="str">
        <f>IF(AND(AF$4&lt;=Org!$B$5,AF140&gt;=0),AF$4,"")</f>
        <v/>
      </c>
      <c r="AG141" s="22" t="str">
        <f>IF(AND(AG$4&lt;=Org!$B$5,AG140&gt;=0),AG$4,"")</f>
        <v/>
      </c>
      <c r="AH141" s="22" t="str">
        <f>IF(AND(AH$4&lt;=Org!$B$5,AH140&gt;=0),AH$4,"")</f>
        <v/>
      </c>
      <c r="AI141" s="22" t="str">
        <f>IF(AND(AI$4&lt;=Org!$B$5,AI140&gt;=0),AI$4,"")</f>
        <v/>
      </c>
      <c r="AJ141" s="22" t="str">
        <f>IF(AND(AJ$4&lt;=Org!$B$5,AJ140&gt;=0),AJ$4,"")</f>
        <v/>
      </c>
      <c r="AK141" s="22" t="str">
        <f>IF(AND(AK$4&lt;=Org!$B$5,AK140&gt;=0),AK$4,"")</f>
        <v/>
      </c>
      <c r="AL141" s="22" t="str">
        <f>IF(AND(AL$4&lt;=Org!$B$5,AL140&gt;=0),AL$4,"")</f>
        <v/>
      </c>
      <c r="AM141" s="22" t="str">
        <f>IF(AND(AM$4&lt;=Org!$B$5,AM140&gt;=0),AM$4,"")</f>
        <v/>
      </c>
      <c r="AN141" s="22" t="str">
        <f>IF(AND(AN$4&lt;=Org!$B$5,AN140&gt;=0),AN$4,"")</f>
        <v/>
      </c>
      <c r="AO141" s="22" t="str">
        <f>IF(AND(AO$4&lt;=Org!$B$5,AO140&gt;=0),AO$4,"")</f>
        <v/>
      </c>
      <c r="AP141" s="22" t="str">
        <f>IF(AND(AP$4&lt;=Org!$B$5,AP140&gt;=0),AP$4,"")</f>
        <v/>
      </c>
      <c r="AQ141" s="22" t="str">
        <f>IF(AND(AQ$4&lt;=Org!$B$5,AQ140&gt;=0),AQ$4,"")</f>
        <v/>
      </c>
      <c r="AR141" s="22" t="str">
        <f>IF(AND(AR$4&lt;=Org!$B$5,AR140&gt;=0),AR$4,"")</f>
        <v/>
      </c>
      <c r="AS141" s="22" t="str">
        <f>IF(AND(AS$4&lt;=Org!$B$5,AS140&gt;=0),AS$4,"")</f>
        <v/>
      </c>
      <c r="AT141" s="22" t="str">
        <f>IF(AND(AT$4&lt;=Org!$B$5,AT140&gt;=0),AT$4,"")</f>
        <v/>
      </c>
      <c r="AU141" s="22" t="str">
        <f>IF(AND(AU$4&lt;=Org!$B$5,AU140&gt;=0),AU$4,"")</f>
        <v/>
      </c>
      <c r="AV141" s="22" t="str">
        <f>IF(AND(AV$4&lt;=Org!$B$5,AV140&gt;=0),AV$4,"")</f>
        <v/>
      </c>
      <c r="AW141" s="22" t="str">
        <f>IF(AND(AW$4&lt;=Org!$B$5,AW140&gt;=0),AW$4,"")</f>
        <v/>
      </c>
      <c r="AX141" s="22" t="str">
        <f>IF(AND(AX$4&lt;=Org!$B$5,AX140&gt;=0),AX$4,"")</f>
        <v/>
      </c>
      <c r="AY141" s="22" t="str">
        <f>IF(AND(AY$4&lt;=Org!$B$5,AY140&gt;=0),AY$4,"")</f>
        <v/>
      </c>
      <c r="AZ141" s="22" t="str">
        <f>IF(AND(AZ$4&lt;=Org!$B$5,AZ140&gt;=0),AZ$4,"")</f>
        <v/>
      </c>
      <c r="BA141" s="22" t="str">
        <f>IF(AND(BA$4&lt;=Org!$B$5,BA140&gt;=0),BA$4,"")</f>
        <v/>
      </c>
      <c r="BB141" s="22" t="str">
        <f>IF(AND(BB$4&lt;=Org!$B$5,BB140&gt;=0),BB$4,"")</f>
        <v/>
      </c>
      <c r="BC141" s="22" t="str">
        <f>IF(AND(BC$4&lt;=Org!$B$5,BC140&gt;=0),BC$4,"")</f>
        <v/>
      </c>
      <c r="BD141" s="22" t="str">
        <f>IF(AND(BD$4&lt;=Org!$B$5,BD140&gt;=0),BD$4,"")</f>
        <v/>
      </c>
      <c r="BE141" s="22" t="str">
        <f>IF(AND(BE$4&lt;=Org!$B$5,BE140&gt;=0),BE$4,"")</f>
        <v/>
      </c>
      <c r="BF141" s="22" t="str">
        <f>IF(AND(BF$4&lt;=Org!$B$5,BF140&gt;=0),BF$4,"")</f>
        <v/>
      </c>
      <c r="BG141" s="22" t="str">
        <f>IF(AND(BG$4&lt;=Org!$B$5,BG140&gt;=0),BG$4,"")</f>
        <v/>
      </c>
      <c r="BH141" s="22" t="str">
        <f>IF(AND(BH$4&lt;=Org!$B$5,BH140&gt;=0),BH$4,"")</f>
        <v/>
      </c>
      <c r="BI141" s="22" t="str">
        <f>IF(AND(BI$4&lt;=Org!$B$5,BI140&gt;=0),BI$4,"")</f>
        <v/>
      </c>
      <c r="BJ141" s="22" t="str">
        <f>IF(AND(BJ$4&lt;=Org!$B$5,BJ140&gt;=0),BJ$4,"")</f>
        <v/>
      </c>
      <c r="BK141" s="22" t="str">
        <f>IF(AND(BK$4&lt;=Org!$B$5,BK140&gt;=0),BK$4,"")</f>
        <v/>
      </c>
      <c r="BL141" s="22" t="str">
        <f>IF(AND(BL$4&lt;=Org!$B$5,BL140&gt;=0),BL$4,"")</f>
        <v/>
      </c>
    </row>
    <row r="143" spans="1:64" x14ac:dyDescent="0.3">
      <c r="A143" s="7" t="s">
        <v>1015</v>
      </c>
    </row>
    <row r="144" spans="1:64" x14ac:dyDescent="0.3">
      <c r="A144" s="8" t="s">
        <v>1016</v>
      </c>
      <c r="C144" s="22">
        <f>SUMPRODUCT(E144:BL144,E$5:BL$5)</f>
        <v>12149200</v>
      </c>
      <c r="E144" s="22">
        <f t="shared" ref="E144:AJ144" si="47">E12+E39+E66+E93+E120</f>
        <v>45333.333333333336</v>
      </c>
      <c r="F144" s="22">
        <f t="shared" si="47"/>
        <v>113629.62962962964</v>
      </c>
      <c r="G144" s="22">
        <f t="shared" si="47"/>
        <v>197680.77037037036</v>
      </c>
      <c r="H144" s="22">
        <f t="shared" si="47"/>
        <v>285768.53333333333</v>
      </c>
      <c r="I144" s="22">
        <f t="shared" si="47"/>
        <v>332461.09629629634</v>
      </c>
      <c r="J144" s="22">
        <f t="shared" si="47"/>
        <v>356326.637037037</v>
      </c>
      <c r="K144" s="22">
        <f t="shared" si="47"/>
        <v>360600</v>
      </c>
      <c r="L144" s="22">
        <f t="shared" si="47"/>
        <v>360600</v>
      </c>
      <c r="M144" s="22">
        <f t="shared" si="47"/>
        <v>360600</v>
      </c>
      <c r="N144" s="22">
        <f t="shared" si="47"/>
        <v>360600</v>
      </c>
      <c r="O144" s="22">
        <f t="shared" si="47"/>
        <v>360600</v>
      </c>
      <c r="P144" s="22">
        <f t="shared" si="47"/>
        <v>360600</v>
      </c>
      <c r="Q144" s="22">
        <f t="shared" si="47"/>
        <v>360600</v>
      </c>
      <c r="R144" s="22">
        <f t="shared" si="47"/>
        <v>360600</v>
      </c>
      <c r="S144" s="22">
        <f t="shared" si="47"/>
        <v>360600</v>
      </c>
      <c r="T144" s="22">
        <f t="shared" si="47"/>
        <v>360600</v>
      </c>
      <c r="U144" s="22">
        <f t="shared" si="47"/>
        <v>360600</v>
      </c>
      <c r="V144" s="22">
        <f t="shared" si="47"/>
        <v>360600</v>
      </c>
      <c r="W144" s="22">
        <f t="shared" si="47"/>
        <v>360600</v>
      </c>
      <c r="X144" s="22">
        <f t="shared" si="47"/>
        <v>360600</v>
      </c>
      <c r="Y144" s="22">
        <f t="shared" si="47"/>
        <v>360600</v>
      </c>
      <c r="Z144" s="22">
        <f t="shared" si="47"/>
        <v>360600</v>
      </c>
      <c r="AA144" s="22">
        <f t="shared" si="47"/>
        <v>360600</v>
      </c>
      <c r="AB144" s="22">
        <f t="shared" si="47"/>
        <v>360600</v>
      </c>
      <c r="AC144" s="22">
        <f t="shared" si="47"/>
        <v>360600</v>
      </c>
      <c r="AD144" s="22">
        <f t="shared" si="47"/>
        <v>360600</v>
      </c>
      <c r="AE144" s="22">
        <f t="shared" si="47"/>
        <v>360600</v>
      </c>
      <c r="AF144" s="22">
        <f t="shared" si="47"/>
        <v>360600</v>
      </c>
      <c r="AG144" s="22">
        <f t="shared" si="47"/>
        <v>360600</v>
      </c>
      <c r="AH144" s="22">
        <f t="shared" si="47"/>
        <v>360600</v>
      </c>
      <c r="AI144" s="22">
        <f t="shared" si="47"/>
        <v>360600</v>
      </c>
      <c r="AJ144" s="22">
        <f t="shared" si="47"/>
        <v>360600</v>
      </c>
      <c r="AK144" s="22">
        <f t="shared" ref="AK144:BL144" si="48">AK12+AK39+AK66+AK93+AK120</f>
        <v>360600</v>
      </c>
      <c r="AL144" s="22">
        <f t="shared" si="48"/>
        <v>360600</v>
      </c>
      <c r="AM144" s="22">
        <f t="shared" si="48"/>
        <v>360600</v>
      </c>
      <c r="AN144" s="22">
        <f t="shared" si="48"/>
        <v>360600</v>
      </c>
      <c r="AO144" s="22">
        <f t="shared" si="48"/>
        <v>360600</v>
      </c>
      <c r="AP144" s="22">
        <f t="shared" si="48"/>
        <v>360600</v>
      </c>
      <c r="AQ144" s="22">
        <f t="shared" si="48"/>
        <v>360600</v>
      </c>
      <c r="AR144" s="22">
        <f t="shared" si="48"/>
        <v>360600</v>
      </c>
      <c r="AS144" s="22">
        <f t="shared" si="48"/>
        <v>360600</v>
      </c>
      <c r="AT144" s="22">
        <f t="shared" si="48"/>
        <v>360600</v>
      </c>
      <c r="AU144" s="22">
        <f t="shared" si="48"/>
        <v>360600</v>
      </c>
      <c r="AV144" s="22">
        <f t="shared" si="48"/>
        <v>360600</v>
      </c>
      <c r="AW144" s="22">
        <f t="shared" si="48"/>
        <v>360600</v>
      </c>
      <c r="AX144" s="22">
        <f t="shared" si="48"/>
        <v>360600</v>
      </c>
      <c r="AY144" s="22">
        <f t="shared" si="48"/>
        <v>360600</v>
      </c>
      <c r="AZ144" s="22">
        <f t="shared" si="48"/>
        <v>360600</v>
      </c>
      <c r="BA144" s="22">
        <f t="shared" si="48"/>
        <v>360600</v>
      </c>
      <c r="BB144" s="22">
        <f t="shared" si="48"/>
        <v>360600</v>
      </c>
      <c r="BC144" s="22">
        <f t="shared" si="48"/>
        <v>360600</v>
      </c>
      <c r="BD144" s="22">
        <f t="shared" si="48"/>
        <v>360600</v>
      </c>
      <c r="BE144" s="22">
        <f t="shared" si="48"/>
        <v>360600</v>
      </c>
      <c r="BF144" s="22">
        <f t="shared" si="48"/>
        <v>360600</v>
      </c>
      <c r="BG144" s="22">
        <f t="shared" si="48"/>
        <v>360600</v>
      </c>
      <c r="BH144" s="22">
        <f t="shared" si="48"/>
        <v>360600</v>
      </c>
      <c r="BI144" s="22">
        <f t="shared" si="48"/>
        <v>360600</v>
      </c>
      <c r="BJ144" s="22">
        <f t="shared" si="48"/>
        <v>360600</v>
      </c>
      <c r="BK144" s="22">
        <f t="shared" si="48"/>
        <v>360600</v>
      </c>
      <c r="BL144" s="22">
        <f t="shared" si="48"/>
        <v>360600</v>
      </c>
    </row>
    <row r="145" spans="1:64" x14ac:dyDescent="0.3">
      <c r="A145" s="8" t="s">
        <v>1017</v>
      </c>
      <c r="B145" s="18" t="s">
        <v>169</v>
      </c>
      <c r="C145" s="44">
        <f t="shared" ref="C145:C158" si="49">SUM(D145:BL145)</f>
        <v>240000</v>
      </c>
      <c r="D145" s="44">
        <f>Params!$F$11*Org!$B$10</f>
        <v>240000</v>
      </c>
    </row>
    <row r="146" spans="1:64" x14ac:dyDescent="0.3">
      <c r="A146" s="8" t="s">
        <v>1018</v>
      </c>
      <c r="B146" s="18" t="s">
        <v>169</v>
      </c>
      <c r="C146" s="44">
        <f t="shared" si="49"/>
        <v>112000</v>
      </c>
      <c r="D146" s="44">
        <f>SUMPRODUCT(Teams!$C$5:$G$5,Teams!$C$43:$G$43)*Params!$F$8*Org!$B$10</f>
        <v>112000</v>
      </c>
    </row>
    <row r="147" spans="1:64" x14ac:dyDescent="0.3">
      <c r="A147" s="8" t="s">
        <v>1019</v>
      </c>
      <c r="B147" s="18" t="s">
        <v>169</v>
      </c>
      <c r="C147" s="44">
        <f t="shared" si="49"/>
        <v>168000</v>
      </c>
      <c r="D147" s="44">
        <f>(Org!$B$18*Params!$F$14+Params!$F$15)*Org!$B$10</f>
        <v>168000</v>
      </c>
    </row>
    <row r="148" spans="1:64" x14ac:dyDescent="0.3">
      <c r="A148" s="8" t="s">
        <v>1020</v>
      </c>
      <c r="B148" s="18" t="s">
        <v>169</v>
      </c>
      <c r="C148" s="44">
        <f t="shared" si="49"/>
        <v>100000</v>
      </c>
      <c r="D148" s="44">
        <f>Org!$B$18*Params!$F$18*Org!$B$10</f>
        <v>100000</v>
      </c>
    </row>
    <row r="149" spans="1:64" x14ac:dyDescent="0.3">
      <c r="A149" s="8" t="s">
        <v>1021</v>
      </c>
      <c r="B149" s="18" t="s">
        <v>169</v>
      </c>
      <c r="C149" s="44">
        <f t="shared" si="49"/>
        <v>216000</v>
      </c>
      <c r="E149" s="44">
        <f>E$5*$D$145*Params!$F$12/12</f>
        <v>6000</v>
      </c>
      <c r="F149" s="44">
        <f>F$5*$D$145*Params!$F$12/12</f>
        <v>6000</v>
      </c>
      <c r="G149" s="44">
        <f>G$5*$D$145*Params!$F$12/12</f>
        <v>6000</v>
      </c>
      <c r="H149" s="44">
        <f>H$5*$D$145*Params!$F$12/12</f>
        <v>6000</v>
      </c>
      <c r="I149" s="44">
        <f>I$5*$D$145*Params!$F$12/12</f>
        <v>6000</v>
      </c>
      <c r="J149" s="44">
        <f>J$5*$D$145*Params!$F$12/12</f>
        <v>6000</v>
      </c>
      <c r="K149" s="44">
        <f>K$5*$D$145*Params!$F$12/12</f>
        <v>6000</v>
      </c>
      <c r="L149" s="44">
        <f>L$5*$D$145*Params!$F$12/12</f>
        <v>6000</v>
      </c>
      <c r="M149" s="44">
        <f>M$5*$D$145*Params!$F$12/12</f>
        <v>6000</v>
      </c>
      <c r="N149" s="44">
        <f>N$5*$D$145*Params!$F$12/12</f>
        <v>6000</v>
      </c>
      <c r="O149" s="44">
        <f>O$5*$D$145*Params!$F$12/12</f>
        <v>6000</v>
      </c>
      <c r="P149" s="44">
        <f>P$5*$D$145*Params!$F$12/12</f>
        <v>6000</v>
      </c>
      <c r="Q149" s="44">
        <f>Q$5*$D$145*Params!$F$12/12</f>
        <v>6000</v>
      </c>
      <c r="R149" s="44">
        <f>R$5*$D$145*Params!$F$12/12</f>
        <v>6000</v>
      </c>
      <c r="S149" s="44">
        <f>S$5*$D$145*Params!$F$12/12</f>
        <v>6000</v>
      </c>
      <c r="T149" s="44">
        <f>T$5*$D$145*Params!$F$12/12</f>
        <v>6000</v>
      </c>
      <c r="U149" s="44">
        <f>U$5*$D$145*Params!$F$12/12</f>
        <v>6000</v>
      </c>
      <c r="V149" s="44">
        <f>V$5*$D$145*Params!$F$12/12</f>
        <v>6000</v>
      </c>
      <c r="W149" s="44">
        <f>W$5*$D$145*Params!$F$12/12</f>
        <v>6000</v>
      </c>
      <c r="X149" s="44">
        <f>X$5*$D$145*Params!$F$12/12</f>
        <v>6000</v>
      </c>
      <c r="Y149" s="44">
        <f>Y$5*$D$145*Params!$F$12/12</f>
        <v>6000</v>
      </c>
      <c r="Z149" s="44">
        <f>Z$5*$D$145*Params!$F$12/12</f>
        <v>6000</v>
      </c>
      <c r="AA149" s="44">
        <f>AA$5*$D$145*Params!$F$12/12</f>
        <v>6000</v>
      </c>
      <c r="AB149" s="44">
        <f>AB$5*$D$145*Params!$F$12/12</f>
        <v>6000</v>
      </c>
      <c r="AC149" s="44">
        <f>AC$5*$D$145*Params!$F$12/12</f>
        <v>6000</v>
      </c>
      <c r="AD149" s="44">
        <f>AD$5*$D$145*Params!$F$12/12</f>
        <v>6000</v>
      </c>
      <c r="AE149" s="44">
        <f>AE$5*$D$145*Params!$F$12/12</f>
        <v>6000</v>
      </c>
      <c r="AF149" s="44">
        <f>AF$5*$D$145*Params!$F$12/12</f>
        <v>6000</v>
      </c>
      <c r="AG149" s="44">
        <f>AG$5*$D$145*Params!$F$12/12</f>
        <v>6000</v>
      </c>
      <c r="AH149" s="44">
        <f>AH$5*$D$145*Params!$F$12/12</f>
        <v>6000</v>
      </c>
      <c r="AI149" s="44">
        <f>AI$5*$D$145*Params!$F$12/12</f>
        <v>6000</v>
      </c>
      <c r="AJ149" s="44">
        <f>AJ$5*$D$145*Params!$F$12/12</f>
        <v>6000</v>
      </c>
      <c r="AK149" s="44">
        <f>AK$5*$D$145*Params!$F$12/12</f>
        <v>6000</v>
      </c>
      <c r="AL149" s="44">
        <f>AL$5*$D$145*Params!$F$12/12</f>
        <v>6000</v>
      </c>
      <c r="AM149" s="44">
        <f>AM$5*$D$145*Params!$F$12/12</f>
        <v>6000</v>
      </c>
      <c r="AN149" s="44">
        <f>AN$5*$D$145*Params!$F$12/12</f>
        <v>6000</v>
      </c>
      <c r="AO149" s="44">
        <f>AO$5*$D$145*Params!$F$12/12</f>
        <v>0</v>
      </c>
      <c r="AP149" s="44">
        <f>AP$5*$D$145*Params!$F$12/12</f>
        <v>0</v>
      </c>
      <c r="AQ149" s="44">
        <f>AQ$5*$D$145*Params!$F$12/12</f>
        <v>0</v>
      </c>
      <c r="AR149" s="44">
        <f>AR$5*$D$145*Params!$F$12/12</f>
        <v>0</v>
      </c>
      <c r="AS149" s="44">
        <f>AS$5*$D$145*Params!$F$12/12</f>
        <v>0</v>
      </c>
      <c r="AT149" s="44">
        <f>AT$5*$D$145*Params!$F$12/12</f>
        <v>0</v>
      </c>
      <c r="AU149" s="44">
        <f>AU$5*$D$145*Params!$F$12/12</f>
        <v>0</v>
      </c>
      <c r="AV149" s="44">
        <f>AV$5*$D$145*Params!$F$12/12</f>
        <v>0</v>
      </c>
      <c r="AW149" s="44">
        <f>AW$5*$D$145*Params!$F$12/12</f>
        <v>0</v>
      </c>
      <c r="AX149" s="44">
        <f>AX$5*$D$145*Params!$F$12/12</f>
        <v>0</v>
      </c>
      <c r="AY149" s="44">
        <f>AY$5*$D$145*Params!$F$12/12</f>
        <v>0</v>
      </c>
      <c r="AZ149" s="44">
        <f>AZ$5*$D$145*Params!$F$12/12</f>
        <v>0</v>
      </c>
      <c r="BA149" s="44">
        <f>BA$5*$D$145*Params!$F$12/12</f>
        <v>0</v>
      </c>
      <c r="BB149" s="44">
        <f>BB$5*$D$145*Params!$F$12/12</f>
        <v>0</v>
      </c>
      <c r="BC149" s="44">
        <f>BC$5*$D$145*Params!$F$12/12</f>
        <v>0</v>
      </c>
      <c r="BD149" s="44">
        <f>BD$5*$D$145*Params!$F$12/12</f>
        <v>0</v>
      </c>
      <c r="BE149" s="44">
        <f>BE$5*$D$145*Params!$F$12/12</f>
        <v>0</v>
      </c>
      <c r="BF149" s="44">
        <f>BF$5*$D$145*Params!$F$12/12</f>
        <v>0</v>
      </c>
      <c r="BG149" s="44">
        <f>BG$5*$D$145*Params!$F$12/12</f>
        <v>0</v>
      </c>
      <c r="BH149" s="44">
        <f>BH$5*$D$145*Params!$F$12/12</f>
        <v>0</v>
      </c>
      <c r="BI149" s="44">
        <f>BI$5*$D$145*Params!$F$12/12</f>
        <v>0</v>
      </c>
      <c r="BJ149" s="44">
        <f>BJ$5*$D$145*Params!$F$12/12</f>
        <v>0</v>
      </c>
      <c r="BK149" s="44">
        <f>BK$5*$D$145*Params!$F$12/12</f>
        <v>0</v>
      </c>
      <c r="BL149" s="44">
        <f>BL$5*$D$145*Params!$F$12/12</f>
        <v>0</v>
      </c>
    </row>
    <row r="150" spans="1:64" x14ac:dyDescent="0.3">
      <c r="A150" s="8" t="s">
        <v>1022</v>
      </c>
      <c r="B150" s="18" t="s">
        <v>169</v>
      </c>
      <c r="C150" s="44">
        <f t="shared" si="49"/>
        <v>67199.999999999971</v>
      </c>
      <c r="E150" s="44">
        <f>E$5*$D$146*Params!$F$9/12</f>
        <v>1866.6666666666667</v>
      </c>
      <c r="F150" s="44">
        <f>F$5*$D$146*Params!$F$9/12</f>
        <v>1866.6666666666667</v>
      </c>
      <c r="G150" s="44">
        <f>G$5*$D$146*Params!$F$9/12</f>
        <v>1866.6666666666667</v>
      </c>
      <c r="H150" s="44">
        <f>H$5*$D$146*Params!$F$9/12</f>
        <v>1866.6666666666667</v>
      </c>
      <c r="I150" s="44">
        <f>I$5*$D$146*Params!$F$9/12</f>
        <v>1866.6666666666667</v>
      </c>
      <c r="J150" s="44">
        <f>J$5*$D$146*Params!$F$9/12</f>
        <v>1866.6666666666667</v>
      </c>
      <c r="K150" s="44">
        <f>K$5*$D$146*Params!$F$9/12</f>
        <v>1866.6666666666667</v>
      </c>
      <c r="L150" s="44">
        <f>L$5*$D$146*Params!$F$9/12</f>
        <v>1866.6666666666667</v>
      </c>
      <c r="M150" s="44">
        <f>M$5*$D$146*Params!$F$9/12</f>
        <v>1866.6666666666667</v>
      </c>
      <c r="N150" s="44">
        <f>N$5*$D$146*Params!$F$9/12</f>
        <v>1866.6666666666667</v>
      </c>
      <c r="O150" s="44">
        <f>O$5*$D$146*Params!$F$9/12</f>
        <v>1866.6666666666667</v>
      </c>
      <c r="P150" s="44">
        <f>P$5*$D$146*Params!$F$9/12</f>
        <v>1866.6666666666667</v>
      </c>
      <c r="Q150" s="44">
        <f>Q$5*$D$146*Params!$F$9/12</f>
        <v>1866.6666666666667</v>
      </c>
      <c r="R150" s="44">
        <f>R$5*$D$146*Params!$F$9/12</f>
        <v>1866.6666666666667</v>
      </c>
      <c r="S150" s="44">
        <f>S$5*$D$146*Params!$F$9/12</f>
        <v>1866.6666666666667</v>
      </c>
      <c r="T150" s="44">
        <f>T$5*$D$146*Params!$F$9/12</f>
        <v>1866.6666666666667</v>
      </c>
      <c r="U150" s="44">
        <f>U$5*$D$146*Params!$F$9/12</f>
        <v>1866.6666666666667</v>
      </c>
      <c r="V150" s="44">
        <f>V$5*$D$146*Params!$F$9/12</f>
        <v>1866.6666666666667</v>
      </c>
      <c r="W150" s="44">
        <f>W$5*$D$146*Params!$F$9/12</f>
        <v>1866.6666666666667</v>
      </c>
      <c r="X150" s="44">
        <f>X$5*$D$146*Params!$F$9/12</f>
        <v>1866.6666666666667</v>
      </c>
      <c r="Y150" s="44">
        <f>Y$5*$D$146*Params!$F$9/12</f>
        <v>1866.6666666666667</v>
      </c>
      <c r="Z150" s="44">
        <f>Z$5*$D$146*Params!$F$9/12</f>
        <v>1866.6666666666667</v>
      </c>
      <c r="AA150" s="44">
        <f>AA$5*$D$146*Params!$F$9/12</f>
        <v>1866.6666666666667</v>
      </c>
      <c r="AB150" s="44">
        <f>AB$5*$D$146*Params!$F$9/12</f>
        <v>1866.6666666666667</v>
      </c>
      <c r="AC150" s="44">
        <f>AC$5*$D$146*Params!$F$9/12</f>
        <v>1866.6666666666667</v>
      </c>
      <c r="AD150" s="44">
        <f>AD$5*$D$146*Params!$F$9/12</f>
        <v>1866.6666666666667</v>
      </c>
      <c r="AE150" s="44">
        <f>AE$5*$D$146*Params!$F$9/12</f>
        <v>1866.6666666666667</v>
      </c>
      <c r="AF150" s="44">
        <f>AF$5*$D$146*Params!$F$9/12</f>
        <v>1866.6666666666667</v>
      </c>
      <c r="AG150" s="44">
        <f>AG$5*$D$146*Params!$F$9/12</f>
        <v>1866.6666666666667</v>
      </c>
      <c r="AH150" s="44">
        <f>AH$5*$D$146*Params!$F$9/12</f>
        <v>1866.6666666666667</v>
      </c>
      <c r="AI150" s="44">
        <f>AI$5*$D$146*Params!$F$9/12</f>
        <v>1866.6666666666667</v>
      </c>
      <c r="AJ150" s="44">
        <f>AJ$5*$D$146*Params!$F$9/12</f>
        <v>1866.6666666666667</v>
      </c>
      <c r="AK150" s="44">
        <f>AK$5*$D$146*Params!$F$9/12</f>
        <v>1866.6666666666667</v>
      </c>
      <c r="AL150" s="44">
        <f>AL$5*$D$146*Params!$F$9/12</f>
        <v>1866.6666666666667</v>
      </c>
      <c r="AM150" s="44">
        <f>AM$5*$D$146*Params!$F$9/12</f>
        <v>1866.6666666666667</v>
      </c>
      <c r="AN150" s="44">
        <f>AN$5*$D$146*Params!$F$9/12</f>
        <v>1866.6666666666667</v>
      </c>
      <c r="AO150" s="44">
        <f>AO$5*$D$146*Params!$F$9/12</f>
        <v>0</v>
      </c>
      <c r="AP150" s="44">
        <f>AP$5*$D$146*Params!$F$9/12</f>
        <v>0</v>
      </c>
      <c r="AQ150" s="44">
        <f>AQ$5*$D$146*Params!$F$9/12</f>
        <v>0</v>
      </c>
      <c r="AR150" s="44">
        <f>AR$5*$D$146*Params!$F$9/12</f>
        <v>0</v>
      </c>
      <c r="AS150" s="44">
        <f>AS$5*$D$146*Params!$F$9/12</f>
        <v>0</v>
      </c>
      <c r="AT150" s="44">
        <f>AT$5*$D$146*Params!$F$9/12</f>
        <v>0</v>
      </c>
      <c r="AU150" s="44">
        <f>AU$5*$D$146*Params!$F$9/12</f>
        <v>0</v>
      </c>
      <c r="AV150" s="44">
        <f>AV$5*$D$146*Params!$F$9/12</f>
        <v>0</v>
      </c>
      <c r="AW150" s="44">
        <f>AW$5*$D$146*Params!$F$9/12</f>
        <v>0</v>
      </c>
      <c r="AX150" s="44">
        <f>AX$5*$D$146*Params!$F$9/12</f>
        <v>0</v>
      </c>
      <c r="AY150" s="44">
        <f>AY$5*$D$146*Params!$F$9/12</f>
        <v>0</v>
      </c>
      <c r="AZ150" s="44">
        <f>AZ$5*$D$146*Params!$F$9/12</f>
        <v>0</v>
      </c>
      <c r="BA150" s="44">
        <f>BA$5*$D$146*Params!$F$9/12</f>
        <v>0</v>
      </c>
      <c r="BB150" s="44">
        <f>BB$5*$D$146*Params!$F$9/12</f>
        <v>0</v>
      </c>
      <c r="BC150" s="44">
        <f>BC$5*$D$146*Params!$F$9/12</f>
        <v>0</v>
      </c>
      <c r="BD150" s="44">
        <f>BD$5*$D$146*Params!$F$9/12</f>
        <v>0</v>
      </c>
      <c r="BE150" s="44">
        <f>BE$5*$D$146*Params!$F$9/12</f>
        <v>0</v>
      </c>
      <c r="BF150" s="44">
        <f>BF$5*$D$146*Params!$F$9/12</f>
        <v>0</v>
      </c>
      <c r="BG150" s="44">
        <f>BG$5*$D$146*Params!$F$9/12</f>
        <v>0</v>
      </c>
      <c r="BH150" s="44">
        <f>BH$5*$D$146*Params!$F$9/12</f>
        <v>0</v>
      </c>
      <c r="BI150" s="44">
        <f>BI$5*$D$146*Params!$F$9/12</f>
        <v>0</v>
      </c>
      <c r="BJ150" s="44">
        <f>BJ$5*$D$146*Params!$F$9/12</f>
        <v>0</v>
      </c>
      <c r="BK150" s="44">
        <f>BK$5*$D$146*Params!$F$9/12</f>
        <v>0</v>
      </c>
      <c r="BL150" s="44">
        <f>BL$5*$D$146*Params!$F$9/12</f>
        <v>0</v>
      </c>
    </row>
    <row r="151" spans="1:64" x14ac:dyDescent="0.3">
      <c r="A151" s="8" t="s">
        <v>1023</v>
      </c>
      <c r="B151" s="18" t="s">
        <v>169</v>
      </c>
      <c r="C151" s="44">
        <f t="shared" si="49"/>
        <v>300000.00000000006</v>
      </c>
      <c r="E151" s="44">
        <f>E$5*$D$148*Params!$F$19/12</f>
        <v>8333.3333333333339</v>
      </c>
      <c r="F151" s="44">
        <f>F$5*$D$148*Params!$F$19/12</f>
        <v>8333.3333333333339</v>
      </c>
      <c r="G151" s="44">
        <f>G$5*$D$148*Params!$F$19/12</f>
        <v>8333.3333333333339</v>
      </c>
      <c r="H151" s="44">
        <f>H$5*$D$148*Params!$F$19/12</f>
        <v>8333.3333333333339</v>
      </c>
      <c r="I151" s="44">
        <f>I$5*$D$148*Params!$F$19/12</f>
        <v>8333.3333333333339</v>
      </c>
      <c r="J151" s="44">
        <f>J$5*$D$148*Params!$F$19/12</f>
        <v>8333.3333333333339</v>
      </c>
      <c r="K151" s="44">
        <f>K$5*$D$148*Params!$F$19/12</f>
        <v>8333.3333333333339</v>
      </c>
      <c r="L151" s="44">
        <f>L$5*$D$148*Params!$F$19/12</f>
        <v>8333.3333333333339</v>
      </c>
      <c r="M151" s="44">
        <f>M$5*$D$148*Params!$F$19/12</f>
        <v>8333.3333333333339</v>
      </c>
      <c r="N151" s="44">
        <f>N$5*$D$148*Params!$F$19/12</f>
        <v>8333.3333333333339</v>
      </c>
      <c r="O151" s="44">
        <f>O$5*$D$148*Params!$F$19/12</f>
        <v>8333.3333333333339</v>
      </c>
      <c r="P151" s="44">
        <f>P$5*$D$148*Params!$F$19/12</f>
        <v>8333.3333333333339</v>
      </c>
      <c r="Q151" s="44">
        <f>Q$5*$D$148*Params!$F$19/12</f>
        <v>8333.3333333333339</v>
      </c>
      <c r="R151" s="44">
        <f>R$5*$D$148*Params!$F$19/12</f>
        <v>8333.3333333333339</v>
      </c>
      <c r="S151" s="44">
        <f>S$5*$D$148*Params!$F$19/12</f>
        <v>8333.3333333333339</v>
      </c>
      <c r="T151" s="44">
        <f>T$5*$D$148*Params!$F$19/12</f>
        <v>8333.3333333333339</v>
      </c>
      <c r="U151" s="44">
        <f>U$5*$D$148*Params!$F$19/12</f>
        <v>8333.3333333333339</v>
      </c>
      <c r="V151" s="44">
        <f>V$5*$D$148*Params!$F$19/12</f>
        <v>8333.3333333333339</v>
      </c>
      <c r="W151" s="44">
        <f>W$5*$D$148*Params!$F$19/12</f>
        <v>8333.3333333333339</v>
      </c>
      <c r="X151" s="44">
        <f>X$5*$D$148*Params!$F$19/12</f>
        <v>8333.3333333333339</v>
      </c>
      <c r="Y151" s="44">
        <f>Y$5*$D$148*Params!$F$19/12</f>
        <v>8333.3333333333339</v>
      </c>
      <c r="Z151" s="44">
        <f>Z$5*$D$148*Params!$F$19/12</f>
        <v>8333.3333333333339</v>
      </c>
      <c r="AA151" s="44">
        <f>AA$5*$D$148*Params!$F$19/12</f>
        <v>8333.3333333333339</v>
      </c>
      <c r="AB151" s="44">
        <f>AB$5*$D$148*Params!$F$19/12</f>
        <v>8333.3333333333339</v>
      </c>
      <c r="AC151" s="44">
        <f>AC$5*$D$148*Params!$F$19/12</f>
        <v>8333.3333333333339</v>
      </c>
      <c r="AD151" s="44">
        <f>AD$5*$D$148*Params!$F$19/12</f>
        <v>8333.3333333333339</v>
      </c>
      <c r="AE151" s="44">
        <f>AE$5*$D$148*Params!$F$19/12</f>
        <v>8333.3333333333339</v>
      </c>
      <c r="AF151" s="44">
        <f>AF$5*$D$148*Params!$F$19/12</f>
        <v>8333.3333333333339</v>
      </c>
      <c r="AG151" s="44">
        <f>AG$5*$D$148*Params!$F$19/12</f>
        <v>8333.3333333333339</v>
      </c>
      <c r="AH151" s="44">
        <f>AH$5*$D$148*Params!$F$19/12</f>
        <v>8333.3333333333339</v>
      </c>
      <c r="AI151" s="44">
        <f>AI$5*$D$148*Params!$F$19/12</f>
        <v>8333.3333333333339</v>
      </c>
      <c r="AJ151" s="44">
        <f>AJ$5*$D$148*Params!$F$19/12</f>
        <v>8333.3333333333339</v>
      </c>
      <c r="AK151" s="44">
        <f>AK$5*$D$148*Params!$F$19/12</f>
        <v>8333.3333333333339</v>
      </c>
      <c r="AL151" s="44">
        <f>AL$5*$D$148*Params!$F$19/12</f>
        <v>8333.3333333333339</v>
      </c>
      <c r="AM151" s="44">
        <f>AM$5*$D$148*Params!$F$19/12</f>
        <v>8333.3333333333339</v>
      </c>
      <c r="AN151" s="44">
        <f>AN$5*$D$148*Params!$F$19/12</f>
        <v>8333.3333333333339</v>
      </c>
      <c r="AO151" s="44">
        <f>AO$5*$D$148*Params!$F$19/12</f>
        <v>0</v>
      </c>
      <c r="AP151" s="44">
        <f>AP$5*$D$148*Params!$F$19/12</f>
        <v>0</v>
      </c>
      <c r="AQ151" s="44">
        <f>AQ$5*$D$148*Params!$F$19/12</f>
        <v>0</v>
      </c>
      <c r="AR151" s="44">
        <f>AR$5*$D$148*Params!$F$19/12</f>
        <v>0</v>
      </c>
      <c r="AS151" s="44">
        <f>AS$5*$D$148*Params!$F$19/12</f>
        <v>0</v>
      </c>
      <c r="AT151" s="44">
        <f>AT$5*$D$148*Params!$F$19/12</f>
        <v>0</v>
      </c>
      <c r="AU151" s="44">
        <f>AU$5*$D$148*Params!$F$19/12</f>
        <v>0</v>
      </c>
      <c r="AV151" s="44">
        <f>AV$5*$D$148*Params!$F$19/12</f>
        <v>0</v>
      </c>
      <c r="AW151" s="44">
        <f>AW$5*$D$148*Params!$F$19/12</f>
        <v>0</v>
      </c>
      <c r="AX151" s="44">
        <f>AX$5*$D$148*Params!$F$19/12</f>
        <v>0</v>
      </c>
      <c r="AY151" s="44">
        <f>AY$5*$D$148*Params!$F$19/12</f>
        <v>0</v>
      </c>
      <c r="AZ151" s="44">
        <f>AZ$5*$D$148*Params!$F$19/12</f>
        <v>0</v>
      </c>
      <c r="BA151" s="44">
        <f>BA$5*$D$148*Params!$F$19/12</f>
        <v>0</v>
      </c>
      <c r="BB151" s="44">
        <f>BB$5*$D$148*Params!$F$19/12</f>
        <v>0</v>
      </c>
      <c r="BC151" s="44">
        <f>BC$5*$D$148*Params!$F$19/12</f>
        <v>0</v>
      </c>
      <c r="BD151" s="44">
        <f>BD$5*$D$148*Params!$F$19/12</f>
        <v>0</v>
      </c>
      <c r="BE151" s="44">
        <f>BE$5*$D$148*Params!$F$19/12</f>
        <v>0</v>
      </c>
      <c r="BF151" s="44">
        <f>BF$5*$D$148*Params!$F$19/12</f>
        <v>0</v>
      </c>
      <c r="BG151" s="44">
        <f>BG$5*$D$148*Params!$F$19/12</f>
        <v>0</v>
      </c>
      <c r="BH151" s="44">
        <f>BH$5*$D$148*Params!$F$19/12</f>
        <v>0</v>
      </c>
      <c r="BI151" s="44">
        <f>BI$5*$D$148*Params!$F$19/12</f>
        <v>0</v>
      </c>
      <c r="BJ151" s="44">
        <f>BJ$5*$D$148*Params!$F$19/12</f>
        <v>0</v>
      </c>
      <c r="BK151" s="44">
        <f>BK$5*$D$148*Params!$F$19/12</f>
        <v>0</v>
      </c>
      <c r="BL151" s="44">
        <f>BL$5*$D$148*Params!$F$19/12</f>
        <v>0</v>
      </c>
    </row>
    <row r="152" spans="1:64" x14ac:dyDescent="0.3">
      <c r="A152" s="8" t="s">
        <v>1024</v>
      </c>
      <c r="B152" s="18" t="s">
        <v>505</v>
      </c>
      <c r="C152" s="44">
        <f t="shared" si="49"/>
        <v>0</v>
      </c>
      <c r="E152" s="44">
        <f>E$5*Params!$F$20</f>
        <v>0</v>
      </c>
      <c r="F152" s="44">
        <f>F$5*Params!$F$20</f>
        <v>0</v>
      </c>
      <c r="G152" s="44">
        <f>G$5*Params!$F$20</f>
        <v>0</v>
      </c>
      <c r="H152" s="44">
        <f>H$5*Params!$F$20</f>
        <v>0</v>
      </c>
      <c r="I152" s="44">
        <f>I$5*Params!$F$20</f>
        <v>0</v>
      </c>
      <c r="J152" s="44">
        <f>J$5*Params!$F$20</f>
        <v>0</v>
      </c>
      <c r="K152" s="44">
        <f>K$5*Params!$F$20</f>
        <v>0</v>
      </c>
      <c r="L152" s="44">
        <f>L$5*Params!$F$20</f>
        <v>0</v>
      </c>
      <c r="M152" s="44">
        <f>M$5*Params!$F$20</f>
        <v>0</v>
      </c>
      <c r="N152" s="44">
        <f>N$5*Params!$F$20</f>
        <v>0</v>
      </c>
      <c r="O152" s="44">
        <f>O$5*Params!$F$20</f>
        <v>0</v>
      </c>
      <c r="P152" s="44">
        <f>P$5*Params!$F$20</f>
        <v>0</v>
      </c>
      <c r="Q152" s="44">
        <f>Q$5*Params!$F$20</f>
        <v>0</v>
      </c>
      <c r="R152" s="44">
        <f>R$5*Params!$F$20</f>
        <v>0</v>
      </c>
      <c r="S152" s="44">
        <f>S$5*Params!$F$20</f>
        <v>0</v>
      </c>
      <c r="T152" s="44">
        <f>T$5*Params!$F$20</f>
        <v>0</v>
      </c>
      <c r="U152" s="44">
        <f>U$5*Params!$F$20</f>
        <v>0</v>
      </c>
      <c r="V152" s="44">
        <f>V$5*Params!$F$20</f>
        <v>0</v>
      </c>
      <c r="W152" s="44">
        <f>W$5*Params!$F$20</f>
        <v>0</v>
      </c>
      <c r="X152" s="44">
        <f>X$5*Params!$F$20</f>
        <v>0</v>
      </c>
      <c r="Y152" s="44">
        <f>Y$5*Params!$F$20</f>
        <v>0</v>
      </c>
      <c r="Z152" s="44">
        <f>Z$5*Params!$F$20</f>
        <v>0</v>
      </c>
      <c r="AA152" s="44">
        <f>AA$5*Params!$F$20</f>
        <v>0</v>
      </c>
      <c r="AB152" s="44">
        <f>AB$5*Params!$F$20</f>
        <v>0</v>
      </c>
      <c r="AC152" s="44">
        <f>AC$5*Params!$F$20</f>
        <v>0</v>
      </c>
      <c r="AD152" s="44">
        <f>AD$5*Params!$F$20</f>
        <v>0</v>
      </c>
      <c r="AE152" s="44">
        <f>AE$5*Params!$F$20</f>
        <v>0</v>
      </c>
      <c r="AF152" s="44">
        <f>AF$5*Params!$F$20</f>
        <v>0</v>
      </c>
      <c r="AG152" s="44">
        <f>AG$5*Params!$F$20</f>
        <v>0</v>
      </c>
      <c r="AH152" s="44">
        <f>AH$5*Params!$F$20</f>
        <v>0</v>
      </c>
      <c r="AI152" s="44">
        <f>AI$5*Params!$F$20</f>
        <v>0</v>
      </c>
      <c r="AJ152" s="44">
        <f>AJ$5*Params!$F$20</f>
        <v>0</v>
      </c>
      <c r="AK152" s="44">
        <f>AK$5*Params!$F$20</f>
        <v>0</v>
      </c>
      <c r="AL152" s="44">
        <f>AL$5*Params!$F$20</f>
        <v>0</v>
      </c>
      <c r="AM152" s="44">
        <f>AM$5*Params!$F$20</f>
        <v>0</v>
      </c>
      <c r="AN152" s="44">
        <f>AN$5*Params!$F$20</f>
        <v>0</v>
      </c>
      <c r="AO152" s="44">
        <f>AO$5*Params!$F$20</f>
        <v>0</v>
      </c>
      <c r="AP152" s="44">
        <f>AP$5*Params!$F$20</f>
        <v>0</v>
      </c>
      <c r="AQ152" s="44">
        <f>AQ$5*Params!$F$20</f>
        <v>0</v>
      </c>
      <c r="AR152" s="44">
        <f>AR$5*Params!$F$20</f>
        <v>0</v>
      </c>
      <c r="AS152" s="44">
        <f>AS$5*Params!$F$20</f>
        <v>0</v>
      </c>
      <c r="AT152" s="44">
        <f>AT$5*Params!$F$20</f>
        <v>0</v>
      </c>
      <c r="AU152" s="44">
        <f>AU$5*Params!$F$20</f>
        <v>0</v>
      </c>
      <c r="AV152" s="44">
        <f>AV$5*Params!$F$20</f>
        <v>0</v>
      </c>
      <c r="AW152" s="44">
        <f>AW$5*Params!$F$20</f>
        <v>0</v>
      </c>
      <c r="AX152" s="44">
        <f>AX$5*Params!$F$20</f>
        <v>0</v>
      </c>
      <c r="AY152" s="44">
        <f>AY$5*Params!$F$20</f>
        <v>0</v>
      </c>
      <c r="AZ152" s="44">
        <f>AZ$5*Params!$F$20</f>
        <v>0</v>
      </c>
      <c r="BA152" s="44">
        <f>BA$5*Params!$F$20</f>
        <v>0</v>
      </c>
      <c r="BB152" s="44">
        <f>BB$5*Params!$F$20</f>
        <v>0</v>
      </c>
      <c r="BC152" s="44">
        <f>BC$5*Params!$F$20</f>
        <v>0</v>
      </c>
      <c r="BD152" s="44">
        <f>BD$5*Params!$F$20</f>
        <v>0</v>
      </c>
      <c r="BE152" s="44">
        <f>BE$5*Params!$F$20</f>
        <v>0</v>
      </c>
      <c r="BF152" s="44">
        <f>BF$5*Params!$F$20</f>
        <v>0</v>
      </c>
      <c r="BG152" s="44">
        <f>BG$5*Params!$F$20</f>
        <v>0</v>
      </c>
      <c r="BH152" s="44">
        <f>BH$5*Params!$F$20</f>
        <v>0</v>
      </c>
      <c r="BI152" s="44">
        <f>BI$5*Params!$F$20</f>
        <v>0</v>
      </c>
      <c r="BJ152" s="44">
        <f>BJ$5*Params!$F$20</f>
        <v>0</v>
      </c>
      <c r="BK152" s="44">
        <f>BK$5*Params!$F$20</f>
        <v>0</v>
      </c>
      <c r="BL152" s="44">
        <f>BL$5*Params!$F$20</f>
        <v>0</v>
      </c>
    </row>
    <row r="153" spans="1:64" x14ac:dyDescent="0.3">
      <c r="A153" s="8" t="s">
        <v>1025</v>
      </c>
      <c r="B153" s="18" t="s">
        <v>435</v>
      </c>
      <c r="C153" s="44">
        <f t="shared" si="49"/>
        <v>11735.679999999995</v>
      </c>
      <c r="E153" s="44">
        <f>E$5*(IFERROR(INDEX(PriceBook!$E$4:$E$203,MATCH("PL_LANGFUSE_PRO",PriceBook!$A$4:$A$203,0)),0)+MAX(0,E144*Org!$B$13-IFERROR(INDEX(PriceBook!$R$4:$R$203,MATCH("PL_LANGFUSE_PRO",PriceBook!$A$4:$A$203,0)),0))/100000*IFERROR(INDEX(PriceBook!$E$4:$E$203,MATCH("U_LANGFUSE_OVER",PriceBook!$A$4:$A$203,0)),0))</f>
        <v>209.13333333333333</v>
      </c>
      <c r="F153" s="44">
        <f>F$5*(IFERROR(INDEX(PriceBook!$E$4:$E$203,MATCH("PL_LANGFUSE_PRO",PriceBook!$A$4:$A$203,0)),0)+MAX(0,F144*Org!$B$13-IFERROR(INDEX(PriceBook!$R$4:$R$203,MATCH("PL_LANGFUSE_PRO",PriceBook!$A$4:$A$203,0)),0))/100000*IFERROR(INDEX(PriceBook!$E$4:$E$203,MATCH("U_LANGFUSE_OVER",PriceBook!$A$4:$A$203,0)),0))</f>
        <v>236.45185185185187</v>
      </c>
      <c r="G153" s="44">
        <f>G$5*(IFERROR(INDEX(PriceBook!$E$4:$E$203,MATCH("PL_LANGFUSE_PRO",PriceBook!$A$4:$A$203,0)),0)+MAX(0,G144*Org!$B$13-IFERROR(INDEX(PriceBook!$R$4:$R$203,MATCH("PL_LANGFUSE_PRO",PriceBook!$A$4:$A$203,0)),0))/100000*IFERROR(INDEX(PriceBook!$E$4:$E$203,MATCH("U_LANGFUSE_OVER",PriceBook!$A$4:$A$203,0)),0))</f>
        <v>270.07230814814812</v>
      </c>
      <c r="H153" s="44">
        <f>H$5*(IFERROR(INDEX(PriceBook!$E$4:$E$203,MATCH("PL_LANGFUSE_PRO",PriceBook!$A$4:$A$203,0)),0)+MAX(0,H144*Org!$B$13-IFERROR(INDEX(PriceBook!$R$4:$R$203,MATCH("PL_LANGFUSE_PRO",PriceBook!$A$4:$A$203,0)),0))/100000*IFERROR(INDEX(PriceBook!$E$4:$E$203,MATCH("U_LANGFUSE_OVER",PriceBook!$A$4:$A$203,0)),0))</f>
        <v>305.30741333333333</v>
      </c>
      <c r="I153" s="44">
        <f>I$5*(IFERROR(INDEX(PriceBook!$E$4:$E$203,MATCH("PL_LANGFUSE_PRO",PriceBook!$A$4:$A$203,0)),0)+MAX(0,I144*Org!$B$13-IFERROR(INDEX(PriceBook!$R$4:$R$203,MATCH("PL_LANGFUSE_PRO",PriceBook!$A$4:$A$203,0)),0))/100000*IFERROR(INDEX(PriceBook!$E$4:$E$203,MATCH("U_LANGFUSE_OVER",PriceBook!$A$4:$A$203,0)),0))</f>
        <v>323.98443851851857</v>
      </c>
      <c r="J153" s="44">
        <f>J$5*(IFERROR(INDEX(PriceBook!$E$4:$E$203,MATCH("PL_LANGFUSE_PRO",PriceBook!$A$4:$A$203,0)),0)+MAX(0,J144*Org!$B$13-IFERROR(INDEX(PriceBook!$R$4:$R$203,MATCH("PL_LANGFUSE_PRO",PriceBook!$A$4:$A$203,0)),0))/100000*IFERROR(INDEX(PriceBook!$E$4:$E$203,MATCH("U_LANGFUSE_OVER",PriceBook!$A$4:$A$203,0)),0))</f>
        <v>333.5306548148148</v>
      </c>
      <c r="K153" s="44">
        <f>K$5*(IFERROR(INDEX(PriceBook!$E$4:$E$203,MATCH("PL_LANGFUSE_PRO",PriceBook!$A$4:$A$203,0)),0)+MAX(0,K144*Org!$B$13-IFERROR(INDEX(PriceBook!$R$4:$R$203,MATCH("PL_LANGFUSE_PRO",PriceBook!$A$4:$A$203,0)),0))/100000*IFERROR(INDEX(PriceBook!$E$4:$E$203,MATCH("U_LANGFUSE_OVER",PriceBook!$A$4:$A$203,0)),0))</f>
        <v>335.24</v>
      </c>
      <c r="L153" s="44">
        <f>L$5*(IFERROR(INDEX(PriceBook!$E$4:$E$203,MATCH("PL_LANGFUSE_PRO",PriceBook!$A$4:$A$203,0)),0)+MAX(0,L144*Org!$B$13-IFERROR(INDEX(PriceBook!$R$4:$R$203,MATCH("PL_LANGFUSE_PRO",PriceBook!$A$4:$A$203,0)),0))/100000*IFERROR(INDEX(PriceBook!$E$4:$E$203,MATCH("U_LANGFUSE_OVER",PriceBook!$A$4:$A$203,0)),0))</f>
        <v>335.24</v>
      </c>
      <c r="M153" s="44">
        <f>M$5*(IFERROR(INDEX(PriceBook!$E$4:$E$203,MATCH("PL_LANGFUSE_PRO",PriceBook!$A$4:$A$203,0)),0)+MAX(0,M144*Org!$B$13-IFERROR(INDEX(PriceBook!$R$4:$R$203,MATCH("PL_LANGFUSE_PRO",PriceBook!$A$4:$A$203,0)),0))/100000*IFERROR(INDEX(PriceBook!$E$4:$E$203,MATCH("U_LANGFUSE_OVER",PriceBook!$A$4:$A$203,0)),0))</f>
        <v>335.24</v>
      </c>
      <c r="N153" s="44">
        <f>N$5*(IFERROR(INDEX(PriceBook!$E$4:$E$203,MATCH("PL_LANGFUSE_PRO",PriceBook!$A$4:$A$203,0)),0)+MAX(0,N144*Org!$B$13-IFERROR(INDEX(PriceBook!$R$4:$R$203,MATCH("PL_LANGFUSE_PRO",PriceBook!$A$4:$A$203,0)),0))/100000*IFERROR(INDEX(PriceBook!$E$4:$E$203,MATCH("U_LANGFUSE_OVER",PriceBook!$A$4:$A$203,0)),0))</f>
        <v>335.24</v>
      </c>
      <c r="O153" s="44">
        <f>O$5*(IFERROR(INDEX(PriceBook!$E$4:$E$203,MATCH("PL_LANGFUSE_PRO",PriceBook!$A$4:$A$203,0)),0)+MAX(0,O144*Org!$B$13-IFERROR(INDEX(PriceBook!$R$4:$R$203,MATCH("PL_LANGFUSE_PRO",PriceBook!$A$4:$A$203,0)),0))/100000*IFERROR(INDEX(PriceBook!$E$4:$E$203,MATCH("U_LANGFUSE_OVER",PriceBook!$A$4:$A$203,0)),0))</f>
        <v>335.24</v>
      </c>
      <c r="P153" s="44">
        <f>P$5*(IFERROR(INDEX(PriceBook!$E$4:$E$203,MATCH("PL_LANGFUSE_PRO",PriceBook!$A$4:$A$203,0)),0)+MAX(0,P144*Org!$B$13-IFERROR(INDEX(PriceBook!$R$4:$R$203,MATCH("PL_LANGFUSE_PRO",PriceBook!$A$4:$A$203,0)),0))/100000*IFERROR(INDEX(PriceBook!$E$4:$E$203,MATCH("U_LANGFUSE_OVER",PriceBook!$A$4:$A$203,0)),0))</f>
        <v>335.24</v>
      </c>
      <c r="Q153" s="44">
        <f>Q$5*(IFERROR(INDEX(PriceBook!$E$4:$E$203,MATCH("PL_LANGFUSE_PRO",PriceBook!$A$4:$A$203,0)),0)+MAX(0,Q144*Org!$B$13-IFERROR(INDEX(PriceBook!$R$4:$R$203,MATCH("PL_LANGFUSE_PRO",PriceBook!$A$4:$A$203,0)),0))/100000*IFERROR(INDEX(PriceBook!$E$4:$E$203,MATCH("U_LANGFUSE_OVER",PriceBook!$A$4:$A$203,0)),0))</f>
        <v>335.24</v>
      </c>
      <c r="R153" s="44">
        <f>R$5*(IFERROR(INDEX(PriceBook!$E$4:$E$203,MATCH("PL_LANGFUSE_PRO",PriceBook!$A$4:$A$203,0)),0)+MAX(0,R144*Org!$B$13-IFERROR(INDEX(PriceBook!$R$4:$R$203,MATCH("PL_LANGFUSE_PRO",PriceBook!$A$4:$A$203,0)),0))/100000*IFERROR(INDEX(PriceBook!$E$4:$E$203,MATCH("U_LANGFUSE_OVER",PriceBook!$A$4:$A$203,0)),0))</f>
        <v>335.24</v>
      </c>
      <c r="S153" s="44">
        <f>S$5*(IFERROR(INDEX(PriceBook!$E$4:$E$203,MATCH("PL_LANGFUSE_PRO",PriceBook!$A$4:$A$203,0)),0)+MAX(0,S144*Org!$B$13-IFERROR(INDEX(PriceBook!$R$4:$R$203,MATCH("PL_LANGFUSE_PRO",PriceBook!$A$4:$A$203,0)),0))/100000*IFERROR(INDEX(PriceBook!$E$4:$E$203,MATCH("U_LANGFUSE_OVER",PriceBook!$A$4:$A$203,0)),0))</f>
        <v>335.24</v>
      </c>
      <c r="T153" s="44">
        <f>T$5*(IFERROR(INDEX(PriceBook!$E$4:$E$203,MATCH("PL_LANGFUSE_PRO",PriceBook!$A$4:$A$203,0)),0)+MAX(0,T144*Org!$B$13-IFERROR(INDEX(PriceBook!$R$4:$R$203,MATCH("PL_LANGFUSE_PRO",PriceBook!$A$4:$A$203,0)),0))/100000*IFERROR(INDEX(PriceBook!$E$4:$E$203,MATCH("U_LANGFUSE_OVER",PriceBook!$A$4:$A$203,0)),0))</f>
        <v>335.24</v>
      </c>
      <c r="U153" s="44">
        <f>U$5*(IFERROR(INDEX(PriceBook!$E$4:$E$203,MATCH("PL_LANGFUSE_PRO",PriceBook!$A$4:$A$203,0)),0)+MAX(0,U144*Org!$B$13-IFERROR(INDEX(PriceBook!$R$4:$R$203,MATCH("PL_LANGFUSE_PRO",PriceBook!$A$4:$A$203,0)),0))/100000*IFERROR(INDEX(PriceBook!$E$4:$E$203,MATCH("U_LANGFUSE_OVER",PriceBook!$A$4:$A$203,0)),0))</f>
        <v>335.24</v>
      </c>
      <c r="V153" s="44">
        <f>V$5*(IFERROR(INDEX(PriceBook!$E$4:$E$203,MATCH("PL_LANGFUSE_PRO",PriceBook!$A$4:$A$203,0)),0)+MAX(0,V144*Org!$B$13-IFERROR(INDEX(PriceBook!$R$4:$R$203,MATCH("PL_LANGFUSE_PRO",PriceBook!$A$4:$A$203,0)),0))/100000*IFERROR(INDEX(PriceBook!$E$4:$E$203,MATCH("U_LANGFUSE_OVER",PriceBook!$A$4:$A$203,0)),0))</f>
        <v>335.24</v>
      </c>
      <c r="W153" s="44">
        <f>W$5*(IFERROR(INDEX(PriceBook!$E$4:$E$203,MATCH("PL_LANGFUSE_PRO",PriceBook!$A$4:$A$203,0)),0)+MAX(0,W144*Org!$B$13-IFERROR(INDEX(PriceBook!$R$4:$R$203,MATCH("PL_LANGFUSE_PRO",PriceBook!$A$4:$A$203,0)),0))/100000*IFERROR(INDEX(PriceBook!$E$4:$E$203,MATCH("U_LANGFUSE_OVER",PriceBook!$A$4:$A$203,0)),0))</f>
        <v>335.24</v>
      </c>
      <c r="X153" s="44">
        <f>X$5*(IFERROR(INDEX(PriceBook!$E$4:$E$203,MATCH("PL_LANGFUSE_PRO",PriceBook!$A$4:$A$203,0)),0)+MAX(0,X144*Org!$B$13-IFERROR(INDEX(PriceBook!$R$4:$R$203,MATCH("PL_LANGFUSE_PRO",PriceBook!$A$4:$A$203,0)),0))/100000*IFERROR(INDEX(PriceBook!$E$4:$E$203,MATCH("U_LANGFUSE_OVER",PriceBook!$A$4:$A$203,0)),0))</f>
        <v>335.24</v>
      </c>
      <c r="Y153" s="44">
        <f>Y$5*(IFERROR(INDEX(PriceBook!$E$4:$E$203,MATCH("PL_LANGFUSE_PRO",PriceBook!$A$4:$A$203,0)),0)+MAX(0,Y144*Org!$B$13-IFERROR(INDEX(PriceBook!$R$4:$R$203,MATCH("PL_LANGFUSE_PRO",PriceBook!$A$4:$A$203,0)),0))/100000*IFERROR(INDEX(PriceBook!$E$4:$E$203,MATCH("U_LANGFUSE_OVER",PriceBook!$A$4:$A$203,0)),0))</f>
        <v>335.24</v>
      </c>
      <c r="Z153" s="44">
        <f>Z$5*(IFERROR(INDEX(PriceBook!$E$4:$E$203,MATCH("PL_LANGFUSE_PRO",PriceBook!$A$4:$A$203,0)),0)+MAX(0,Z144*Org!$B$13-IFERROR(INDEX(PriceBook!$R$4:$R$203,MATCH("PL_LANGFUSE_PRO",PriceBook!$A$4:$A$203,0)),0))/100000*IFERROR(INDEX(PriceBook!$E$4:$E$203,MATCH("U_LANGFUSE_OVER",PriceBook!$A$4:$A$203,0)),0))</f>
        <v>335.24</v>
      </c>
      <c r="AA153" s="44">
        <f>AA$5*(IFERROR(INDEX(PriceBook!$E$4:$E$203,MATCH("PL_LANGFUSE_PRO",PriceBook!$A$4:$A$203,0)),0)+MAX(0,AA144*Org!$B$13-IFERROR(INDEX(PriceBook!$R$4:$R$203,MATCH("PL_LANGFUSE_PRO",PriceBook!$A$4:$A$203,0)),0))/100000*IFERROR(INDEX(PriceBook!$E$4:$E$203,MATCH("U_LANGFUSE_OVER",PriceBook!$A$4:$A$203,0)),0))</f>
        <v>335.24</v>
      </c>
      <c r="AB153" s="44">
        <f>AB$5*(IFERROR(INDEX(PriceBook!$E$4:$E$203,MATCH("PL_LANGFUSE_PRO",PriceBook!$A$4:$A$203,0)),0)+MAX(0,AB144*Org!$B$13-IFERROR(INDEX(PriceBook!$R$4:$R$203,MATCH("PL_LANGFUSE_PRO",PriceBook!$A$4:$A$203,0)),0))/100000*IFERROR(INDEX(PriceBook!$E$4:$E$203,MATCH("U_LANGFUSE_OVER",PriceBook!$A$4:$A$203,0)),0))</f>
        <v>335.24</v>
      </c>
      <c r="AC153" s="44">
        <f>AC$5*(IFERROR(INDEX(PriceBook!$E$4:$E$203,MATCH("PL_LANGFUSE_PRO",PriceBook!$A$4:$A$203,0)),0)+MAX(0,AC144*Org!$B$13-IFERROR(INDEX(PriceBook!$R$4:$R$203,MATCH("PL_LANGFUSE_PRO",PriceBook!$A$4:$A$203,0)),0))/100000*IFERROR(INDEX(PriceBook!$E$4:$E$203,MATCH("U_LANGFUSE_OVER",PriceBook!$A$4:$A$203,0)),0))</f>
        <v>335.24</v>
      </c>
      <c r="AD153" s="44">
        <f>AD$5*(IFERROR(INDEX(PriceBook!$E$4:$E$203,MATCH("PL_LANGFUSE_PRO",PriceBook!$A$4:$A$203,0)),0)+MAX(0,AD144*Org!$B$13-IFERROR(INDEX(PriceBook!$R$4:$R$203,MATCH("PL_LANGFUSE_PRO",PriceBook!$A$4:$A$203,0)),0))/100000*IFERROR(INDEX(PriceBook!$E$4:$E$203,MATCH("U_LANGFUSE_OVER",PriceBook!$A$4:$A$203,0)),0))</f>
        <v>335.24</v>
      </c>
      <c r="AE153" s="44">
        <f>AE$5*(IFERROR(INDEX(PriceBook!$E$4:$E$203,MATCH("PL_LANGFUSE_PRO",PriceBook!$A$4:$A$203,0)),0)+MAX(0,AE144*Org!$B$13-IFERROR(INDEX(PriceBook!$R$4:$R$203,MATCH("PL_LANGFUSE_PRO",PriceBook!$A$4:$A$203,0)),0))/100000*IFERROR(INDEX(PriceBook!$E$4:$E$203,MATCH("U_LANGFUSE_OVER",PriceBook!$A$4:$A$203,0)),0))</f>
        <v>335.24</v>
      </c>
      <c r="AF153" s="44">
        <f>AF$5*(IFERROR(INDEX(PriceBook!$E$4:$E$203,MATCH("PL_LANGFUSE_PRO",PriceBook!$A$4:$A$203,0)),0)+MAX(0,AF144*Org!$B$13-IFERROR(INDEX(PriceBook!$R$4:$R$203,MATCH("PL_LANGFUSE_PRO",PriceBook!$A$4:$A$203,0)),0))/100000*IFERROR(INDEX(PriceBook!$E$4:$E$203,MATCH("U_LANGFUSE_OVER",PriceBook!$A$4:$A$203,0)),0))</f>
        <v>335.24</v>
      </c>
      <c r="AG153" s="44">
        <f>AG$5*(IFERROR(INDEX(PriceBook!$E$4:$E$203,MATCH("PL_LANGFUSE_PRO",PriceBook!$A$4:$A$203,0)),0)+MAX(0,AG144*Org!$B$13-IFERROR(INDEX(PriceBook!$R$4:$R$203,MATCH("PL_LANGFUSE_PRO",PriceBook!$A$4:$A$203,0)),0))/100000*IFERROR(INDEX(PriceBook!$E$4:$E$203,MATCH("U_LANGFUSE_OVER",PriceBook!$A$4:$A$203,0)),0))</f>
        <v>335.24</v>
      </c>
      <c r="AH153" s="44">
        <f>AH$5*(IFERROR(INDEX(PriceBook!$E$4:$E$203,MATCH("PL_LANGFUSE_PRO",PriceBook!$A$4:$A$203,0)),0)+MAX(0,AH144*Org!$B$13-IFERROR(INDEX(PriceBook!$R$4:$R$203,MATCH("PL_LANGFUSE_PRO",PriceBook!$A$4:$A$203,0)),0))/100000*IFERROR(INDEX(PriceBook!$E$4:$E$203,MATCH("U_LANGFUSE_OVER",PriceBook!$A$4:$A$203,0)),0))</f>
        <v>335.24</v>
      </c>
      <c r="AI153" s="44">
        <f>AI$5*(IFERROR(INDEX(PriceBook!$E$4:$E$203,MATCH("PL_LANGFUSE_PRO",PriceBook!$A$4:$A$203,0)),0)+MAX(0,AI144*Org!$B$13-IFERROR(INDEX(PriceBook!$R$4:$R$203,MATCH("PL_LANGFUSE_PRO",PriceBook!$A$4:$A$203,0)),0))/100000*IFERROR(INDEX(PriceBook!$E$4:$E$203,MATCH("U_LANGFUSE_OVER",PriceBook!$A$4:$A$203,0)),0))</f>
        <v>335.24</v>
      </c>
      <c r="AJ153" s="44">
        <f>AJ$5*(IFERROR(INDEX(PriceBook!$E$4:$E$203,MATCH("PL_LANGFUSE_PRO",PriceBook!$A$4:$A$203,0)),0)+MAX(0,AJ144*Org!$B$13-IFERROR(INDEX(PriceBook!$R$4:$R$203,MATCH("PL_LANGFUSE_PRO",PriceBook!$A$4:$A$203,0)),0))/100000*IFERROR(INDEX(PriceBook!$E$4:$E$203,MATCH("U_LANGFUSE_OVER",PriceBook!$A$4:$A$203,0)),0))</f>
        <v>335.24</v>
      </c>
      <c r="AK153" s="44">
        <f>AK$5*(IFERROR(INDEX(PriceBook!$E$4:$E$203,MATCH("PL_LANGFUSE_PRO",PriceBook!$A$4:$A$203,0)),0)+MAX(0,AK144*Org!$B$13-IFERROR(INDEX(PriceBook!$R$4:$R$203,MATCH("PL_LANGFUSE_PRO",PriceBook!$A$4:$A$203,0)),0))/100000*IFERROR(INDEX(PriceBook!$E$4:$E$203,MATCH("U_LANGFUSE_OVER",PriceBook!$A$4:$A$203,0)),0))</f>
        <v>335.24</v>
      </c>
      <c r="AL153" s="44">
        <f>AL$5*(IFERROR(INDEX(PriceBook!$E$4:$E$203,MATCH("PL_LANGFUSE_PRO",PriceBook!$A$4:$A$203,0)),0)+MAX(0,AL144*Org!$B$13-IFERROR(INDEX(PriceBook!$R$4:$R$203,MATCH("PL_LANGFUSE_PRO",PriceBook!$A$4:$A$203,0)),0))/100000*IFERROR(INDEX(PriceBook!$E$4:$E$203,MATCH("U_LANGFUSE_OVER",PriceBook!$A$4:$A$203,0)),0))</f>
        <v>335.24</v>
      </c>
      <c r="AM153" s="44">
        <f>AM$5*(IFERROR(INDEX(PriceBook!$E$4:$E$203,MATCH("PL_LANGFUSE_PRO",PriceBook!$A$4:$A$203,0)),0)+MAX(0,AM144*Org!$B$13-IFERROR(INDEX(PriceBook!$R$4:$R$203,MATCH("PL_LANGFUSE_PRO",PriceBook!$A$4:$A$203,0)),0))/100000*IFERROR(INDEX(PriceBook!$E$4:$E$203,MATCH("U_LANGFUSE_OVER",PriceBook!$A$4:$A$203,0)),0))</f>
        <v>335.24</v>
      </c>
      <c r="AN153" s="44">
        <f>AN$5*(IFERROR(INDEX(PriceBook!$E$4:$E$203,MATCH("PL_LANGFUSE_PRO",PriceBook!$A$4:$A$203,0)),0)+MAX(0,AN144*Org!$B$13-IFERROR(INDEX(PriceBook!$R$4:$R$203,MATCH("PL_LANGFUSE_PRO",PriceBook!$A$4:$A$203,0)),0))/100000*IFERROR(INDEX(PriceBook!$E$4:$E$203,MATCH("U_LANGFUSE_OVER",PriceBook!$A$4:$A$203,0)),0))</f>
        <v>335.24</v>
      </c>
      <c r="AO153" s="44">
        <f>AO$5*(IFERROR(INDEX(PriceBook!$E$4:$E$203,MATCH("PL_LANGFUSE_PRO",PriceBook!$A$4:$A$203,0)),0)+MAX(0,AO144*Org!$B$13-IFERROR(INDEX(PriceBook!$R$4:$R$203,MATCH("PL_LANGFUSE_PRO",PriceBook!$A$4:$A$203,0)),0))/100000*IFERROR(INDEX(PriceBook!$E$4:$E$203,MATCH("U_LANGFUSE_OVER",PriceBook!$A$4:$A$203,0)),0))</f>
        <v>0</v>
      </c>
      <c r="AP153" s="44">
        <f>AP$5*(IFERROR(INDEX(PriceBook!$E$4:$E$203,MATCH("PL_LANGFUSE_PRO",PriceBook!$A$4:$A$203,0)),0)+MAX(0,AP144*Org!$B$13-IFERROR(INDEX(PriceBook!$R$4:$R$203,MATCH("PL_LANGFUSE_PRO",PriceBook!$A$4:$A$203,0)),0))/100000*IFERROR(INDEX(PriceBook!$E$4:$E$203,MATCH("U_LANGFUSE_OVER",PriceBook!$A$4:$A$203,0)),0))</f>
        <v>0</v>
      </c>
      <c r="AQ153" s="44">
        <f>AQ$5*(IFERROR(INDEX(PriceBook!$E$4:$E$203,MATCH("PL_LANGFUSE_PRO",PriceBook!$A$4:$A$203,0)),0)+MAX(0,AQ144*Org!$B$13-IFERROR(INDEX(PriceBook!$R$4:$R$203,MATCH("PL_LANGFUSE_PRO",PriceBook!$A$4:$A$203,0)),0))/100000*IFERROR(INDEX(PriceBook!$E$4:$E$203,MATCH("U_LANGFUSE_OVER",PriceBook!$A$4:$A$203,0)),0))</f>
        <v>0</v>
      </c>
      <c r="AR153" s="44">
        <f>AR$5*(IFERROR(INDEX(PriceBook!$E$4:$E$203,MATCH("PL_LANGFUSE_PRO",PriceBook!$A$4:$A$203,0)),0)+MAX(0,AR144*Org!$B$13-IFERROR(INDEX(PriceBook!$R$4:$R$203,MATCH("PL_LANGFUSE_PRO",PriceBook!$A$4:$A$203,0)),0))/100000*IFERROR(INDEX(PriceBook!$E$4:$E$203,MATCH("U_LANGFUSE_OVER",PriceBook!$A$4:$A$203,0)),0))</f>
        <v>0</v>
      </c>
      <c r="AS153" s="44">
        <f>AS$5*(IFERROR(INDEX(PriceBook!$E$4:$E$203,MATCH("PL_LANGFUSE_PRO",PriceBook!$A$4:$A$203,0)),0)+MAX(0,AS144*Org!$B$13-IFERROR(INDEX(PriceBook!$R$4:$R$203,MATCH("PL_LANGFUSE_PRO",PriceBook!$A$4:$A$203,0)),0))/100000*IFERROR(INDEX(PriceBook!$E$4:$E$203,MATCH("U_LANGFUSE_OVER",PriceBook!$A$4:$A$203,0)),0))</f>
        <v>0</v>
      </c>
      <c r="AT153" s="44">
        <f>AT$5*(IFERROR(INDEX(PriceBook!$E$4:$E$203,MATCH("PL_LANGFUSE_PRO",PriceBook!$A$4:$A$203,0)),0)+MAX(0,AT144*Org!$B$13-IFERROR(INDEX(PriceBook!$R$4:$R$203,MATCH("PL_LANGFUSE_PRO",PriceBook!$A$4:$A$203,0)),0))/100000*IFERROR(INDEX(PriceBook!$E$4:$E$203,MATCH("U_LANGFUSE_OVER",PriceBook!$A$4:$A$203,0)),0))</f>
        <v>0</v>
      </c>
      <c r="AU153" s="44">
        <f>AU$5*(IFERROR(INDEX(PriceBook!$E$4:$E$203,MATCH("PL_LANGFUSE_PRO",PriceBook!$A$4:$A$203,0)),0)+MAX(0,AU144*Org!$B$13-IFERROR(INDEX(PriceBook!$R$4:$R$203,MATCH("PL_LANGFUSE_PRO",PriceBook!$A$4:$A$203,0)),0))/100000*IFERROR(INDEX(PriceBook!$E$4:$E$203,MATCH("U_LANGFUSE_OVER",PriceBook!$A$4:$A$203,0)),0))</f>
        <v>0</v>
      </c>
      <c r="AV153" s="44">
        <f>AV$5*(IFERROR(INDEX(PriceBook!$E$4:$E$203,MATCH("PL_LANGFUSE_PRO",PriceBook!$A$4:$A$203,0)),0)+MAX(0,AV144*Org!$B$13-IFERROR(INDEX(PriceBook!$R$4:$R$203,MATCH("PL_LANGFUSE_PRO",PriceBook!$A$4:$A$203,0)),0))/100000*IFERROR(INDEX(PriceBook!$E$4:$E$203,MATCH("U_LANGFUSE_OVER",PriceBook!$A$4:$A$203,0)),0))</f>
        <v>0</v>
      </c>
      <c r="AW153" s="44">
        <f>AW$5*(IFERROR(INDEX(PriceBook!$E$4:$E$203,MATCH("PL_LANGFUSE_PRO",PriceBook!$A$4:$A$203,0)),0)+MAX(0,AW144*Org!$B$13-IFERROR(INDEX(PriceBook!$R$4:$R$203,MATCH("PL_LANGFUSE_PRO",PriceBook!$A$4:$A$203,0)),0))/100000*IFERROR(INDEX(PriceBook!$E$4:$E$203,MATCH("U_LANGFUSE_OVER",PriceBook!$A$4:$A$203,0)),0))</f>
        <v>0</v>
      </c>
      <c r="AX153" s="44">
        <f>AX$5*(IFERROR(INDEX(PriceBook!$E$4:$E$203,MATCH("PL_LANGFUSE_PRO",PriceBook!$A$4:$A$203,0)),0)+MAX(0,AX144*Org!$B$13-IFERROR(INDEX(PriceBook!$R$4:$R$203,MATCH("PL_LANGFUSE_PRO",PriceBook!$A$4:$A$203,0)),0))/100000*IFERROR(INDEX(PriceBook!$E$4:$E$203,MATCH("U_LANGFUSE_OVER",PriceBook!$A$4:$A$203,0)),0))</f>
        <v>0</v>
      </c>
      <c r="AY153" s="44">
        <f>AY$5*(IFERROR(INDEX(PriceBook!$E$4:$E$203,MATCH("PL_LANGFUSE_PRO",PriceBook!$A$4:$A$203,0)),0)+MAX(0,AY144*Org!$B$13-IFERROR(INDEX(PriceBook!$R$4:$R$203,MATCH("PL_LANGFUSE_PRO",PriceBook!$A$4:$A$203,0)),0))/100000*IFERROR(INDEX(PriceBook!$E$4:$E$203,MATCH("U_LANGFUSE_OVER",PriceBook!$A$4:$A$203,0)),0))</f>
        <v>0</v>
      </c>
      <c r="AZ153" s="44">
        <f>AZ$5*(IFERROR(INDEX(PriceBook!$E$4:$E$203,MATCH("PL_LANGFUSE_PRO",PriceBook!$A$4:$A$203,0)),0)+MAX(0,AZ144*Org!$B$13-IFERROR(INDEX(PriceBook!$R$4:$R$203,MATCH("PL_LANGFUSE_PRO",PriceBook!$A$4:$A$203,0)),0))/100000*IFERROR(INDEX(PriceBook!$E$4:$E$203,MATCH("U_LANGFUSE_OVER",PriceBook!$A$4:$A$203,0)),0))</f>
        <v>0</v>
      </c>
      <c r="BA153" s="44">
        <f>BA$5*(IFERROR(INDEX(PriceBook!$E$4:$E$203,MATCH("PL_LANGFUSE_PRO",PriceBook!$A$4:$A$203,0)),0)+MAX(0,BA144*Org!$B$13-IFERROR(INDEX(PriceBook!$R$4:$R$203,MATCH("PL_LANGFUSE_PRO",PriceBook!$A$4:$A$203,0)),0))/100000*IFERROR(INDEX(PriceBook!$E$4:$E$203,MATCH("U_LANGFUSE_OVER",PriceBook!$A$4:$A$203,0)),0))</f>
        <v>0</v>
      </c>
      <c r="BB153" s="44">
        <f>BB$5*(IFERROR(INDEX(PriceBook!$E$4:$E$203,MATCH("PL_LANGFUSE_PRO",PriceBook!$A$4:$A$203,0)),0)+MAX(0,BB144*Org!$B$13-IFERROR(INDEX(PriceBook!$R$4:$R$203,MATCH("PL_LANGFUSE_PRO",PriceBook!$A$4:$A$203,0)),0))/100000*IFERROR(INDEX(PriceBook!$E$4:$E$203,MATCH("U_LANGFUSE_OVER",PriceBook!$A$4:$A$203,0)),0))</f>
        <v>0</v>
      </c>
      <c r="BC153" s="44">
        <f>BC$5*(IFERROR(INDEX(PriceBook!$E$4:$E$203,MATCH("PL_LANGFUSE_PRO",PriceBook!$A$4:$A$203,0)),0)+MAX(0,BC144*Org!$B$13-IFERROR(INDEX(PriceBook!$R$4:$R$203,MATCH("PL_LANGFUSE_PRO",PriceBook!$A$4:$A$203,0)),0))/100000*IFERROR(INDEX(PriceBook!$E$4:$E$203,MATCH("U_LANGFUSE_OVER",PriceBook!$A$4:$A$203,0)),0))</f>
        <v>0</v>
      </c>
      <c r="BD153" s="44">
        <f>BD$5*(IFERROR(INDEX(PriceBook!$E$4:$E$203,MATCH("PL_LANGFUSE_PRO",PriceBook!$A$4:$A$203,0)),0)+MAX(0,BD144*Org!$B$13-IFERROR(INDEX(PriceBook!$R$4:$R$203,MATCH("PL_LANGFUSE_PRO",PriceBook!$A$4:$A$203,0)),0))/100000*IFERROR(INDEX(PriceBook!$E$4:$E$203,MATCH("U_LANGFUSE_OVER",PriceBook!$A$4:$A$203,0)),0))</f>
        <v>0</v>
      </c>
      <c r="BE153" s="44">
        <f>BE$5*(IFERROR(INDEX(PriceBook!$E$4:$E$203,MATCH("PL_LANGFUSE_PRO",PriceBook!$A$4:$A$203,0)),0)+MAX(0,BE144*Org!$B$13-IFERROR(INDEX(PriceBook!$R$4:$R$203,MATCH("PL_LANGFUSE_PRO",PriceBook!$A$4:$A$203,0)),0))/100000*IFERROR(INDEX(PriceBook!$E$4:$E$203,MATCH("U_LANGFUSE_OVER",PriceBook!$A$4:$A$203,0)),0))</f>
        <v>0</v>
      </c>
      <c r="BF153" s="44">
        <f>BF$5*(IFERROR(INDEX(PriceBook!$E$4:$E$203,MATCH("PL_LANGFUSE_PRO",PriceBook!$A$4:$A$203,0)),0)+MAX(0,BF144*Org!$B$13-IFERROR(INDEX(PriceBook!$R$4:$R$203,MATCH("PL_LANGFUSE_PRO",PriceBook!$A$4:$A$203,0)),0))/100000*IFERROR(INDEX(PriceBook!$E$4:$E$203,MATCH("U_LANGFUSE_OVER",PriceBook!$A$4:$A$203,0)),0))</f>
        <v>0</v>
      </c>
      <c r="BG153" s="44">
        <f>BG$5*(IFERROR(INDEX(PriceBook!$E$4:$E$203,MATCH("PL_LANGFUSE_PRO",PriceBook!$A$4:$A$203,0)),0)+MAX(0,BG144*Org!$B$13-IFERROR(INDEX(PriceBook!$R$4:$R$203,MATCH("PL_LANGFUSE_PRO",PriceBook!$A$4:$A$203,0)),0))/100000*IFERROR(INDEX(PriceBook!$E$4:$E$203,MATCH("U_LANGFUSE_OVER",PriceBook!$A$4:$A$203,0)),0))</f>
        <v>0</v>
      </c>
      <c r="BH153" s="44">
        <f>BH$5*(IFERROR(INDEX(PriceBook!$E$4:$E$203,MATCH("PL_LANGFUSE_PRO",PriceBook!$A$4:$A$203,0)),0)+MAX(0,BH144*Org!$B$13-IFERROR(INDEX(PriceBook!$R$4:$R$203,MATCH("PL_LANGFUSE_PRO",PriceBook!$A$4:$A$203,0)),0))/100000*IFERROR(INDEX(PriceBook!$E$4:$E$203,MATCH("U_LANGFUSE_OVER",PriceBook!$A$4:$A$203,0)),0))</f>
        <v>0</v>
      </c>
      <c r="BI153" s="44">
        <f>BI$5*(IFERROR(INDEX(PriceBook!$E$4:$E$203,MATCH("PL_LANGFUSE_PRO",PriceBook!$A$4:$A$203,0)),0)+MAX(0,BI144*Org!$B$13-IFERROR(INDEX(PriceBook!$R$4:$R$203,MATCH("PL_LANGFUSE_PRO",PriceBook!$A$4:$A$203,0)),0))/100000*IFERROR(INDEX(PriceBook!$E$4:$E$203,MATCH("U_LANGFUSE_OVER",PriceBook!$A$4:$A$203,0)),0))</f>
        <v>0</v>
      </c>
      <c r="BJ153" s="44">
        <f>BJ$5*(IFERROR(INDEX(PriceBook!$E$4:$E$203,MATCH("PL_LANGFUSE_PRO",PriceBook!$A$4:$A$203,0)),0)+MAX(0,BJ144*Org!$B$13-IFERROR(INDEX(PriceBook!$R$4:$R$203,MATCH("PL_LANGFUSE_PRO",PriceBook!$A$4:$A$203,0)),0))/100000*IFERROR(INDEX(PriceBook!$E$4:$E$203,MATCH("U_LANGFUSE_OVER",PriceBook!$A$4:$A$203,0)),0))</f>
        <v>0</v>
      </c>
      <c r="BK153" s="44">
        <f>BK$5*(IFERROR(INDEX(PriceBook!$E$4:$E$203,MATCH("PL_LANGFUSE_PRO",PriceBook!$A$4:$A$203,0)),0)+MAX(0,BK144*Org!$B$13-IFERROR(INDEX(PriceBook!$R$4:$R$203,MATCH("PL_LANGFUSE_PRO",PriceBook!$A$4:$A$203,0)),0))/100000*IFERROR(INDEX(PriceBook!$E$4:$E$203,MATCH("U_LANGFUSE_OVER",PriceBook!$A$4:$A$203,0)),0))</f>
        <v>0</v>
      </c>
      <c r="BL153" s="44">
        <f>BL$5*(IFERROR(INDEX(PriceBook!$E$4:$E$203,MATCH("PL_LANGFUSE_PRO",PriceBook!$A$4:$A$203,0)),0)+MAX(0,BL144*Org!$B$13-IFERROR(INDEX(PriceBook!$R$4:$R$203,MATCH("PL_LANGFUSE_PRO",PriceBook!$A$4:$A$203,0)),0))/100000*IFERROR(INDEX(PriceBook!$E$4:$E$203,MATCH("U_LANGFUSE_OVER",PriceBook!$A$4:$A$203,0)),0))</f>
        <v>0</v>
      </c>
    </row>
    <row r="154" spans="1:64" x14ac:dyDescent="0.3">
      <c r="A154" s="8" t="s">
        <v>1026</v>
      </c>
      <c r="B154" s="18" t="s">
        <v>169</v>
      </c>
      <c r="C154" s="44">
        <f t="shared" si="49"/>
        <v>6336000</v>
      </c>
      <c r="E154" s="44">
        <f>E$5*Params!$F$30*Org!$B$10*Org!$B$12/12</f>
        <v>176000</v>
      </c>
      <c r="F154" s="44">
        <f>F$5*Params!$F$30*Org!$B$10*Org!$B$12/12</f>
        <v>176000</v>
      </c>
      <c r="G154" s="44">
        <f>G$5*Params!$F$30*Org!$B$10*Org!$B$12/12</f>
        <v>176000</v>
      </c>
      <c r="H154" s="44">
        <f>H$5*Params!$F$30*Org!$B$10*Org!$B$12/12</f>
        <v>176000</v>
      </c>
      <c r="I154" s="44">
        <f>I$5*Params!$F$30*Org!$B$10*Org!$B$12/12</f>
        <v>176000</v>
      </c>
      <c r="J154" s="44">
        <f>J$5*Params!$F$30*Org!$B$10*Org!$B$12/12</f>
        <v>176000</v>
      </c>
      <c r="K154" s="44">
        <f>K$5*Params!$F$30*Org!$B$10*Org!$B$12/12</f>
        <v>176000</v>
      </c>
      <c r="L154" s="44">
        <f>L$5*Params!$F$30*Org!$B$10*Org!$B$12/12</f>
        <v>176000</v>
      </c>
      <c r="M154" s="44">
        <f>M$5*Params!$F$30*Org!$B$10*Org!$B$12/12</f>
        <v>176000</v>
      </c>
      <c r="N154" s="44">
        <f>N$5*Params!$F$30*Org!$B$10*Org!$B$12/12</f>
        <v>176000</v>
      </c>
      <c r="O154" s="44">
        <f>O$5*Params!$F$30*Org!$B$10*Org!$B$12/12</f>
        <v>176000</v>
      </c>
      <c r="P154" s="44">
        <f>P$5*Params!$F$30*Org!$B$10*Org!$B$12/12</f>
        <v>176000</v>
      </c>
      <c r="Q154" s="44">
        <f>Q$5*Params!$F$30*Org!$B$10*Org!$B$12/12</f>
        <v>176000</v>
      </c>
      <c r="R154" s="44">
        <f>R$5*Params!$F$30*Org!$B$10*Org!$B$12/12</f>
        <v>176000</v>
      </c>
      <c r="S154" s="44">
        <f>S$5*Params!$F$30*Org!$B$10*Org!$B$12/12</f>
        <v>176000</v>
      </c>
      <c r="T154" s="44">
        <f>T$5*Params!$F$30*Org!$B$10*Org!$B$12/12</f>
        <v>176000</v>
      </c>
      <c r="U154" s="44">
        <f>U$5*Params!$F$30*Org!$B$10*Org!$B$12/12</f>
        <v>176000</v>
      </c>
      <c r="V154" s="44">
        <f>V$5*Params!$F$30*Org!$B$10*Org!$B$12/12</f>
        <v>176000</v>
      </c>
      <c r="W154" s="44">
        <f>W$5*Params!$F$30*Org!$B$10*Org!$B$12/12</f>
        <v>176000</v>
      </c>
      <c r="X154" s="44">
        <f>X$5*Params!$F$30*Org!$B$10*Org!$B$12/12</f>
        <v>176000</v>
      </c>
      <c r="Y154" s="44">
        <f>Y$5*Params!$F$30*Org!$B$10*Org!$B$12/12</f>
        <v>176000</v>
      </c>
      <c r="Z154" s="44">
        <f>Z$5*Params!$F$30*Org!$B$10*Org!$B$12/12</f>
        <v>176000</v>
      </c>
      <c r="AA154" s="44">
        <f>AA$5*Params!$F$30*Org!$B$10*Org!$B$12/12</f>
        <v>176000</v>
      </c>
      <c r="AB154" s="44">
        <f>AB$5*Params!$F$30*Org!$B$10*Org!$B$12/12</f>
        <v>176000</v>
      </c>
      <c r="AC154" s="44">
        <f>AC$5*Params!$F$30*Org!$B$10*Org!$B$12/12</f>
        <v>176000</v>
      </c>
      <c r="AD154" s="44">
        <f>AD$5*Params!$F$30*Org!$B$10*Org!$B$12/12</f>
        <v>176000</v>
      </c>
      <c r="AE154" s="44">
        <f>AE$5*Params!$F$30*Org!$B$10*Org!$B$12/12</f>
        <v>176000</v>
      </c>
      <c r="AF154" s="44">
        <f>AF$5*Params!$F$30*Org!$B$10*Org!$B$12/12</f>
        <v>176000</v>
      </c>
      <c r="AG154" s="44">
        <f>AG$5*Params!$F$30*Org!$B$10*Org!$B$12/12</f>
        <v>176000</v>
      </c>
      <c r="AH154" s="44">
        <f>AH$5*Params!$F$30*Org!$B$10*Org!$B$12/12</f>
        <v>176000</v>
      </c>
      <c r="AI154" s="44">
        <f>AI$5*Params!$F$30*Org!$B$10*Org!$B$12/12</f>
        <v>176000</v>
      </c>
      <c r="AJ154" s="44">
        <f>AJ$5*Params!$F$30*Org!$B$10*Org!$B$12/12</f>
        <v>176000</v>
      </c>
      <c r="AK154" s="44">
        <f>AK$5*Params!$F$30*Org!$B$10*Org!$B$12/12</f>
        <v>176000</v>
      </c>
      <c r="AL154" s="44">
        <f>AL$5*Params!$F$30*Org!$B$10*Org!$B$12/12</f>
        <v>176000</v>
      </c>
      <c r="AM154" s="44">
        <f>AM$5*Params!$F$30*Org!$B$10*Org!$B$12/12</f>
        <v>176000</v>
      </c>
      <c r="AN154" s="44">
        <f>AN$5*Params!$F$30*Org!$B$10*Org!$B$12/12</f>
        <v>176000</v>
      </c>
      <c r="AO154" s="44">
        <f>AO$5*Params!$F$30*Org!$B$10*Org!$B$12/12</f>
        <v>0</v>
      </c>
      <c r="AP154" s="44">
        <f>AP$5*Params!$F$30*Org!$B$10*Org!$B$12/12</f>
        <v>0</v>
      </c>
      <c r="AQ154" s="44">
        <f>AQ$5*Params!$F$30*Org!$B$10*Org!$B$12/12</f>
        <v>0</v>
      </c>
      <c r="AR154" s="44">
        <f>AR$5*Params!$F$30*Org!$B$10*Org!$B$12/12</f>
        <v>0</v>
      </c>
      <c r="AS154" s="44">
        <f>AS$5*Params!$F$30*Org!$B$10*Org!$B$12/12</f>
        <v>0</v>
      </c>
      <c r="AT154" s="44">
        <f>AT$5*Params!$F$30*Org!$B$10*Org!$B$12/12</f>
        <v>0</v>
      </c>
      <c r="AU154" s="44">
        <f>AU$5*Params!$F$30*Org!$B$10*Org!$B$12/12</f>
        <v>0</v>
      </c>
      <c r="AV154" s="44">
        <f>AV$5*Params!$F$30*Org!$B$10*Org!$B$12/12</f>
        <v>0</v>
      </c>
      <c r="AW154" s="44">
        <f>AW$5*Params!$F$30*Org!$B$10*Org!$B$12/12</f>
        <v>0</v>
      </c>
      <c r="AX154" s="44">
        <f>AX$5*Params!$F$30*Org!$B$10*Org!$B$12/12</f>
        <v>0</v>
      </c>
      <c r="AY154" s="44">
        <f>AY$5*Params!$F$30*Org!$B$10*Org!$B$12/12</f>
        <v>0</v>
      </c>
      <c r="AZ154" s="44">
        <f>AZ$5*Params!$F$30*Org!$B$10*Org!$B$12/12</f>
        <v>0</v>
      </c>
      <c r="BA154" s="44">
        <f>BA$5*Params!$F$30*Org!$B$10*Org!$B$12/12</f>
        <v>0</v>
      </c>
      <c r="BB154" s="44">
        <f>BB$5*Params!$F$30*Org!$B$10*Org!$B$12/12</f>
        <v>0</v>
      </c>
      <c r="BC154" s="44">
        <f>BC$5*Params!$F$30*Org!$B$10*Org!$B$12/12</f>
        <v>0</v>
      </c>
      <c r="BD154" s="44">
        <f>BD$5*Params!$F$30*Org!$B$10*Org!$B$12/12</f>
        <v>0</v>
      </c>
      <c r="BE154" s="44">
        <f>BE$5*Params!$F$30*Org!$B$10*Org!$B$12/12</f>
        <v>0</v>
      </c>
      <c r="BF154" s="44">
        <f>BF$5*Params!$F$30*Org!$B$10*Org!$B$12/12</f>
        <v>0</v>
      </c>
      <c r="BG154" s="44">
        <f>BG$5*Params!$F$30*Org!$B$10*Org!$B$12/12</f>
        <v>0</v>
      </c>
      <c r="BH154" s="44">
        <f>BH$5*Params!$F$30*Org!$B$10*Org!$B$12/12</f>
        <v>0</v>
      </c>
      <c r="BI154" s="44">
        <f>BI$5*Params!$F$30*Org!$B$10*Org!$B$12/12</f>
        <v>0</v>
      </c>
      <c r="BJ154" s="44">
        <f>BJ$5*Params!$F$30*Org!$B$10*Org!$B$12/12</f>
        <v>0</v>
      </c>
      <c r="BK154" s="44">
        <f>BK$5*Params!$F$30*Org!$B$10*Org!$B$12/12</f>
        <v>0</v>
      </c>
      <c r="BL154" s="44">
        <f>BL$5*Params!$F$30*Org!$B$10*Org!$B$12/12</f>
        <v>0</v>
      </c>
    </row>
    <row r="155" spans="1:64" x14ac:dyDescent="0.3">
      <c r="A155" s="8" t="s">
        <v>1027</v>
      </c>
      <c r="B155" s="18" t="s">
        <v>604</v>
      </c>
      <c r="C155" s="44">
        <f t="shared" si="49"/>
        <v>1584000</v>
      </c>
      <c r="E155" s="44">
        <f>E$5*Params!$F$31*Org!$B$10*Org!$B$12/12</f>
        <v>44000</v>
      </c>
      <c r="F155" s="44">
        <f>F$5*Params!$F$31*Org!$B$10*Org!$B$12/12</f>
        <v>44000</v>
      </c>
      <c r="G155" s="44">
        <f>G$5*Params!$F$31*Org!$B$10*Org!$B$12/12</f>
        <v>44000</v>
      </c>
      <c r="H155" s="44">
        <f>H$5*Params!$F$31*Org!$B$10*Org!$B$12/12</f>
        <v>44000</v>
      </c>
      <c r="I155" s="44">
        <f>I$5*Params!$F$31*Org!$B$10*Org!$B$12/12</f>
        <v>44000</v>
      </c>
      <c r="J155" s="44">
        <f>J$5*Params!$F$31*Org!$B$10*Org!$B$12/12</f>
        <v>44000</v>
      </c>
      <c r="K155" s="44">
        <f>K$5*Params!$F$31*Org!$B$10*Org!$B$12/12</f>
        <v>44000</v>
      </c>
      <c r="L155" s="44">
        <f>L$5*Params!$F$31*Org!$B$10*Org!$B$12/12</f>
        <v>44000</v>
      </c>
      <c r="M155" s="44">
        <f>M$5*Params!$F$31*Org!$B$10*Org!$B$12/12</f>
        <v>44000</v>
      </c>
      <c r="N155" s="44">
        <f>N$5*Params!$F$31*Org!$B$10*Org!$B$12/12</f>
        <v>44000</v>
      </c>
      <c r="O155" s="44">
        <f>O$5*Params!$F$31*Org!$B$10*Org!$B$12/12</f>
        <v>44000</v>
      </c>
      <c r="P155" s="44">
        <f>P$5*Params!$F$31*Org!$B$10*Org!$B$12/12</f>
        <v>44000</v>
      </c>
      <c r="Q155" s="44">
        <f>Q$5*Params!$F$31*Org!$B$10*Org!$B$12/12</f>
        <v>44000</v>
      </c>
      <c r="R155" s="44">
        <f>R$5*Params!$F$31*Org!$B$10*Org!$B$12/12</f>
        <v>44000</v>
      </c>
      <c r="S155" s="44">
        <f>S$5*Params!$F$31*Org!$B$10*Org!$B$12/12</f>
        <v>44000</v>
      </c>
      <c r="T155" s="44">
        <f>T$5*Params!$F$31*Org!$B$10*Org!$B$12/12</f>
        <v>44000</v>
      </c>
      <c r="U155" s="44">
        <f>U$5*Params!$F$31*Org!$B$10*Org!$B$12/12</f>
        <v>44000</v>
      </c>
      <c r="V155" s="44">
        <f>V$5*Params!$F$31*Org!$B$10*Org!$B$12/12</f>
        <v>44000</v>
      </c>
      <c r="W155" s="44">
        <f>W$5*Params!$F$31*Org!$B$10*Org!$B$12/12</f>
        <v>44000</v>
      </c>
      <c r="X155" s="44">
        <f>X$5*Params!$F$31*Org!$B$10*Org!$B$12/12</f>
        <v>44000</v>
      </c>
      <c r="Y155" s="44">
        <f>Y$5*Params!$F$31*Org!$B$10*Org!$B$12/12</f>
        <v>44000</v>
      </c>
      <c r="Z155" s="44">
        <f>Z$5*Params!$F$31*Org!$B$10*Org!$B$12/12</f>
        <v>44000</v>
      </c>
      <c r="AA155" s="44">
        <f>AA$5*Params!$F$31*Org!$B$10*Org!$B$12/12</f>
        <v>44000</v>
      </c>
      <c r="AB155" s="44">
        <f>AB$5*Params!$F$31*Org!$B$10*Org!$B$12/12</f>
        <v>44000</v>
      </c>
      <c r="AC155" s="44">
        <f>AC$5*Params!$F$31*Org!$B$10*Org!$B$12/12</f>
        <v>44000</v>
      </c>
      <c r="AD155" s="44">
        <f>AD$5*Params!$F$31*Org!$B$10*Org!$B$12/12</f>
        <v>44000</v>
      </c>
      <c r="AE155" s="44">
        <f>AE$5*Params!$F$31*Org!$B$10*Org!$B$12/12</f>
        <v>44000</v>
      </c>
      <c r="AF155" s="44">
        <f>AF$5*Params!$F$31*Org!$B$10*Org!$B$12/12</f>
        <v>44000</v>
      </c>
      <c r="AG155" s="44">
        <f>AG$5*Params!$F$31*Org!$B$10*Org!$B$12/12</f>
        <v>44000</v>
      </c>
      <c r="AH155" s="44">
        <f>AH$5*Params!$F$31*Org!$B$10*Org!$B$12/12</f>
        <v>44000</v>
      </c>
      <c r="AI155" s="44">
        <f>AI$5*Params!$F$31*Org!$B$10*Org!$B$12/12</f>
        <v>44000</v>
      </c>
      <c r="AJ155" s="44">
        <f>AJ$5*Params!$F$31*Org!$B$10*Org!$B$12/12</f>
        <v>44000</v>
      </c>
      <c r="AK155" s="44">
        <f>AK$5*Params!$F$31*Org!$B$10*Org!$B$12/12</f>
        <v>44000</v>
      </c>
      <c r="AL155" s="44">
        <f>AL$5*Params!$F$31*Org!$B$10*Org!$B$12/12</f>
        <v>44000</v>
      </c>
      <c r="AM155" s="44">
        <f>AM$5*Params!$F$31*Org!$B$10*Org!$B$12/12</f>
        <v>44000</v>
      </c>
      <c r="AN155" s="44">
        <f>AN$5*Params!$F$31*Org!$B$10*Org!$B$12/12</f>
        <v>44000</v>
      </c>
      <c r="AO155" s="44">
        <f>AO$5*Params!$F$31*Org!$B$10*Org!$B$12/12</f>
        <v>0</v>
      </c>
      <c r="AP155" s="44">
        <f>AP$5*Params!$F$31*Org!$B$10*Org!$B$12/12</f>
        <v>0</v>
      </c>
      <c r="AQ155" s="44">
        <f>AQ$5*Params!$F$31*Org!$B$10*Org!$B$12/12</f>
        <v>0</v>
      </c>
      <c r="AR155" s="44">
        <f>AR$5*Params!$F$31*Org!$B$10*Org!$B$12/12</f>
        <v>0</v>
      </c>
      <c r="AS155" s="44">
        <f>AS$5*Params!$F$31*Org!$B$10*Org!$B$12/12</f>
        <v>0</v>
      </c>
      <c r="AT155" s="44">
        <f>AT$5*Params!$F$31*Org!$B$10*Org!$B$12/12</f>
        <v>0</v>
      </c>
      <c r="AU155" s="44">
        <f>AU$5*Params!$F$31*Org!$B$10*Org!$B$12/12</f>
        <v>0</v>
      </c>
      <c r="AV155" s="44">
        <f>AV$5*Params!$F$31*Org!$B$10*Org!$B$12/12</f>
        <v>0</v>
      </c>
      <c r="AW155" s="44">
        <f>AW$5*Params!$F$31*Org!$B$10*Org!$B$12/12</f>
        <v>0</v>
      </c>
      <c r="AX155" s="44">
        <f>AX$5*Params!$F$31*Org!$B$10*Org!$B$12/12</f>
        <v>0</v>
      </c>
      <c r="AY155" s="44">
        <f>AY$5*Params!$F$31*Org!$B$10*Org!$B$12/12</f>
        <v>0</v>
      </c>
      <c r="AZ155" s="44">
        <f>AZ$5*Params!$F$31*Org!$B$10*Org!$B$12/12</f>
        <v>0</v>
      </c>
      <c r="BA155" s="44">
        <f>BA$5*Params!$F$31*Org!$B$10*Org!$B$12/12</f>
        <v>0</v>
      </c>
      <c r="BB155" s="44">
        <f>BB$5*Params!$F$31*Org!$B$10*Org!$B$12/12</f>
        <v>0</v>
      </c>
      <c r="BC155" s="44">
        <f>BC$5*Params!$F$31*Org!$B$10*Org!$B$12/12</f>
        <v>0</v>
      </c>
      <c r="BD155" s="44">
        <f>BD$5*Params!$F$31*Org!$B$10*Org!$B$12/12</f>
        <v>0</v>
      </c>
      <c r="BE155" s="44">
        <f>BE$5*Params!$F$31*Org!$B$10*Org!$B$12/12</f>
        <v>0</v>
      </c>
      <c r="BF155" s="44">
        <f>BF$5*Params!$F$31*Org!$B$10*Org!$B$12/12</f>
        <v>0</v>
      </c>
      <c r="BG155" s="44">
        <f>BG$5*Params!$F$31*Org!$B$10*Org!$B$12/12</f>
        <v>0</v>
      </c>
      <c r="BH155" s="44">
        <f>BH$5*Params!$F$31*Org!$B$10*Org!$B$12/12</f>
        <v>0</v>
      </c>
      <c r="BI155" s="44">
        <f>BI$5*Params!$F$31*Org!$B$10*Org!$B$12/12</f>
        <v>0</v>
      </c>
      <c r="BJ155" s="44">
        <f>BJ$5*Params!$F$31*Org!$B$10*Org!$B$12/12</f>
        <v>0</v>
      </c>
      <c r="BK155" s="44">
        <f>BK$5*Params!$F$31*Org!$B$10*Org!$B$12/12</f>
        <v>0</v>
      </c>
      <c r="BL155" s="44">
        <f>BL$5*Params!$F$31*Org!$B$10*Org!$B$12/12</f>
        <v>0</v>
      </c>
    </row>
    <row r="156" spans="1:64" x14ac:dyDescent="0.3">
      <c r="A156" s="8" t="s">
        <v>1028</v>
      </c>
      <c r="B156" s="18" t="s">
        <v>505</v>
      </c>
      <c r="C156" s="44">
        <f t="shared" si="49"/>
        <v>0</v>
      </c>
      <c r="E156" s="44">
        <f>E$5*Params!$F$32/12</f>
        <v>0</v>
      </c>
      <c r="F156" s="44">
        <f>F$5*Params!$F$32/12</f>
        <v>0</v>
      </c>
      <c r="G156" s="44">
        <f>G$5*Params!$F$32/12</f>
        <v>0</v>
      </c>
      <c r="H156" s="44">
        <f>H$5*Params!$F$32/12</f>
        <v>0</v>
      </c>
      <c r="I156" s="44">
        <f>I$5*Params!$F$32/12</f>
        <v>0</v>
      </c>
      <c r="J156" s="44">
        <f>J$5*Params!$F$32/12</f>
        <v>0</v>
      </c>
      <c r="K156" s="44">
        <f>K$5*Params!$F$32/12</f>
        <v>0</v>
      </c>
      <c r="L156" s="44">
        <f>L$5*Params!$F$32/12</f>
        <v>0</v>
      </c>
      <c r="M156" s="44">
        <f>M$5*Params!$F$32/12</f>
        <v>0</v>
      </c>
      <c r="N156" s="44">
        <f>N$5*Params!$F$32/12</f>
        <v>0</v>
      </c>
      <c r="O156" s="44">
        <f>O$5*Params!$F$32/12</f>
        <v>0</v>
      </c>
      <c r="P156" s="44">
        <f>P$5*Params!$F$32/12</f>
        <v>0</v>
      </c>
      <c r="Q156" s="44">
        <f>Q$5*Params!$F$32/12</f>
        <v>0</v>
      </c>
      <c r="R156" s="44">
        <f>R$5*Params!$F$32/12</f>
        <v>0</v>
      </c>
      <c r="S156" s="44">
        <f>S$5*Params!$F$32/12</f>
        <v>0</v>
      </c>
      <c r="T156" s="44">
        <f>T$5*Params!$F$32/12</f>
        <v>0</v>
      </c>
      <c r="U156" s="44">
        <f>U$5*Params!$F$32/12</f>
        <v>0</v>
      </c>
      <c r="V156" s="44">
        <f>V$5*Params!$F$32/12</f>
        <v>0</v>
      </c>
      <c r="W156" s="44">
        <f>W$5*Params!$F$32/12</f>
        <v>0</v>
      </c>
      <c r="X156" s="44">
        <f>X$5*Params!$F$32/12</f>
        <v>0</v>
      </c>
      <c r="Y156" s="44">
        <f>Y$5*Params!$F$32/12</f>
        <v>0</v>
      </c>
      <c r="Z156" s="44">
        <f>Z$5*Params!$F$32/12</f>
        <v>0</v>
      </c>
      <c r="AA156" s="44">
        <f>AA$5*Params!$F$32/12</f>
        <v>0</v>
      </c>
      <c r="AB156" s="44">
        <f>AB$5*Params!$F$32/12</f>
        <v>0</v>
      </c>
      <c r="AC156" s="44">
        <f>AC$5*Params!$F$32/12</f>
        <v>0</v>
      </c>
      <c r="AD156" s="44">
        <f>AD$5*Params!$F$32/12</f>
        <v>0</v>
      </c>
      <c r="AE156" s="44">
        <f>AE$5*Params!$F$32/12</f>
        <v>0</v>
      </c>
      <c r="AF156" s="44">
        <f>AF$5*Params!$F$32/12</f>
        <v>0</v>
      </c>
      <c r="AG156" s="44">
        <f>AG$5*Params!$F$32/12</f>
        <v>0</v>
      </c>
      <c r="AH156" s="44">
        <f>AH$5*Params!$F$32/12</f>
        <v>0</v>
      </c>
      <c r="AI156" s="44">
        <f>AI$5*Params!$F$32/12</f>
        <v>0</v>
      </c>
      <c r="AJ156" s="44">
        <f>AJ$5*Params!$F$32/12</f>
        <v>0</v>
      </c>
      <c r="AK156" s="44">
        <f>AK$5*Params!$F$32/12</f>
        <v>0</v>
      </c>
      <c r="AL156" s="44">
        <f>AL$5*Params!$F$32/12</f>
        <v>0</v>
      </c>
      <c r="AM156" s="44">
        <f>AM$5*Params!$F$32/12</f>
        <v>0</v>
      </c>
      <c r="AN156" s="44">
        <f>AN$5*Params!$F$32/12</f>
        <v>0</v>
      </c>
      <c r="AO156" s="44">
        <f>AO$5*Params!$F$32/12</f>
        <v>0</v>
      </c>
      <c r="AP156" s="44">
        <f>AP$5*Params!$F$32/12</f>
        <v>0</v>
      </c>
      <c r="AQ156" s="44">
        <f>AQ$5*Params!$F$32/12</f>
        <v>0</v>
      </c>
      <c r="AR156" s="44">
        <f>AR$5*Params!$F$32/12</f>
        <v>0</v>
      </c>
      <c r="AS156" s="44">
        <f>AS$5*Params!$F$32/12</f>
        <v>0</v>
      </c>
      <c r="AT156" s="44">
        <f>AT$5*Params!$F$32/12</f>
        <v>0</v>
      </c>
      <c r="AU156" s="44">
        <f>AU$5*Params!$F$32/12</f>
        <v>0</v>
      </c>
      <c r="AV156" s="44">
        <f>AV$5*Params!$F$32/12</f>
        <v>0</v>
      </c>
      <c r="AW156" s="44">
        <f>AW$5*Params!$F$32/12</f>
        <v>0</v>
      </c>
      <c r="AX156" s="44">
        <f>AX$5*Params!$F$32/12</f>
        <v>0</v>
      </c>
      <c r="AY156" s="44">
        <f>AY$5*Params!$F$32/12</f>
        <v>0</v>
      </c>
      <c r="AZ156" s="44">
        <f>AZ$5*Params!$F$32/12</f>
        <v>0</v>
      </c>
      <c r="BA156" s="44">
        <f>BA$5*Params!$F$32/12</f>
        <v>0</v>
      </c>
      <c r="BB156" s="44">
        <f>BB$5*Params!$F$32/12</f>
        <v>0</v>
      </c>
      <c r="BC156" s="44">
        <f>BC$5*Params!$F$32/12</f>
        <v>0</v>
      </c>
      <c r="BD156" s="44">
        <f>BD$5*Params!$F$32/12</f>
        <v>0</v>
      </c>
      <c r="BE156" s="44">
        <f>BE$5*Params!$F$32/12</f>
        <v>0</v>
      </c>
      <c r="BF156" s="44">
        <f>BF$5*Params!$F$32/12</f>
        <v>0</v>
      </c>
      <c r="BG156" s="44">
        <f>BG$5*Params!$F$32/12</f>
        <v>0</v>
      </c>
      <c r="BH156" s="44">
        <f>BH$5*Params!$F$32/12</f>
        <v>0</v>
      </c>
      <c r="BI156" s="44">
        <f>BI$5*Params!$F$32/12</f>
        <v>0</v>
      </c>
      <c r="BJ156" s="44">
        <f>BJ$5*Params!$F$32/12</f>
        <v>0</v>
      </c>
      <c r="BK156" s="44">
        <f>BK$5*Params!$F$32/12</f>
        <v>0</v>
      </c>
      <c r="BL156" s="44">
        <f>BL$5*Params!$F$32/12</f>
        <v>0</v>
      </c>
    </row>
    <row r="157" spans="1:64" x14ac:dyDescent="0.3">
      <c r="A157" s="8" t="s">
        <v>1029</v>
      </c>
      <c r="B157" s="18" t="s">
        <v>505</v>
      </c>
      <c r="C157" s="44">
        <f t="shared" si="49"/>
        <v>0</v>
      </c>
      <c r="E157" s="44">
        <f>E$5*Params!$F$33/12</f>
        <v>0</v>
      </c>
      <c r="F157" s="44">
        <f>F$5*Params!$F$33/12</f>
        <v>0</v>
      </c>
      <c r="G157" s="44">
        <f>G$5*Params!$F$33/12</f>
        <v>0</v>
      </c>
      <c r="H157" s="44">
        <f>H$5*Params!$F$33/12</f>
        <v>0</v>
      </c>
      <c r="I157" s="44">
        <f>I$5*Params!$F$33/12</f>
        <v>0</v>
      </c>
      <c r="J157" s="44">
        <f>J$5*Params!$F$33/12</f>
        <v>0</v>
      </c>
      <c r="K157" s="44">
        <f>K$5*Params!$F$33/12</f>
        <v>0</v>
      </c>
      <c r="L157" s="44">
        <f>L$5*Params!$F$33/12</f>
        <v>0</v>
      </c>
      <c r="M157" s="44">
        <f>M$5*Params!$F$33/12</f>
        <v>0</v>
      </c>
      <c r="N157" s="44">
        <f>N$5*Params!$F$33/12</f>
        <v>0</v>
      </c>
      <c r="O157" s="44">
        <f>O$5*Params!$F$33/12</f>
        <v>0</v>
      </c>
      <c r="P157" s="44">
        <f>P$5*Params!$F$33/12</f>
        <v>0</v>
      </c>
      <c r="Q157" s="44">
        <f>Q$5*Params!$F$33/12</f>
        <v>0</v>
      </c>
      <c r="R157" s="44">
        <f>R$5*Params!$F$33/12</f>
        <v>0</v>
      </c>
      <c r="S157" s="44">
        <f>S$5*Params!$F$33/12</f>
        <v>0</v>
      </c>
      <c r="T157" s="44">
        <f>T$5*Params!$F$33/12</f>
        <v>0</v>
      </c>
      <c r="U157" s="44">
        <f>U$5*Params!$F$33/12</f>
        <v>0</v>
      </c>
      <c r="V157" s="44">
        <f>V$5*Params!$F$33/12</f>
        <v>0</v>
      </c>
      <c r="W157" s="44">
        <f>W$5*Params!$F$33/12</f>
        <v>0</v>
      </c>
      <c r="X157" s="44">
        <f>X$5*Params!$F$33/12</f>
        <v>0</v>
      </c>
      <c r="Y157" s="44">
        <f>Y$5*Params!$F$33/12</f>
        <v>0</v>
      </c>
      <c r="Z157" s="44">
        <f>Z$5*Params!$F$33/12</f>
        <v>0</v>
      </c>
      <c r="AA157" s="44">
        <f>AA$5*Params!$F$33/12</f>
        <v>0</v>
      </c>
      <c r="AB157" s="44">
        <f>AB$5*Params!$F$33/12</f>
        <v>0</v>
      </c>
      <c r="AC157" s="44">
        <f>AC$5*Params!$F$33/12</f>
        <v>0</v>
      </c>
      <c r="AD157" s="44">
        <f>AD$5*Params!$F$33/12</f>
        <v>0</v>
      </c>
      <c r="AE157" s="44">
        <f>AE$5*Params!$F$33/12</f>
        <v>0</v>
      </c>
      <c r="AF157" s="44">
        <f>AF$5*Params!$F$33/12</f>
        <v>0</v>
      </c>
      <c r="AG157" s="44">
        <f>AG$5*Params!$F$33/12</f>
        <v>0</v>
      </c>
      <c r="AH157" s="44">
        <f>AH$5*Params!$F$33/12</f>
        <v>0</v>
      </c>
      <c r="AI157" s="44">
        <f>AI$5*Params!$F$33/12</f>
        <v>0</v>
      </c>
      <c r="AJ157" s="44">
        <f>AJ$5*Params!$F$33/12</f>
        <v>0</v>
      </c>
      <c r="AK157" s="44">
        <f>AK$5*Params!$F$33/12</f>
        <v>0</v>
      </c>
      <c r="AL157" s="44">
        <f>AL$5*Params!$F$33/12</f>
        <v>0</v>
      </c>
      <c r="AM157" s="44">
        <f>AM$5*Params!$F$33/12</f>
        <v>0</v>
      </c>
      <c r="AN157" s="44">
        <f>AN$5*Params!$F$33/12</f>
        <v>0</v>
      </c>
      <c r="AO157" s="44">
        <f>AO$5*Params!$F$33/12</f>
        <v>0</v>
      </c>
      <c r="AP157" s="44">
        <f>AP$5*Params!$F$33/12</f>
        <v>0</v>
      </c>
      <c r="AQ157" s="44">
        <f>AQ$5*Params!$F$33/12</f>
        <v>0</v>
      </c>
      <c r="AR157" s="44">
        <f>AR$5*Params!$F$33/12</f>
        <v>0</v>
      </c>
      <c r="AS157" s="44">
        <f>AS$5*Params!$F$33/12</f>
        <v>0</v>
      </c>
      <c r="AT157" s="44">
        <f>AT$5*Params!$F$33/12</f>
        <v>0</v>
      </c>
      <c r="AU157" s="44">
        <f>AU$5*Params!$F$33/12</f>
        <v>0</v>
      </c>
      <c r="AV157" s="44">
        <f>AV$5*Params!$F$33/12</f>
        <v>0</v>
      </c>
      <c r="AW157" s="44">
        <f>AW$5*Params!$F$33/12</f>
        <v>0</v>
      </c>
      <c r="AX157" s="44">
        <f>AX$5*Params!$F$33/12</f>
        <v>0</v>
      </c>
      <c r="AY157" s="44">
        <f>AY$5*Params!$F$33/12</f>
        <v>0</v>
      </c>
      <c r="AZ157" s="44">
        <f>AZ$5*Params!$F$33/12</f>
        <v>0</v>
      </c>
      <c r="BA157" s="44">
        <f>BA$5*Params!$F$33/12</f>
        <v>0</v>
      </c>
      <c r="BB157" s="44">
        <f>BB$5*Params!$F$33/12</f>
        <v>0</v>
      </c>
      <c r="BC157" s="44">
        <f>BC$5*Params!$F$33/12</f>
        <v>0</v>
      </c>
      <c r="BD157" s="44">
        <f>BD$5*Params!$F$33/12</f>
        <v>0</v>
      </c>
      <c r="BE157" s="44">
        <f>BE$5*Params!$F$33/12</f>
        <v>0</v>
      </c>
      <c r="BF157" s="44">
        <f>BF$5*Params!$F$33/12</f>
        <v>0</v>
      </c>
      <c r="BG157" s="44">
        <f>BG$5*Params!$F$33/12</f>
        <v>0</v>
      </c>
      <c r="BH157" s="44">
        <f>BH$5*Params!$F$33/12</f>
        <v>0</v>
      </c>
      <c r="BI157" s="44">
        <f>BI$5*Params!$F$33/12</f>
        <v>0</v>
      </c>
      <c r="BJ157" s="44">
        <f>BJ$5*Params!$F$33/12</f>
        <v>0</v>
      </c>
      <c r="BK157" s="44">
        <f>BK$5*Params!$F$33/12</f>
        <v>0</v>
      </c>
      <c r="BL157" s="44">
        <f>BL$5*Params!$F$33/12</f>
        <v>0</v>
      </c>
    </row>
    <row r="158" spans="1:64" x14ac:dyDescent="0.3">
      <c r="A158" s="8" t="s">
        <v>1030</v>
      </c>
      <c r="C158" s="44">
        <f t="shared" si="49"/>
        <v>9134935.6800000053</v>
      </c>
      <c r="D158" s="44">
        <f t="shared" ref="D158:AI158" si="50">SUM(D145:D157)</f>
        <v>620000</v>
      </c>
      <c r="E158" s="44">
        <f t="shared" si="50"/>
        <v>236409.13333333333</v>
      </c>
      <c r="F158" s="44">
        <f t="shared" si="50"/>
        <v>236436.45185185186</v>
      </c>
      <c r="G158" s="44">
        <f t="shared" si="50"/>
        <v>236470.07230814814</v>
      </c>
      <c r="H158" s="44">
        <f t="shared" si="50"/>
        <v>236505.30741333333</v>
      </c>
      <c r="I158" s="44">
        <f t="shared" si="50"/>
        <v>236523.98443851853</v>
      </c>
      <c r="J158" s="44">
        <f t="shared" si="50"/>
        <v>236533.53065481482</v>
      </c>
      <c r="K158" s="44">
        <f t="shared" si="50"/>
        <v>236535.24</v>
      </c>
      <c r="L158" s="44">
        <f t="shared" si="50"/>
        <v>236535.24</v>
      </c>
      <c r="M158" s="44">
        <f t="shared" si="50"/>
        <v>236535.24</v>
      </c>
      <c r="N158" s="44">
        <f t="shared" si="50"/>
        <v>236535.24</v>
      </c>
      <c r="O158" s="44">
        <f t="shared" si="50"/>
        <v>236535.24</v>
      </c>
      <c r="P158" s="44">
        <f t="shared" si="50"/>
        <v>236535.24</v>
      </c>
      <c r="Q158" s="44">
        <f t="shared" si="50"/>
        <v>236535.24</v>
      </c>
      <c r="R158" s="44">
        <f t="shared" si="50"/>
        <v>236535.24</v>
      </c>
      <c r="S158" s="44">
        <f t="shared" si="50"/>
        <v>236535.24</v>
      </c>
      <c r="T158" s="44">
        <f t="shared" si="50"/>
        <v>236535.24</v>
      </c>
      <c r="U158" s="44">
        <f t="shared" si="50"/>
        <v>236535.24</v>
      </c>
      <c r="V158" s="44">
        <f t="shared" si="50"/>
        <v>236535.24</v>
      </c>
      <c r="W158" s="44">
        <f t="shared" si="50"/>
        <v>236535.24</v>
      </c>
      <c r="X158" s="44">
        <f t="shared" si="50"/>
        <v>236535.24</v>
      </c>
      <c r="Y158" s="44">
        <f t="shared" si="50"/>
        <v>236535.24</v>
      </c>
      <c r="Z158" s="44">
        <f t="shared" si="50"/>
        <v>236535.24</v>
      </c>
      <c r="AA158" s="44">
        <f t="shared" si="50"/>
        <v>236535.24</v>
      </c>
      <c r="AB158" s="44">
        <f t="shared" si="50"/>
        <v>236535.24</v>
      </c>
      <c r="AC158" s="44">
        <f t="shared" si="50"/>
        <v>236535.24</v>
      </c>
      <c r="AD158" s="44">
        <f t="shared" si="50"/>
        <v>236535.24</v>
      </c>
      <c r="AE158" s="44">
        <f t="shared" si="50"/>
        <v>236535.24</v>
      </c>
      <c r="AF158" s="44">
        <f t="shared" si="50"/>
        <v>236535.24</v>
      </c>
      <c r="AG158" s="44">
        <f t="shared" si="50"/>
        <v>236535.24</v>
      </c>
      <c r="AH158" s="44">
        <f t="shared" si="50"/>
        <v>236535.24</v>
      </c>
      <c r="AI158" s="44">
        <f t="shared" si="50"/>
        <v>236535.24</v>
      </c>
      <c r="AJ158" s="44">
        <f t="shared" ref="AJ158:BO158" si="51">SUM(AJ145:AJ157)</f>
        <v>236535.24</v>
      </c>
      <c r="AK158" s="44">
        <f t="shared" si="51"/>
        <v>236535.24</v>
      </c>
      <c r="AL158" s="44">
        <f t="shared" si="51"/>
        <v>236535.24</v>
      </c>
      <c r="AM158" s="44">
        <f t="shared" si="51"/>
        <v>236535.24</v>
      </c>
      <c r="AN158" s="44">
        <f t="shared" si="51"/>
        <v>236535.24</v>
      </c>
      <c r="AO158" s="44">
        <f t="shared" si="51"/>
        <v>0</v>
      </c>
      <c r="AP158" s="44">
        <f t="shared" si="51"/>
        <v>0</v>
      </c>
      <c r="AQ158" s="44">
        <f t="shared" si="51"/>
        <v>0</v>
      </c>
      <c r="AR158" s="44">
        <f t="shared" si="51"/>
        <v>0</v>
      </c>
      <c r="AS158" s="44">
        <f t="shared" si="51"/>
        <v>0</v>
      </c>
      <c r="AT158" s="44">
        <f t="shared" si="51"/>
        <v>0</v>
      </c>
      <c r="AU158" s="44">
        <f t="shared" si="51"/>
        <v>0</v>
      </c>
      <c r="AV158" s="44">
        <f t="shared" si="51"/>
        <v>0</v>
      </c>
      <c r="AW158" s="44">
        <f t="shared" si="51"/>
        <v>0</v>
      </c>
      <c r="AX158" s="44">
        <f t="shared" si="51"/>
        <v>0</v>
      </c>
      <c r="AY158" s="44">
        <f t="shared" si="51"/>
        <v>0</v>
      </c>
      <c r="AZ158" s="44">
        <f t="shared" si="51"/>
        <v>0</v>
      </c>
      <c r="BA158" s="44">
        <f t="shared" si="51"/>
        <v>0</v>
      </c>
      <c r="BB158" s="44">
        <f t="shared" si="51"/>
        <v>0</v>
      </c>
      <c r="BC158" s="44">
        <f t="shared" si="51"/>
        <v>0</v>
      </c>
      <c r="BD158" s="44">
        <f t="shared" si="51"/>
        <v>0</v>
      </c>
      <c r="BE158" s="44">
        <f t="shared" si="51"/>
        <v>0</v>
      </c>
      <c r="BF158" s="44">
        <f t="shared" si="51"/>
        <v>0</v>
      </c>
      <c r="BG158" s="44">
        <f t="shared" si="51"/>
        <v>0</v>
      </c>
      <c r="BH158" s="44">
        <f t="shared" si="51"/>
        <v>0</v>
      </c>
      <c r="BI158" s="44">
        <f t="shared" si="51"/>
        <v>0</v>
      </c>
      <c r="BJ158" s="44">
        <f t="shared" si="51"/>
        <v>0</v>
      </c>
      <c r="BK158" s="44">
        <f t="shared" si="51"/>
        <v>0</v>
      </c>
      <c r="BL158" s="44">
        <f t="shared" si="51"/>
        <v>0</v>
      </c>
    </row>
    <row r="161" spans="1:64" x14ac:dyDescent="0.3">
      <c r="A161" s="7" t="s">
        <v>1031</v>
      </c>
      <c r="G161" s="18" t="s">
        <v>978</v>
      </c>
      <c r="H161" s="18" t="s">
        <v>758</v>
      </c>
    </row>
    <row r="162" spans="1:64" x14ac:dyDescent="0.3">
      <c r="A162" s="8" t="s">
        <v>1032</v>
      </c>
      <c r="B162" s="22">
        <f>C12</f>
        <v>3618000</v>
      </c>
      <c r="C162" s="22">
        <f>C39</f>
        <v>4416000</v>
      </c>
      <c r="D162" s="22">
        <f>C66</f>
        <v>1300000</v>
      </c>
      <c r="E162" s="22">
        <f>C93</f>
        <v>403200</v>
      </c>
      <c r="F162" s="22">
        <f>C120</f>
        <v>2412000</v>
      </c>
    </row>
    <row r="163" spans="1:64" x14ac:dyDescent="0.3">
      <c r="A163" s="8" t="s">
        <v>160</v>
      </c>
      <c r="B163" s="14">
        <f>Teams!$C$81</f>
        <v>3000</v>
      </c>
      <c r="C163" s="14">
        <f>Teams!$D$81</f>
        <v>400</v>
      </c>
      <c r="D163" s="14">
        <f>Teams!$E$81</f>
        <v>60</v>
      </c>
      <c r="E163" s="14">
        <f>Teams!$F$81</f>
        <v>150</v>
      </c>
      <c r="F163" s="14">
        <f>Teams!$G$81</f>
        <v>2000</v>
      </c>
    </row>
    <row r="164" spans="1:64" x14ac:dyDescent="0.3">
      <c r="A164" s="8" t="s">
        <v>1033</v>
      </c>
      <c r="B164" s="46">
        <f>IF(Org!$B$9="Usage-proportional",B162/SUM($B162:$F162),IF(Org!$B$9="Headcount proxy",B163/SUM($B163:$F163),IF(Org!$B$9="Even split",IF(Org!$B$18=0,0,Teams!$C$5/Org!$B$18),0)))</f>
        <v>0.29779738583610443</v>
      </c>
      <c r="C164" s="46">
        <f>IF(Org!$B$9="Usage-proportional",C162/SUM($B162:$F162),IF(Org!$B$9="Headcount proxy",C163/SUM($B163:$F163),IF(Org!$B$9="Even split",IF(Org!$B$18=0,0,Teams!$D$5/Org!$B$18),0)))</f>
        <v>0.36348072301056861</v>
      </c>
      <c r="D164" s="46">
        <f>IF(Org!$B$9="Usage-proportional",D162/SUM($B162:$F162),IF(Org!$B$9="Headcount proxy",D163/SUM($B163:$F163),IF(Org!$B$9="Even split",IF(Org!$B$18=0,0,Teams!$E$5/Org!$B$18),0)))</f>
        <v>0.10700293023408949</v>
      </c>
      <c r="E164" s="46">
        <f>IF(Org!$B$9="Usage-proportional",E162/SUM($B162:$F162),IF(Org!$B$9="Headcount proxy",E163/SUM($B163:$F163),IF(Org!$B$9="Even split",IF(Org!$B$18=0,0,Teams!$F$5/Org!$B$18),0)))</f>
        <v>3.3187370361834521E-2</v>
      </c>
      <c r="F164" s="46">
        <f>IF(Org!$B$9="Usage-proportional",F162/SUM($B162:$F162),IF(Org!$B$9="Headcount proxy",F163/SUM($B163:$F163),IF(Org!$B$9="Even split",IF(Org!$B$18=0,0,Teams!$G$5/Org!$B$18),0)))</f>
        <v>0.19853159055740296</v>
      </c>
    </row>
    <row r="165" spans="1:64" x14ac:dyDescent="0.3">
      <c r="A165" s="8" t="s">
        <v>1034</v>
      </c>
      <c r="B165" s="44">
        <f>C158</f>
        <v>9134935.6800000053</v>
      </c>
    </row>
    <row r="166" spans="1:64" x14ac:dyDescent="0.3">
      <c r="A166" s="8" t="s">
        <v>1035</v>
      </c>
      <c r="B166" s="46">
        <f>Params!$F$40</f>
        <v>0.7</v>
      </c>
    </row>
    <row r="167" spans="1:64" x14ac:dyDescent="0.3">
      <c r="A167" s="8" t="s">
        <v>1036</v>
      </c>
      <c r="B167" s="44">
        <f>IF(Org!$B$8="Federated",$B$165*$B166*Teams!$C$5,$B$165*B164)</f>
        <v>2720359.9652849585</v>
      </c>
      <c r="C167" s="44">
        <f>IF(Org!$B$8="Federated",$B$165*$B166*Teams!$D$5,$B$165*C164)</f>
        <v>3320373.0256214421</v>
      </c>
      <c r="D167" s="44">
        <f>IF(Org!$B$8="Federated",$B$165*$B166*Teams!$E$5,$B$165*D164)</f>
        <v>977464.8852599354</v>
      </c>
      <c r="E167" s="44">
        <f>IF(Org!$B$8="Federated",$B$165*$B166*Teams!$F$5,$B$165*E164)</f>
        <v>303164.49364369683</v>
      </c>
      <c r="F167" s="44">
        <f>IF(Org!$B$8="Federated",$B$165*$B166*Teams!$G$5,$B$165*F164)</f>
        <v>1813573.3101899724</v>
      </c>
      <c r="G167" s="44">
        <f>IF(AND(Org!$B$8&lt;&gt;"Federated",Org!$B$9="Central budget"),$B$165,0)</f>
        <v>0</v>
      </c>
      <c r="H167" s="44">
        <f>SUM(B167:G167)</f>
        <v>9134935.6800000053</v>
      </c>
    </row>
    <row r="168" spans="1:64" x14ac:dyDescent="0.3">
      <c r="A168" s="8" t="s">
        <v>1037</v>
      </c>
      <c r="B168" s="44">
        <f>$B$165*B170</f>
        <v>9134935.6800000053</v>
      </c>
    </row>
    <row r="169" spans="1:64" x14ac:dyDescent="0.3">
      <c r="A169" s="8" t="s">
        <v>1038</v>
      </c>
      <c r="B169" s="36">
        <f t="shared" ref="B169:G169" si="52">IF($B$165=0,0,B167/$B$165)</f>
        <v>0.29779738583610443</v>
      </c>
      <c r="C169" s="36">
        <f t="shared" si="52"/>
        <v>0.36348072301056861</v>
      </c>
      <c r="D169" s="36">
        <f t="shared" si="52"/>
        <v>0.10700293023408949</v>
      </c>
      <c r="E169" s="36">
        <f t="shared" si="52"/>
        <v>3.3187370361834521E-2</v>
      </c>
      <c r="F169" s="36">
        <f t="shared" si="52"/>
        <v>0.19853159055740296</v>
      </c>
      <c r="G169" s="36">
        <f t="shared" si="52"/>
        <v>0</v>
      </c>
    </row>
    <row r="170" spans="1:64" x14ac:dyDescent="0.3">
      <c r="A170" s="8" t="s">
        <v>662</v>
      </c>
      <c r="B170" s="37">
        <f>IF(Org!$B$8="Federated",Org!$B$18*Params!$F$40,1)</f>
        <v>1</v>
      </c>
    </row>
    <row r="173" spans="1:64" x14ac:dyDescent="0.3">
      <c r="A173" s="7" t="s">
        <v>20</v>
      </c>
    </row>
    <row r="174" spans="1:64" x14ac:dyDescent="0.3">
      <c r="A174" s="8" t="s">
        <v>11</v>
      </c>
      <c r="C174" s="44">
        <f>SUM(D174:BL174)</f>
        <v>26033656.540000007</v>
      </c>
      <c r="D174" s="44">
        <f t="shared" ref="D174:AI174" si="53">D28+D55+D82+D109+D136</f>
        <v>0</v>
      </c>
      <c r="E174" s="44">
        <f t="shared" si="53"/>
        <v>118489.33333333334</v>
      </c>
      <c r="F174" s="44">
        <f t="shared" si="53"/>
        <v>271017.33333333331</v>
      </c>
      <c r="G174" s="44">
        <f t="shared" si="53"/>
        <v>450360.82821333339</v>
      </c>
      <c r="H174" s="44">
        <f t="shared" si="53"/>
        <v>639521.04677333334</v>
      </c>
      <c r="I174" s="44">
        <f t="shared" si="53"/>
        <v>716677.00656000013</v>
      </c>
      <c r="J174" s="44">
        <f t="shared" si="53"/>
        <v>759474.39178666659</v>
      </c>
      <c r="K174" s="44">
        <f t="shared" si="53"/>
        <v>769270.55333333323</v>
      </c>
      <c r="L174" s="44">
        <f t="shared" si="53"/>
        <v>769270.55333333323</v>
      </c>
      <c r="M174" s="44">
        <f t="shared" si="53"/>
        <v>769270.55333333323</v>
      </c>
      <c r="N174" s="44">
        <f t="shared" si="53"/>
        <v>769270.55333333323</v>
      </c>
      <c r="O174" s="44">
        <f t="shared" si="53"/>
        <v>769270.55333333323</v>
      </c>
      <c r="P174" s="44">
        <f t="shared" si="53"/>
        <v>769270.55333333323</v>
      </c>
      <c r="Q174" s="44">
        <f t="shared" si="53"/>
        <v>769270.55333333323</v>
      </c>
      <c r="R174" s="44">
        <f t="shared" si="53"/>
        <v>769270.55333333323</v>
      </c>
      <c r="S174" s="44">
        <f t="shared" si="53"/>
        <v>769270.55333333323</v>
      </c>
      <c r="T174" s="44">
        <f t="shared" si="53"/>
        <v>769270.55333333323</v>
      </c>
      <c r="U174" s="44">
        <f t="shared" si="53"/>
        <v>769270.55333333323</v>
      </c>
      <c r="V174" s="44">
        <f t="shared" si="53"/>
        <v>769270.55333333323</v>
      </c>
      <c r="W174" s="44">
        <f t="shared" si="53"/>
        <v>769270.55333333323</v>
      </c>
      <c r="X174" s="44">
        <f t="shared" si="53"/>
        <v>769270.55333333323</v>
      </c>
      <c r="Y174" s="44">
        <f t="shared" si="53"/>
        <v>769270.55333333323</v>
      </c>
      <c r="Z174" s="44">
        <f t="shared" si="53"/>
        <v>769270.55333333323</v>
      </c>
      <c r="AA174" s="44">
        <f t="shared" si="53"/>
        <v>769270.55333333323</v>
      </c>
      <c r="AB174" s="44">
        <f t="shared" si="53"/>
        <v>769270.55333333323</v>
      </c>
      <c r="AC174" s="44">
        <f t="shared" si="53"/>
        <v>769270.55333333323</v>
      </c>
      <c r="AD174" s="44">
        <f t="shared" si="53"/>
        <v>769270.55333333323</v>
      </c>
      <c r="AE174" s="44">
        <f t="shared" si="53"/>
        <v>769270.55333333323</v>
      </c>
      <c r="AF174" s="44">
        <f t="shared" si="53"/>
        <v>769270.55333333323</v>
      </c>
      <c r="AG174" s="44">
        <f t="shared" si="53"/>
        <v>769270.55333333323</v>
      </c>
      <c r="AH174" s="44">
        <f t="shared" si="53"/>
        <v>769270.55333333323</v>
      </c>
      <c r="AI174" s="44">
        <f t="shared" si="53"/>
        <v>769270.55333333323</v>
      </c>
      <c r="AJ174" s="44">
        <f t="shared" ref="AJ174:BL174" si="54">AJ28+AJ55+AJ82+AJ109+AJ136</f>
        <v>769270.55333333323</v>
      </c>
      <c r="AK174" s="44">
        <f t="shared" si="54"/>
        <v>769270.55333333323</v>
      </c>
      <c r="AL174" s="44">
        <f t="shared" si="54"/>
        <v>769270.55333333323</v>
      </c>
      <c r="AM174" s="44">
        <f t="shared" si="54"/>
        <v>769270.55333333323</v>
      </c>
      <c r="AN174" s="44">
        <f t="shared" si="54"/>
        <v>769270.55333333323</v>
      </c>
      <c r="AO174" s="44">
        <f t="shared" si="54"/>
        <v>0</v>
      </c>
      <c r="AP174" s="44">
        <f t="shared" si="54"/>
        <v>0</v>
      </c>
      <c r="AQ174" s="44">
        <f t="shared" si="54"/>
        <v>0</v>
      </c>
      <c r="AR174" s="44">
        <f t="shared" si="54"/>
        <v>0</v>
      </c>
      <c r="AS174" s="44">
        <f t="shared" si="54"/>
        <v>0</v>
      </c>
      <c r="AT174" s="44">
        <f t="shared" si="54"/>
        <v>0</v>
      </c>
      <c r="AU174" s="44">
        <f t="shared" si="54"/>
        <v>0</v>
      </c>
      <c r="AV174" s="44">
        <f t="shared" si="54"/>
        <v>0</v>
      </c>
      <c r="AW174" s="44">
        <f t="shared" si="54"/>
        <v>0</v>
      </c>
      <c r="AX174" s="44">
        <f t="shared" si="54"/>
        <v>0</v>
      </c>
      <c r="AY174" s="44">
        <f t="shared" si="54"/>
        <v>0</v>
      </c>
      <c r="AZ174" s="44">
        <f t="shared" si="54"/>
        <v>0</v>
      </c>
      <c r="BA174" s="44">
        <f t="shared" si="54"/>
        <v>0</v>
      </c>
      <c r="BB174" s="44">
        <f t="shared" si="54"/>
        <v>0</v>
      </c>
      <c r="BC174" s="44">
        <f t="shared" si="54"/>
        <v>0</v>
      </c>
      <c r="BD174" s="44">
        <f t="shared" si="54"/>
        <v>0</v>
      </c>
      <c r="BE174" s="44">
        <f t="shared" si="54"/>
        <v>0</v>
      </c>
      <c r="BF174" s="44">
        <f t="shared" si="54"/>
        <v>0</v>
      </c>
      <c r="BG174" s="44">
        <f t="shared" si="54"/>
        <v>0</v>
      </c>
      <c r="BH174" s="44">
        <f t="shared" si="54"/>
        <v>0</v>
      </c>
      <c r="BI174" s="44">
        <f t="shared" si="54"/>
        <v>0</v>
      </c>
      <c r="BJ174" s="44">
        <f t="shared" si="54"/>
        <v>0</v>
      </c>
      <c r="BK174" s="44">
        <f t="shared" si="54"/>
        <v>0</v>
      </c>
      <c r="BL174" s="44">
        <f t="shared" si="54"/>
        <v>0</v>
      </c>
    </row>
    <row r="175" spans="1:64" x14ac:dyDescent="0.3">
      <c r="A175" s="8" t="s">
        <v>1039</v>
      </c>
      <c r="C175" s="44">
        <f>SUM(D175:BL175)</f>
        <v>40490618.189066686</v>
      </c>
      <c r="D175" s="44">
        <f t="shared" ref="D175:AI175" si="55">D29+D56+D83+D110+D137</f>
        <v>5423683.6999999993</v>
      </c>
      <c r="E175" s="44">
        <f t="shared" si="55"/>
        <v>441957.14999999991</v>
      </c>
      <c r="F175" s="44">
        <f t="shared" si="55"/>
        <v>604175.06999999995</v>
      </c>
      <c r="G175" s="44">
        <f t="shared" si="55"/>
        <v>792590.44740946661</v>
      </c>
      <c r="H175" s="44">
        <f t="shared" si="55"/>
        <v>952657.35353973333</v>
      </c>
      <c r="I175" s="44">
        <f t="shared" si="55"/>
        <v>1012368.1292435999</v>
      </c>
      <c r="J175" s="44">
        <f t="shared" si="55"/>
        <v>1051349.5553738668</v>
      </c>
      <c r="K175" s="44">
        <f t="shared" si="55"/>
        <v>1000317.7594499999</v>
      </c>
      <c r="L175" s="44">
        <f t="shared" si="55"/>
        <v>999613.7594499999</v>
      </c>
      <c r="M175" s="44">
        <f t="shared" si="55"/>
        <v>997853.7594499999</v>
      </c>
      <c r="N175" s="44">
        <f t="shared" si="55"/>
        <v>997853.7594499999</v>
      </c>
      <c r="O175" s="44">
        <f t="shared" si="55"/>
        <v>997853.7594499999</v>
      </c>
      <c r="P175" s="44">
        <f t="shared" si="55"/>
        <v>997853.7594499999</v>
      </c>
      <c r="Q175" s="44">
        <f t="shared" si="55"/>
        <v>1079453.7594499998</v>
      </c>
      <c r="R175" s="44">
        <f t="shared" si="55"/>
        <v>1025053.7594499999</v>
      </c>
      <c r="S175" s="44">
        <f t="shared" si="55"/>
        <v>1025053.7594499999</v>
      </c>
      <c r="T175" s="44">
        <f t="shared" si="55"/>
        <v>997853.7594499999</v>
      </c>
      <c r="U175" s="44">
        <f t="shared" si="55"/>
        <v>997853.7594499999</v>
      </c>
      <c r="V175" s="44">
        <f t="shared" si="55"/>
        <v>997853.7594499999</v>
      </c>
      <c r="W175" s="44">
        <f t="shared" si="55"/>
        <v>997853.7594499999</v>
      </c>
      <c r="X175" s="44">
        <f t="shared" si="55"/>
        <v>997853.7594499999</v>
      </c>
      <c r="Y175" s="44">
        <f t="shared" si="55"/>
        <v>997853.7594499999</v>
      </c>
      <c r="Z175" s="44">
        <f t="shared" si="55"/>
        <v>997853.7594499999</v>
      </c>
      <c r="AA175" s="44">
        <f t="shared" si="55"/>
        <v>997853.7594499999</v>
      </c>
      <c r="AB175" s="44">
        <f t="shared" si="55"/>
        <v>997853.7594499999</v>
      </c>
      <c r="AC175" s="44">
        <f t="shared" si="55"/>
        <v>1079453.7594499998</v>
      </c>
      <c r="AD175" s="44">
        <f t="shared" si="55"/>
        <v>1025053.7594499999</v>
      </c>
      <c r="AE175" s="44">
        <f t="shared" si="55"/>
        <v>1025053.7594499999</v>
      </c>
      <c r="AF175" s="44">
        <f t="shared" si="55"/>
        <v>997853.7594499999</v>
      </c>
      <c r="AG175" s="44">
        <f t="shared" si="55"/>
        <v>997853.7594499999</v>
      </c>
      <c r="AH175" s="44">
        <f t="shared" si="55"/>
        <v>997853.7594499999</v>
      </c>
      <c r="AI175" s="44">
        <f t="shared" si="55"/>
        <v>997853.7594499999</v>
      </c>
      <c r="AJ175" s="44">
        <f t="shared" ref="AJ175:BL175" si="56">AJ29+AJ56+AJ83+AJ110+AJ137</f>
        <v>997853.7594499999</v>
      </c>
      <c r="AK175" s="44">
        <f t="shared" si="56"/>
        <v>997853.7594499999</v>
      </c>
      <c r="AL175" s="44">
        <f t="shared" si="56"/>
        <v>997853.7594499999</v>
      </c>
      <c r="AM175" s="44">
        <f t="shared" si="56"/>
        <v>997853.7594499999</v>
      </c>
      <c r="AN175" s="44">
        <f t="shared" si="56"/>
        <v>997853.7594499999</v>
      </c>
      <c r="AO175" s="44">
        <f t="shared" si="56"/>
        <v>0</v>
      </c>
      <c r="AP175" s="44">
        <f t="shared" si="56"/>
        <v>0</v>
      </c>
      <c r="AQ175" s="44">
        <f t="shared" si="56"/>
        <v>0</v>
      </c>
      <c r="AR175" s="44">
        <f t="shared" si="56"/>
        <v>0</v>
      </c>
      <c r="AS175" s="44">
        <f t="shared" si="56"/>
        <v>0</v>
      </c>
      <c r="AT175" s="44">
        <f t="shared" si="56"/>
        <v>0</v>
      </c>
      <c r="AU175" s="44">
        <f t="shared" si="56"/>
        <v>0</v>
      </c>
      <c r="AV175" s="44">
        <f t="shared" si="56"/>
        <v>0</v>
      </c>
      <c r="AW175" s="44">
        <f t="shared" si="56"/>
        <v>0</v>
      </c>
      <c r="AX175" s="44">
        <f t="shared" si="56"/>
        <v>0</v>
      </c>
      <c r="AY175" s="44">
        <f t="shared" si="56"/>
        <v>0</v>
      </c>
      <c r="AZ175" s="44">
        <f t="shared" si="56"/>
        <v>0</v>
      </c>
      <c r="BA175" s="44">
        <f t="shared" si="56"/>
        <v>0</v>
      </c>
      <c r="BB175" s="44">
        <f t="shared" si="56"/>
        <v>0</v>
      </c>
      <c r="BC175" s="44">
        <f t="shared" si="56"/>
        <v>0</v>
      </c>
      <c r="BD175" s="44">
        <f t="shared" si="56"/>
        <v>0</v>
      </c>
      <c r="BE175" s="44">
        <f t="shared" si="56"/>
        <v>0</v>
      </c>
      <c r="BF175" s="44">
        <f t="shared" si="56"/>
        <v>0</v>
      </c>
      <c r="BG175" s="44">
        <f t="shared" si="56"/>
        <v>0</v>
      </c>
      <c r="BH175" s="44">
        <f t="shared" si="56"/>
        <v>0</v>
      </c>
      <c r="BI175" s="44">
        <f t="shared" si="56"/>
        <v>0</v>
      </c>
      <c r="BJ175" s="44">
        <f t="shared" si="56"/>
        <v>0</v>
      </c>
      <c r="BK175" s="44">
        <f t="shared" si="56"/>
        <v>0</v>
      </c>
      <c r="BL175" s="44">
        <f t="shared" si="56"/>
        <v>0</v>
      </c>
    </row>
    <row r="176" spans="1:64" x14ac:dyDescent="0.3">
      <c r="A176" s="8" t="s">
        <v>1040</v>
      </c>
      <c r="C176" s="44">
        <f>SUM(D176:BL176)</f>
        <v>9134935.6800000053</v>
      </c>
      <c r="D176" s="44">
        <f t="shared" ref="D176:AI176" si="57">D158*$B$170</f>
        <v>620000</v>
      </c>
      <c r="E176" s="44">
        <f t="shared" si="57"/>
        <v>236409.13333333333</v>
      </c>
      <c r="F176" s="44">
        <f t="shared" si="57"/>
        <v>236436.45185185186</v>
      </c>
      <c r="G176" s="44">
        <f t="shared" si="57"/>
        <v>236470.07230814814</v>
      </c>
      <c r="H176" s="44">
        <f t="shared" si="57"/>
        <v>236505.30741333333</v>
      </c>
      <c r="I176" s="44">
        <f t="shared" si="57"/>
        <v>236523.98443851853</v>
      </c>
      <c r="J176" s="44">
        <f t="shared" si="57"/>
        <v>236533.53065481482</v>
      </c>
      <c r="K176" s="44">
        <f t="shared" si="57"/>
        <v>236535.24</v>
      </c>
      <c r="L176" s="44">
        <f t="shared" si="57"/>
        <v>236535.24</v>
      </c>
      <c r="M176" s="44">
        <f t="shared" si="57"/>
        <v>236535.24</v>
      </c>
      <c r="N176" s="44">
        <f t="shared" si="57"/>
        <v>236535.24</v>
      </c>
      <c r="O176" s="44">
        <f t="shared" si="57"/>
        <v>236535.24</v>
      </c>
      <c r="P176" s="44">
        <f t="shared" si="57"/>
        <v>236535.24</v>
      </c>
      <c r="Q176" s="44">
        <f t="shared" si="57"/>
        <v>236535.24</v>
      </c>
      <c r="R176" s="44">
        <f t="shared" si="57"/>
        <v>236535.24</v>
      </c>
      <c r="S176" s="44">
        <f t="shared" si="57"/>
        <v>236535.24</v>
      </c>
      <c r="T176" s="44">
        <f t="shared" si="57"/>
        <v>236535.24</v>
      </c>
      <c r="U176" s="44">
        <f t="shared" si="57"/>
        <v>236535.24</v>
      </c>
      <c r="V176" s="44">
        <f t="shared" si="57"/>
        <v>236535.24</v>
      </c>
      <c r="W176" s="44">
        <f t="shared" si="57"/>
        <v>236535.24</v>
      </c>
      <c r="X176" s="44">
        <f t="shared" si="57"/>
        <v>236535.24</v>
      </c>
      <c r="Y176" s="44">
        <f t="shared" si="57"/>
        <v>236535.24</v>
      </c>
      <c r="Z176" s="44">
        <f t="shared" si="57"/>
        <v>236535.24</v>
      </c>
      <c r="AA176" s="44">
        <f t="shared" si="57"/>
        <v>236535.24</v>
      </c>
      <c r="AB176" s="44">
        <f t="shared" si="57"/>
        <v>236535.24</v>
      </c>
      <c r="AC176" s="44">
        <f t="shared" si="57"/>
        <v>236535.24</v>
      </c>
      <c r="AD176" s="44">
        <f t="shared" si="57"/>
        <v>236535.24</v>
      </c>
      <c r="AE176" s="44">
        <f t="shared" si="57"/>
        <v>236535.24</v>
      </c>
      <c r="AF176" s="44">
        <f t="shared" si="57"/>
        <v>236535.24</v>
      </c>
      <c r="AG176" s="44">
        <f t="shared" si="57"/>
        <v>236535.24</v>
      </c>
      <c r="AH176" s="44">
        <f t="shared" si="57"/>
        <v>236535.24</v>
      </c>
      <c r="AI176" s="44">
        <f t="shared" si="57"/>
        <v>236535.24</v>
      </c>
      <c r="AJ176" s="44">
        <f t="shared" ref="AJ176:BL176" si="58">AJ158*$B$170</f>
        <v>236535.24</v>
      </c>
      <c r="AK176" s="44">
        <f t="shared" si="58"/>
        <v>236535.24</v>
      </c>
      <c r="AL176" s="44">
        <f t="shared" si="58"/>
        <v>236535.24</v>
      </c>
      <c r="AM176" s="44">
        <f t="shared" si="58"/>
        <v>236535.24</v>
      </c>
      <c r="AN176" s="44">
        <f t="shared" si="58"/>
        <v>236535.24</v>
      </c>
      <c r="AO176" s="44">
        <f t="shared" si="58"/>
        <v>0</v>
      </c>
      <c r="AP176" s="44">
        <f t="shared" si="58"/>
        <v>0</v>
      </c>
      <c r="AQ176" s="44">
        <f t="shared" si="58"/>
        <v>0</v>
      </c>
      <c r="AR176" s="44">
        <f t="shared" si="58"/>
        <v>0</v>
      </c>
      <c r="AS176" s="44">
        <f t="shared" si="58"/>
        <v>0</v>
      </c>
      <c r="AT176" s="44">
        <f t="shared" si="58"/>
        <v>0</v>
      </c>
      <c r="AU176" s="44">
        <f t="shared" si="58"/>
        <v>0</v>
      </c>
      <c r="AV176" s="44">
        <f t="shared" si="58"/>
        <v>0</v>
      </c>
      <c r="AW176" s="44">
        <f t="shared" si="58"/>
        <v>0</v>
      </c>
      <c r="AX176" s="44">
        <f t="shared" si="58"/>
        <v>0</v>
      </c>
      <c r="AY176" s="44">
        <f t="shared" si="58"/>
        <v>0</v>
      </c>
      <c r="AZ176" s="44">
        <f t="shared" si="58"/>
        <v>0</v>
      </c>
      <c r="BA176" s="44">
        <f t="shared" si="58"/>
        <v>0</v>
      </c>
      <c r="BB176" s="44">
        <f t="shared" si="58"/>
        <v>0</v>
      </c>
      <c r="BC176" s="44">
        <f t="shared" si="58"/>
        <v>0</v>
      </c>
      <c r="BD176" s="44">
        <f t="shared" si="58"/>
        <v>0</v>
      </c>
      <c r="BE176" s="44">
        <f t="shared" si="58"/>
        <v>0</v>
      </c>
      <c r="BF176" s="44">
        <f t="shared" si="58"/>
        <v>0</v>
      </c>
      <c r="BG176" s="44">
        <f t="shared" si="58"/>
        <v>0</v>
      </c>
      <c r="BH176" s="44">
        <f t="shared" si="58"/>
        <v>0</v>
      </c>
      <c r="BI176" s="44">
        <f t="shared" si="58"/>
        <v>0</v>
      </c>
      <c r="BJ176" s="44">
        <f t="shared" si="58"/>
        <v>0</v>
      </c>
      <c r="BK176" s="44">
        <f t="shared" si="58"/>
        <v>0</v>
      </c>
      <c r="BL176" s="44">
        <f t="shared" si="58"/>
        <v>0</v>
      </c>
    </row>
    <row r="177" spans="1:64" x14ac:dyDescent="0.3">
      <c r="A177" s="8" t="s">
        <v>1012</v>
      </c>
      <c r="C177" s="44">
        <f>SUM(D177:BL177)</f>
        <v>-23591897.329066683</v>
      </c>
      <c r="D177" s="44">
        <f t="shared" ref="D177:AI177" si="59">D174-D175-D176</f>
        <v>-6043683.6999999993</v>
      </c>
      <c r="E177" s="44">
        <f t="shared" si="59"/>
        <v>-559876.94999999984</v>
      </c>
      <c r="F177" s="44">
        <f t="shared" si="59"/>
        <v>-569594.18851851847</v>
      </c>
      <c r="G177" s="44">
        <f t="shared" si="59"/>
        <v>-578699.69150428136</v>
      </c>
      <c r="H177" s="44">
        <f t="shared" si="59"/>
        <v>-549641.61417973333</v>
      </c>
      <c r="I177" s="44">
        <f t="shared" si="59"/>
        <v>-532215.10712211835</v>
      </c>
      <c r="J177" s="44">
        <f t="shared" si="59"/>
        <v>-528408.69424201502</v>
      </c>
      <c r="K177" s="44">
        <f t="shared" si="59"/>
        <v>-467582.44611666666</v>
      </c>
      <c r="L177" s="44">
        <f t="shared" si="59"/>
        <v>-466878.44611666666</v>
      </c>
      <c r="M177" s="44">
        <f t="shared" si="59"/>
        <v>-465118.44611666666</v>
      </c>
      <c r="N177" s="44">
        <f t="shared" si="59"/>
        <v>-465118.44611666666</v>
      </c>
      <c r="O177" s="44">
        <f t="shared" si="59"/>
        <v>-465118.44611666666</v>
      </c>
      <c r="P177" s="44">
        <f t="shared" si="59"/>
        <v>-465118.44611666666</v>
      </c>
      <c r="Q177" s="44">
        <f t="shared" si="59"/>
        <v>-546718.44611666654</v>
      </c>
      <c r="R177" s="44">
        <f t="shared" si="59"/>
        <v>-492318.44611666666</v>
      </c>
      <c r="S177" s="44">
        <f t="shared" si="59"/>
        <v>-492318.44611666666</v>
      </c>
      <c r="T177" s="44">
        <f t="shared" si="59"/>
        <v>-465118.44611666666</v>
      </c>
      <c r="U177" s="44">
        <f t="shared" si="59"/>
        <v>-465118.44611666666</v>
      </c>
      <c r="V177" s="44">
        <f t="shared" si="59"/>
        <v>-465118.44611666666</v>
      </c>
      <c r="W177" s="44">
        <f t="shared" si="59"/>
        <v>-465118.44611666666</v>
      </c>
      <c r="X177" s="44">
        <f t="shared" si="59"/>
        <v>-465118.44611666666</v>
      </c>
      <c r="Y177" s="44">
        <f t="shared" si="59"/>
        <v>-465118.44611666666</v>
      </c>
      <c r="Z177" s="44">
        <f t="shared" si="59"/>
        <v>-465118.44611666666</v>
      </c>
      <c r="AA177" s="44">
        <f t="shared" si="59"/>
        <v>-465118.44611666666</v>
      </c>
      <c r="AB177" s="44">
        <f t="shared" si="59"/>
        <v>-465118.44611666666</v>
      </c>
      <c r="AC177" s="44">
        <f t="shared" si="59"/>
        <v>-546718.44611666654</v>
      </c>
      <c r="AD177" s="44">
        <f t="shared" si="59"/>
        <v>-492318.44611666666</v>
      </c>
      <c r="AE177" s="44">
        <f t="shared" si="59"/>
        <v>-492318.44611666666</v>
      </c>
      <c r="AF177" s="44">
        <f t="shared" si="59"/>
        <v>-465118.44611666666</v>
      </c>
      <c r="AG177" s="44">
        <f t="shared" si="59"/>
        <v>-465118.44611666666</v>
      </c>
      <c r="AH177" s="44">
        <f t="shared" si="59"/>
        <v>-465118.44611666666</v>
      </c>
      <c r="AI177" s="44">
        <f t="shared" si="59"/>
        <v>-465118.44611666666</v>
      </c>
      <c r="AJ177" s="44">
        <f t="shared" ref="AJ177:BO177" si="60">AJ174-AJ175-AJ176</f>
        <v>-465118.44611666666</v>
      </c>
      <c r="AK177" s="44">
        <f t="shared" si="60"/>
        <v>-465118.44611666666</v>
      </c>
      <c r="AL177" s="44">
        <f t="shared" si="60"/>
        <v>-465118.44611666666</v>
      </c>
      <c r="AM177" s="44">
        <f t="shared" si="60"/>
        <v>-465118.44611666666</v>
      </c>
      <c r="AN177" s="44">
        <f t="shared" si="60"/>
        <v>-465118.44611666666</v>
      </c>
      <c r="AO177" s="44">
        <f t="shared" si="60"/>
        <v>0</v>
      </c>
      <c r="AP177" s="44">
        <f t="shared" si="60"/>
        <v>0</v>
      </c>
      <c r="AQ177" s="44">
        <f t="shared" si="60"/>
        <v>0</v>
      </c>
      <c r="AR177" s="44">
        <f t="shared" si="60"/>
        <v>0</v>
      </c>
      <c r="AS177" s="44">
        <f t="shared" si="60"/>
        <v>0</v>
      </c>
      <c r="AT177" s="44">
        <f t="shared" si="60"/>
        <v>0</v>
      </c>
      <c r="AU177" s="44">
        <f t="shared" si="60"/>
        <v>0</v>
      </c>
      <c r="AV177" s="44">
        <f t="shared" si="60"/>
        <v>0</v>
      </c>
      <c r="AW177" s="44">
        <f t="shared" si="60"/>
        <v>0</v>
      </c>
      <c r="AX177" s="44">
        <f t="shared" si="60"/>
        <v>0</v>
      </c>
      <c r="AY177" s="44">
        <f t="shared" si="60"/>
        <v>0</v>
      </c>
      <c r="AZ177" s="44">
        <f t="shared" si="60"/>
        <v>0</v>
      </c>
      <c r="BA177" s="44">
        <f t="shared" si="60"/>
        <v>0</v>
      </c>
      <c r="BB177" s="44">
        <f t="shared" si="60"/>
        <v>0</v>
      </c>
      <c r="BC177" s="44">
        <f t="shared" si="60"/>
        <v>0</v>
      </c>
      <c r="BD177" s="44">
        <f t="shared" si="60"/>
        <v>0</v>
      </c>
      <c r="BE177" s="44">
        <f t="shared" si="60"/>
        <v>0</v>
      </c>
      <c r="BF177" s="44">
        <f t="shared" si="60"/>
        <v>0</v>
      </c>
      <c r="BG177" s="44">
        <f t="shared" si="60"/>
        <v>0</v>
      </c>
      <c r="BH177" s="44">
        <f t="shared" si="60"/>
        <v>0</v>
      </c>
      <c r="BI177" s="44">
        <f t="shared" si="60"/>
        <v>0</v>
      </c>
      <c r="BJ177" s="44">
        <f t="shared" si="60"/>
        <v>0</v>
      </c>
      <c r="BK177" s="44">
        <f t="shared" si="60"/>
        <v>0</v>
      </c>
      <c r="BL177" s="44">
        <f t="shared" si="60"/>
        <v>0</v>
      </c>
    </row>
    <row r="178" spans="1:64" x14ac:dyDescent="0.3">
      <c r="A178" s="8" t="s">
        <v>1013</v>
      </c>
      <c r="D178" s="44">
        <f>D177</f>
        <v>-6043683.6999999993</v>
      </c>
      <c r="E178" s="44">
        <f t="shared" ref="E178:AJ178" si="61">D178+E177</f>
        <v>-6603560.6499999994</v>
      </c>
      <c r="F178" s="44">
        <f t="shared" si="61"/>
        <v>-7173154.838518518</v>
      </c>
      <c r="G178" s="44">
        <f t="shared" si="61"/>
        <v>-7751854.530022799</v>
      </c>
      <c r="H178" s="44">
        <f t="shared" si="61"/>
        <v>-8301496.1442025322</v>
      </c>
      <c r="I178" s="44">
        <f t="shared" si="61"/>
        <v>-8833711.2513246499</v>
      </c>
      <c r="J178" s="44">
        <f t="shared" si="61"/>
        <v>-9362119.9455666654</v>
      </c>
      <c r="K178" s="44">
        <f t="shared" si="61"/>
        <v>-9829702.3916833326</v>
      </c>
      <c r="L178" s="44">
        <f t="shared" si="61"/>
        <v>-10296580.8378</v>
      </c>
      <c r="M178" s="44">
        <f t="shared" si="61"/>
        <v>-10761699.283916667</v>
      </c>
      <c r="N178" s="44">
        <f t="shared" si="61"/>
        <v>-11226817.730033334</v>
      </c>
      <c r="O178" s="44">
        <f t="shared" si="61"/>
        <v>-11691936.176150002</v>
      </c>
      <c r="P178" s="44">
        <f t="shared" si="61"/>
        <v>-12157054.622266669</v>
      </c>
      <c r="Q178" s="44">
        <f t="shared" si="61"/>
        <v>-12703773.068383336</v>
      </c>
      <c r="R178" s="44">
        <f t="shared" si="61"/>
        <v>-13196091.514500003</v>
      </c>
      <c r="S178" s="44">
        <f t="shared" si="61"/>
        <v>-13688409.960616671</v>
      </c>
      <c r="T178" s="44">
        <f t="shared" si="61"/>
        <v>-14153528.406733338</v>
      </c>
      <c r="U178" s="44">
        <f t="shared" si="61"/>
        <v>-14618646.852850005</v>
      </c>
      <c r="V178" s="44">
        <f t="shared" si="61"/>
        <v>-15083765.298966672</v>
      </c>
      <c r="W178" s="44">
        <f t="shared" si="61"/>
        <v>-15548883.74508334</v>
      </c>
      <c r="X178" s="44">
        <f t="shared" si="61"/>
        <v>-16014002.191200007</v>
      </c>
      <c r="Y178" s="44">
        <f t="shared" si="61"/>
        <v>-16479120.637316674</v>
      </c>
      <c r="Z178" s="44">
        <f t="shared" si="61"/>
        <v>-16944239.083433341</v>
      </c>
      <c r="AA178" s="44">
        <f t="shared" si="61"/>
        <v>-17409357.529550008</v>
      </c>
      <c r="AB178" s="44">
        <f t="shared" si="61"/>
        <v>-17874475.975666676</v>
      </c>
      <c r="AC178" s="44">
        <f t="shared" si="61"/>
        <v>-18421194.421783343</v>
      </c>
      <c r="AD178" s="44">
        <f t="shared" si="61"/>
        <v>-18913512.86790001</v>
      </c>
      <c r="AE178" s="44">
        <f t="shared" si="61"/>
        <v>-19405831.314016677</v>
      </c>
      <c r="AF178" s="44">
        <f t="shared" si="61"/>
        <v>-19870949.760133345</v>
      </c>
      <c r="AG178" s="44">
        <f t="shared" si="61"/>
        <v>-20336068.206250012</v>
      </c>
      <c r="AH178" s="44">
        <f t="shared" si="61"/>
        <v>-20801186.652366679</v>
      </c>
      <c r="AI178" s="44">
        <f t="shared" si="61"/>
        <v>-21266305.098483346</v>
      </c>
      <c r="AJ178" s="44">
        <f t="shared" si="61"/>
        <v>-21731423.544600014</v>
      </c>
      <c r="AK178" s="44">
        <f t="shared" ref="AK178:BP178" si="62">AJ178+AK177</f>
        <v>-22196541.990716681</v>
      </c>
      <c r="AL178" s="44">
        <f t="shared" si="62"/>
        <v>-22661660.436833348</v>
      </c>
      <c r="AM178" s="44">
        <f t="shared" si="62"/>
        <v>-23126778.882950015</v>
      </c>
      <c r="AN178" s="44">
        <f t="shared" si="62"/>
        <v>-23591897.329066683</v>
      </c>
      <c r="AO178" s="44">
        <f t="shared" si="62"/>
        <v>-23591897.329066683</v>
      </c>
      <c r="AP178" s="44">
        <f t="shared" si="62"/>
        <v>-23591897.329066683</v>
      </c>
      <c r="AQ178" s="44">
        <f t="shared" si="62"/>
        <v>-23591897.329066683</v>
      </c>
      <c r="AR178" s="44">
        <f t="shared" si="62"/>
        <v>-23591897.329066683</v>
      </c>
      <c r="AS178" s="44">
        <f t="shared" si="62"/>
        <v>-23591897.329066683</v>
      </c>
      <c r="AT178" s="44">
        <f t="shared" si="62"/>
        <v>-23591897.329066683</v>
      </c>
      <c r="AU178" s="44">
        <f t="shared" si="62"/>
        <v>-23591897.329066683</v>
      </c>
      <c r="AV178" s="44">
        <f t="shared" si="62"/>
        <v>-23591897.329066683</v>
      </c>
      <c r="AW178" s="44">
        <f t="shared" si="62"/>
        <v>-23591897.329066683</v>
      </c>
      <c r="AX178" s="44">
        <f t="shared" si="62"/>
        <v>-23591897.329066683</v>
      </c>
      <c r="AY178" s="44">
        <f t="shared" si="62"/>
        <v>-23591897.329066683</v>
      </c>
      <c r="AZ178" s="44">
        <f t="shared" si="62"/>
        <v>-23591897.329066683</v>
      </c>
      <c r="BA178" s="44">
        <f t="shared" si="62"/>
        <v>-23591897.329066683</v>
      </c>
      <c r="BB178" s="44">
        <f t="shared" si="62"/>
        <v>-23591897.329066683</v>
      </c>
      <c r="BC178" s="44">
        <f t="shared" si="62"/>
        <v>-23591897.329066683</v>
      </c>
      <c r="BD178" s="44">
        <f t="shared" si="62"/>
        <v>-23591897.329066683</v>
      </c>
      <c r="BE178" s="44">
        <f t="shared" si="62"/>
        <v>-23591897.329066683</v>
      </c>
      <c r="BF178" s="44">
        <f t="shared" si="62"/>
        <v>-23591897.329066683</v>
      </c>
      <c r="BG178" s="44">
        <f t="shared" si="62"/>
        <v>-23591897.329066683</v>
      </c>
      <c r="BH178" s="44">
        <f t="shared" si="62"/>
        <v>-23591897.329066683</v>
      </c>
      <c r="BI178" s="44">
        <f t="shared" si="62"/>
        <v>-23591897.329066683</v>
      </c>
      <c r="BJ178" s="44">
        <f t="shared" si="62"/>
        <v>-23591897.329066683</v>
      </c>
      <c r="BK178" s="44">
        <f t="shared" si="62"/>
        <v>-23591897.329066683</v>
      </c>
      <c r="BL178" s="44">
        <f t="shared" si="62"/>
        <v>-23591897.329066683</v>
      </c>
    </row>
    <row r="179" spans="1:64" x14ac:dyDescent="0.3">
      <c r="A179" s="8" t="s">
        <v>1014</v>
      </c>
      <c r="C179" s="22" t="str">
        <f>IF(COUNT(E179:BL179)=0,"None",MIN(E179:BL179))</f>
        <v>None</v>
      </c>
      <c r="E179" s="22" t="str">
        <f>IF(AND(E$4&lt;=Org!$B$5,E178&gt;=0),E$4,"")</f>
        <v/>
      </c>
      <c r="F179" s="22" t="str">
        <f>IF(AND(F$4&lt;=Org!$B$5,F178&gt;=0),F$4,"")</f>
        <v/>
      </c>
      <c r="G179" s="22" t="str">
        <f>IF(AND(G$4&lt;=Org!$B$5,G178&gt;=0),G$4,"")</f>
        <v/>
      </c>
      <c r="H179" s="22" t="str">
        <f>IF(AND(H$4&lt;=Org!$B$5,H178&gt;=0),H$4,"")</f>
        <v/>
      </c>
      <c r="I179" s="22" t="str">
        <f>IF(AND(I$4&lt;=Org!$B$5,I178&gt;=0),I$4,"")</f>
        <v/>
      </c>
      <c r="J179" s="22" t="str">
        <f>IF(AND(J$4&lt;=Org!$B$5,J178&gt;=0),J$4,"")</f>
        <v/>
      </c>
      <c r="K179" s="22" t="str">
        <f>IF(AND(K$4&lt;=Org!$B$5,K178&gt;=0),K$4,"")</f>
        <v/>
      </c>
      <c r="L179" s="22" t="str">
        <f>IF(AND(L$4&lt;=Org!$B$5,L178&gt;=0),L$4,"")</f>
        <v/>
      </c>
      <c r="M179" s="22" t="str">
        <f>IF(AND(M$4&lt;=Org!$B$5,M178&gt;=0),M$4,"")</f>
        <v/>
      </c>
      <c r="N179" s="22" t="str">
        <f>IF(AND(N$4&lt;=Org!$B$5,N178&gt;=0),N$4,"")</f>
        <v/>
      </c>
      <c r="O179" s="22" t="str">
        <f>IF(AND(O$4&lt;=Org!$B$5,O178&gt;=0),O$4,"")</f>
        <v/>
      </c>
      <c r="P179" s="22" t="str">
        <f>IF(AND(P$4&lt;=Org!$B$5,P178&gt;=0),P$4,"")</f>
        <v/>
      </c>
      <c r="Q179" s="22" t="str">
        <f>IF(AND(Q$4&lt;=Org!$B$5,Q178&gt;=0),Q$4,"")</f>
        <v/>
      </c>
      <c r="R179" s="22" t="str">
        <f>IF(AND(R$4&lt;=Org!$B$5,R178&gt;=0),R$4,"")</f>
        <v/>
      </c>
      <c r="S179" s="22" t="str">
        <f>IF(AND(S$4&lt;=Org!$B$5,S178&gt;=0),S$4,"")</f>
        <v/>
      </c>
      <c r="T179" s="22" t="str">
        <f>IF(AND(T$4&lt;=Org!$B$5,T178&gt;=0),T$4,"")</f>
        <v/>
      </c>
      <c r="U179" s="22" t="str">
        <f>IF(AND(U$4&lt;=Org!$B$5,U178&gt;=0),U$4,"")</f>
        <v/>
      </c>
      <c r="V179" s="22" t="str">
        <f>IF(AND(V$4&lt;=Org!$B$5,V178&gt;=0),V$4,"")</f>
        <v/>
      </c>
      <c r="W179" s="22" t="str">
        <f>IF(AND(W$4&lt;=Org!$B$5,W178&gt;=0),W$4,"")</f>
        <v/>
      </c>
      <c r="X179" s="22" t="str">
        <f>IF(AND(X$4&lt;=Org!$B$5,X178&gt;=0),X$4,"")</f>
        <v/>
      </c>
      <c r="Y179" s="22" t="str">
        <f>IF(AND(Y$4&lt;=Org!$B$5,Y178&gt;=0),Y$4,"")</f>
        <v/>
      </c>
      <c r="Z179" s="22" t="str">
        <f>IF(AND(Z$4&lt;=Org!$B$5,Z178&gt;=0),Z$4,"")</f>
        <v/>
      </c>
      <c r="AA179" s="22" t="str">
        <f>IF(AND(AA$4&lt;=Org!$B$5,AA178&gt;=0),AA$4,"")</f>
        <v/>
      </c>
      <c r="AB179" s="22" t="str">
        <f>IF(AND(AB$4&lt;=Org!$B$5,AB178&gt;=0),AB$4,"")</f>
        <v/>
      </c>
      <c r="AC179" s="22" t="str">
        <f>IF(AND(AC$4&lt;=Org!$B$5,AC178&gt;=0),AC$4,"")</f>
        <v/>
      </c>
      <c r="AD179" s="22" t="str">
        <f>IF(AND(AD$4&lt;=Org!$B$5,AD178&gt;=0),AD$4,"")</f>
        <v/>
      </c>
      <c r="AE179" s="22" t="str">
        <f>IF(AND(AE$4&lt;=Org!$B$5,AE178&gt;=0),AE$4,"")</f>
        <v/>
      </c>
      <c r="AF179" s="22" t="str">
        <f>IF(AND(AF$4&lt;=Org!$B$5,AF178&gt;=0),AF$4,"")</f>
        <v/>
      </c>
      <c r="AG179" s="22" t="str">
        <f>IF(AND(AG$4&lt;=Org!$B$5,AG178&gt;=0),AG$4,"")</f>
        <v/>
      </c>
      <c r="AH179" s="22" t="str">
        <f>IF(AND(AH$4&lt;=Org!$B$5,AH178&gt;=0),AH$4,"")</f>
        <v/>
      </c>
      <c r="AI179" s="22" t="str">
        <f>IF(AND(AI$4&lt;=Org!$B$5,AI178&gt;=0),AI$4,"")</f>
        <v/>
      </c>
      <c r="AJ179" s="22" t="str">
        <f>IF(AND(AJ$4&lt;=Org!$B$5,AJ178&gt;=0),AJ$4,"")</f>
        <v/>
      </c>
      <c r="AK179" s="22" t="str">
        <f>IF(AND(AK$4&lt;=Org!$B$5,AK178&gt;=0),AK$4,"")</f>
        <v/>
      </c>
      <c r="AL179" s="22" t="str">
        <f>IF(AND(AL$4&lt;=Org!$B$5,AL178&gt;=0),AL$4,"")</f>
        <v/>
      </c>
      <c r="AM179" s="22" t="str">
        <f>IF(AND(AM$4&lt;=Org!$B$5,AM178&gt;=0),AM$4,"")</f>
        <v/>
      </c>
      <c r="AN179" s="22" t="str">
        <f>IF(AND(AN$4&lt;=Org!$B$5,AN178&gt;=0),AN$4,"")</f>
        <v/>
      </c>
      <c r="AO179" s="22" t="str">
        <f>IF(AND(AO$4&lt;=Org!$B$5,AO178&gt;=0),AO$4,"")</f>
        <v/>
      </c>
      <c r="AP179" s="22" t="str">
        <f>IF(AND(AP$4&lt;=Org!$B$5,AP178&gt;=0),AP$4,"")</f>
        <v/>
      </c>
      <c r="AQ179" s="22" t="str">
        <f>IF(AND(AQ$4&lt;=Org!$B$5,AQ178&gt;=0),AQ$4,"")</f>
        <v/>
      </c>
      <c r="AR179" s="22" t="str">
        <f>IF(AND(AR$4&lt;=Org!$B$5,AR178&gt;=0),AR$4,"")</f>
        <v/>
      </c>
      <c r="AS179" s="22" t="str">
        <f>IF(AND(AS$4&lt;=Org!$B$5,AS178&gt;=0),AS$4,"")</f>
        <v/>
      </c>
      <c r="AT179" s="22" t="str">
        <f>IF(AND(AT$4&lt;=Org!$B$5,AT178&gt;=0),AT$4,"")</f>
        <v/>
      </c>
      <c r="AU179" s="22" t="str">
        <f>IF(AND(AU$4&lt;=Org!$B$5,AU178&gt;=0),AU$4,"")</f>
        <v/>
      </c>
      <c r="AV179" s="22" t="str">
        <f>IF(AND(AV$4&lt;=Org!$B$5,AV178&gt;=0),AV$4,"")</f>
        <v/>
      </c>
      <c r="AW179" s="22" t="str">
        <f>IF(AND(AW$4&lt;=Org!$B$5,AW178&gt;=0),AW$4,"")</f>
        <v/>
      </c>
      <c r="AX179" s="22" t="str">
        <f>IF(AND(AX$4&lt;=Org!$B$5,AX178&gt;=0),AX$4,"")</f>
        <v/>
      </c>
      <c r="AY179" s="22" t="str">
        <f>IF(AND(AY$4&lt;=Org!$B$5,AY178&gt;=0),AY$4,"")</f>
        <v/>
      </c>
      <c r="AZ179" s="22" t="str">
        <f>IF(AND(AZ$4&lt;=Org!$B$5,AZ178&gt;=0),AZ$4,"")</f>
        <v/>
      </c>
      <c r="BA179" s="22" t="str">
        <f>IF(AND(BA$4&lt;=Org!$B$5,BA178&gt;=0),BA$4,"")</f>
        <v/>
      </c>
      <c r="BB179" s="22" t="str">
        <f>IF(AND(BB$4&lt;=Org!$B$5,BB178&gt;=0),BB$4,"")</f>
        <v/>
      </c>
      <c r="BC179" s="22" t="str">
        <f>IF(AND(BC$4&lt;=Org!$B$5,BC178&gt;=0),BC$4,"")</f>
        <v/>
      </c>
      <c r="BD179" s="22" t="str">
        <f>IF(AND(BD$4&lt;=Org!$B$5,BD178&gt;=0),BD$4,"")</f>
        <v/>
      </c>
      <c r="BE179" s="22" t="str">
        <f>IF(AND(BE$4&lt;=Org!$B$5,BE178&gt;=0),BE$4,"")</f>
        <v/>
      </c>
      <c r="BF179" s="22" t="str">
        <f>IF(AND(BF$4&lt;=Org!$B$5,BF178&gt;=0),BF$4,"")</f>
        <v/>
      </c>
      <c r="BG179" s="22" t="str">
        <f>IF(AND(BG$4&lt;=Org!$B$5,BG178&gt;=0),BG$4,"")</f>
        <v/>
      </c>
      <c r="BH179" s="22" t="str">
        <f>IF(AND(BH$4&lt;=Org!$B$5,BH178&gt;=0),BH$4,"")</f>
        <v/>
      </c>
      <c r="BI179" s="22" t="str">
        <f>IF(AND(BI$4&lt;=Org!$B$5,BI178&gt;=0),BI$4,"")</f>
        <v/>
      </c>
      <c r="BJ179" s="22" t="str">
        <f>IF(AND(BJ$4&lt;=Org!$B$5,BJ178&gt;=0),BJ$4,"")</f>
        <v/>
      </c>
      <c r="BK179" s="22" t="str">
        <f>IF(AND(BK$4&lt;=Org!$B$5,BK178&gt;=0),BK$4,"")</f>
        <v/>
      </c>
      <c r="BL179" s="22" t="str">
        <f>IF(AND(BL$4&lt;=Org!$B$5,BL178&gt;=0),BL$4,"")</f>
        <v/>
      </c>
    </row>
    <row r="180" spans="1:64" x14ac:dyDescent="0.3">
      <c r="A180" s="8" t="s">
        <v>706</v>
      </c>
      <c r="C180" s="44">
        <f>INDEX(E175:BL175,Org!$B$5)+INDEX(E176:BL176,Org!$B$5)</f>
        <v>1234388.99945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Summary</vt:lpstr>
      <vt:lpstr>Org</vt:lpstr>
      <vt:lpstr>Teams</vt:lpstr>
      <vt:lpstr>Params</vt:lpstr>
      <vt:lpstr>PriceBook</vt:lpstr>
      <vt:lpstr>Lines</vt:lpstr>
      <vt:lpstr>Levers</vt:lpstr>
      <vt:lpstr>Results</vt:lpstr>
      <vt:lpstr>Scenarios</vt:lpstr>
      <vt:lpstr>Sensitivity</vt:lpstr>
      <vt:lpstr>Allocation</vt:lpstr>
      <vt:lpstr>Evidence</vt:lpstr>
      <vt:lpstr>Tests</vt:lpstr>
      <vt:lpstr>Calc_Low</vt:lpstr>
      <vt:lpstr>Calc_Base</vt:lpstr>
      <vt:lpstr>Calc_High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unit economics planning tool (fictional worked example)</dc:creator>
  <cp:lastModifiedBy/>
  <dcterms:created xsi:type="dcterms:W3CDTF">2026-09-20T22:32:48Z</dcterms:created>
  <dcterms:modified xsi:type="dcterms:W3CDTF">2026-09-20T22:32:56Z</dcterms:modified>
</cp:coreProperties>
</file>